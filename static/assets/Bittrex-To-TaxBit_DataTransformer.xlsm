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/Library/Containers/com.microsoft.Excel/Data/Downloads/"/>
    </mc:Choice>
  </mc:AlternateContent>
  <xr:revisionPtr revIDLastSave="0" documentId="13_ncr:1_{D6A1B257-A9E5-1148-BD23-6613B7E84A5C}" xr6:coauthVersionLast="41" xr6:coauthVersionMax="41" xr10:uidLastSave="{00000000-0000-0000-0000-000000000000}"/>
  <bookViews>
    <workbookView xWindow="0" yWindow="460" windowWidth="28800" windowHeight="17540" xr2:uid="{00000000-000D-0000-FFFF-FFFF00000000}"/>
  </bookViews>
  <sheets>
    <sheet name="Bittrex Data" sheetId="1" r:id="rId1"/>
    <sheet name="CSV" sheetId="3" r:id="rId2"/>
    <sheet name="Bittrex" sheetId="4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E2" i="3"/>
  <c r="E3" i="3"/>
  <c r="E4" i="3"/>
  <c r="E5" i="3"/>
  <c r="E6" i="3"/>
  <c r="E7" i="3"/>
  <c r="E8" i="3"/>
  <c r="E9" i="3"/>
  <c r="E10" i="3"/>
  <c r="E11" i="3"/>
  <c r="E12" i="3"/>
  <c r="E13" i="3"/>
  <c r="E14" i="3" l="1"/>
  <c r="E15" i="3"/>
  <c r="E16" i="3"/>
  <c r="E17" i="3"/>
  <c r="E18" i="3"/>
  <c r="E19" i="3"/>
  <c r="E20" i="3"/>
  <c r="E21" i="3"/>
  <c r="H17" i="3"/>
  <c r="H18" i="3"/>
  <c r="H184" i="3" l="1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H19" i="3" l="1"/>
  <c r="H20" i="3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C1001" i="4"/>
  <c r="D1001" i="4"/>
  <c r="E1001" i="4"/>
  <c r="F1001" i="4"/>
  <c r="G1001" i="4"/>
  <c r="H1001" i="4"/>
  <c r="J1001" i="4"/>
  <c r="K1001" i="4"/>
  <c r="D3" i="4"/>
  <c r="C3" i="4" s="1"/>
  <c r="E3" i="4"/>
  <c r="F3" i="4"/>
  <c r="G3" i="4"/>
  <c r="D4" i="4"/>
  <c r="C4" i="4" s="1"/>
  <c r="E4" i="4"/>
  <c r="F4" i="4"/>
  <c r="G4" i="4"/>
  <c r="D5" i="4"/>
  <c r="C5" i="4" s="1"/>
  <c r="H5" i="4" s="1"/>
  <c r="E5" i="4"/>
  <c r="F5" i="4"/>
  <c r="G5" i="4"/>
  <c r="D6" i="4"/>
  <c r="C6" i="4" s="1"/>
  <c r="H6" i="4" s="1"/>
  <c r="E6" i="4"/>
  <c r="F6" i="4"/>
  <c r="G6" i="4"/>
  <c r="D7" i="4"/>
  <c r="C7" i="4" s="1"/>
  <c r="E7" i="4"/>
  <c r="F7" i="4"/>
  <c r="G7" i="4"/>
  <c r="D8" i="4"/>
  <c r="C8" i="4" s="1"/>
  <c r="H8" i="4" s="1"/>
  <c r="E8" i="4"/>
  <c r="F8" i="4"/>
  <c r="G8" i="4"/>
  <c r="D9" i="4"/>
  <c r="C9" i="4" s="1"/>
  <c r="E9" i="4"/>
  <c r="F9" i="4"/>
  <c r="G9" i="4"/>
  <c r="D10" i="4"/>
  <c r="C10" i="4" s="1"/>
  <c r="E10" i="4"/>
  <c r="F10" i="4"/>
  <c r="G10" i="4"/>
  <c r="D11" i="4"/>
  <c r="C11" i="4" s="1"/>
  <c r="E11" i="4"/>
  <c r="F11" i="4"/>
  <c r="G11" i="4"/>
  <c r="D12" i="4"/>
  <c r="C12" i="4" s="1"/>
  <c r="I12" i="4" s="1"/>
  <c r="E12" i="4"/>
  <c r="F12" i="4"/>
  <c r="G12" i="4"/>
  <c r="D13" i="4"/>
  <c r="C13" i="4" s="1"/>
  <c r="E13" i="4"/>
  <c r="F13" i="4"/>
  <c r="G13" i="4"/>
  <c r="D14" i="4"/>
  <c r="C14" i="4" s="1"/>
  <c r="E14" i="4"/>
  <c r="F14" i="4"/>
  <c r="G14" i="4"/>
  <c r="D15" i="4"/>
  <c r="C15" i="4" s="1"/>
  <c r="E15" i="4"/>
  <c r="F15" i="4"/>
  <c r="G15" i="4"/>
  <c r="D16" i="4"/>
  <c r="C16" i="4" s="1"/>
  <c r="E16" i="4"/>
  <c r="F16" i="4"/>
  <c r="G16" i="4"/>
  <c r="D17" i="4"/>
  <c r="C17" i="4" s="1"/>
  <c r="E17" i="4"/>
  <c r="F17" i="4"/>
  <c r="G17" i="4"/>
  <c r="D18" i="4"/>
  <c r="C18" i="4" s="1"/>
  <c r="E18" i="4"/>
  <c r="F18" i="4"/>
  <c r="G18" i="4"/>
  <c r="D19" i="4"/>
  <c r="C19" i="4" s="1"/>
  <c r="E19" i="4"/>
  <c r="F19" i="4"/>
  <c r="G19" i="4"/>
  <c r="D20" i="4"/>
  <c r="C20" i="4" s="1"/>
  <c r="E20" i="4"/>
  <c r="F20" i="4"/>
  <c r="G20" i="4"/>
  <c r="D21" i="4"/>
  <c r="C21" i="4" s="1"/>
  <c r="E21" i="4"/>
  <c r="F21" i="4"/>
  <c r="G21" i="4"/>
  <c r="D22" i="4"/>
  <c r="C22" i="4" s="1"/>
  <c r="H22" i="4" s="1"/>
  <c r="J22" i="4" s="1"/>
  <c r="E22" i="4"/>
  <c r="F22" i="4"/>
  <c r="G22" i="4"/>
  <c r="D23" i="4"/>
  <c r="C23" i="4" s="1"/>
  <c r="H23" i="4" s="1"/>
  <c r="E23" i="4"/>
  <c r="F23" i="4"/>
  <c r="G23" i="4"/>
  <c r="D24" i="4"/>
  <c r="C24" i="4" s="1"/>
  <c r="H24" i="4" s="1"/>
  <c r="J24" i="4" s="1"/>
  <c r="E24" i="4"/>
  <c r="F24" i="4"/>
  <c r="G24" i="4"/>
  <c r="D25" i="4"/>
  <c r="C25" i="4" s="1"/>
  <c r="E25" i="4"/>
  <c r="F25" i="4"/>
  <c r="G25" i="4"/>
  <c r="D26" i="4"/>
  <c r="C26" i="4" s="1"/>
  <c r="E26" i="4"/>
  <c r="F26" i="4"/>
  <c r="G26" i="4"/>
  <c r="D27" i="4"/>
  <c r="C27" i="4" s="1"/>
  <c r="E27" i="4"/>
  <c r="F27" i="4"/>
  <c r="G27" i="4"/>
  <c r="D28" i="4"/>
  <c r="C28" i="4" s="1"/>
  <c r="E28" i="4"/>
  <c r="F28" i="4"/>
  <c r="G28" i="4"/>
  <c r="D29" i="4"/>
  <c r="C29" i="4" s="1"/>
  <c r="E29" i="4"/>
  <c r="F29" i="4"/>
  <c r="G29" i="4"/>
  <c r="D30" i="4"/>
  <c r="C30" i="4" s="1"/>
  <c r="H30" i="4" s="1"/>
  <c r="E30" i="4"/>
  <c r="F30" i="4"/>
  <c r="G30" i="4"/>
  <c r="D31" i="4"/>
  <c r="C31" i="4" s="1"/>
  <c r="E31" i="4"/>
  <c r="F31" i="4"/>
  <c r="G31" i="4"/>
  <c r="D32" i="4"/>
  <c r="C32" i="4" s="1"/>
  <c r="E32" i="4"/>
  <c r="F32" i="4"/>
  <c r="G32" i="4"/>
  <c r="D33" i="4"/>
  <c r="C33" i="4" s="1"/>
  <c r="E33" i="4"/>
  <c r="F33" i="4"/>
  <c r="G33" i="4"/>
  <c r="D34" i="4"/>
  <c r="C34" i="4" s="1"/>
  <c r="H34" i="4" s="1"/>
  <c r="J34" i="4" s="1"/>
  <c r="E34" i="4"/>
  <c r="F34" i="4"/>
  <c r="G34" i="4"/>
  <c r="D35" i="4"/>
  <c r="C35" i="4" s="1"/>
  <c r="E35" i="4"/>
  <c r="F35" i="4"/>
  <c r="G35" i="4"/>
  <c r="C36" i="4"/>
  <c r="D36" i="4"/>
  <c r="E36" i="4"/>
  <c r="F36" i="4"/>
  <c r="G36" i="4"/>
  <c r="D37" i="4"/>
  <c r="C37" i="4" s="1"/>
  <c r="E37" i="4"/>
  <c r="F37" i="4"/>
  <c r="G37" i="4"/>
  <c r="D38" i="4"/>
  <c r="C38" i="4" s="1"/>
  <c r="E38" i="4"/>
  <c r="F38" i="4"/>
  <c r="G38" i="4"/>
  <c r="D39" i="4"/>
  <c r="C39" i="4" s="1"/>
  <c r="E39" i="4"/>
  <c r="F39" i="4"/>
  <c r="G39" i="4"/>
  <c r="D40" i="4"/>
  <c r="C40" i="4" s="1"/>
  <c r="E40" i="4"/>
  <c r="F40" i="4"/>
  <c r="G40" i="4"/>
  <c r="D41" i="4"/>
  <c r="C41" i="4" s="1"/>
  <c r="E41" i="4"/>
  <c r="F41" i="4"/>
  <c r="G41" i="4"/>
  <c r="D42" i="4"/>
  <c r="C42" i="4" s="1"/>
  <c r="E42" i="4"/>
  <c r="F42" i="4"/>
  <c r="G42" i="4"/>
  <c r="D43" i="4"/>
  <c r="C43" i="4" s="1"/>
  <c r="E43" i="4"/>
  <c r="F43" i="4"/>
  <c r="G43" i="4"/>
  <c r="D44" i="4"/>
  <c r="C44" i="4" s="1"/>
  <c r="E44" i="4"/>
  <c r="F44" i="4"/>
  <c r="G44" i="4"/>
  <c r="D45" i="4"/>
  <c r="C45" i="4" s="1"/>
  <c r="E45" i="4"/>
  <c r="F45" i="4"/>
  <c r="G45" i="4"/>
  <c r="D46" i="4"/>
  <c r="C46" i="4" s="1"/>
  <c r="E46" i="4"/>
  <c r="F46" i="4"/>
  <c r="G46" i="4"/>
  <c r="D47" i="4"/>
  <c r="C47" i="4" s="1"/>
  <c r="E47" i="4"/>
  <c r="F47" i="4"/>
  <c r="G47" i="4"/>
  <c r="D48" i="4"/>
  <c r="C48" i="4" s="1"/>
  <c r="E48" i="4"/>
  <c r="F48" i="4"/>
  <c r="G48" i="4"/>
  <c r="D49" i="4"/>
  <c r="C49" i="4" s="1"/>
  <c r="E49" i="4"/>
  <c r="F49" i="4"/>
  <c r="G49" i="4"/>
  <c r="D50" i="4"/>
  <c r="C50" i="4" s="1"/>
  <c r="E50" i="4"/>
  <c r="F50" i="4"/>
  <c r="G50" i="4"/>
  <c r="D51" i="4"/>
  <c r="C51" i="4" s="1"/>
  <c r="E51" i="4"/>
  <c r="F51" i="4"/>
  <c r="G51" i="4"/>
  <c r="D52" i="4"/>
  <c r="C52" i="4" s="1"/>
  <c r="E52" i="4"/>
  <c r="F52" i="4"/>
  <c r="G52" i="4"/>
  <c r="D53" i="4"/>
  <c r="C53" i="4" s="1"/>
  <c r="E53" i="4"/>
  <c r="F53" i="4"/>
  <c r="G53" i="4"/>
  <c r="D54" i="4"/>
  <c r="C54" i="4" s="1"/>
  <c r="H54" i="4" s="1"/>
  <c r="E54" i="4"/>
  <c r="F54" i="4"/>
  <c r="G54" i="4"/>
  <c r="D55" i="4"/>
  <c r="C55" i="4" s="1"/>
  <c r="E55" i="4"/>
  <c r="F55" i="4"/>
  <c r="G55" i="4"/>
  <c r="D56" i="4"/>
  <c r="C56" i="4" s="1"/>
  <c r="H56" i="4" s="1"/>
  <c r="E56" i="4"/>
  <c r="F56" i="4"/>
  <c r="G56" i="4"/>
  <c r="D57" i="4"/>
  <c r="C57" i="4" s="1"/>
  <c r="H57" i="4" s="1"/>
  <c r="E57" i="4"/>
  <c r="F57" i="4"/>
  <c r="G57" i="4"/>
  <c r="D58" i="4"/>
  <c r="C58" i="4" s="1"/>
  <c r="E58" i="4"/>
  <c r="F58" i="4"/>
  <c r="G58" i="4"/>
  <c r="D59" i="4"/>
  <c r="C59" i="4" s="1"/>
  <c r="E59" i="4"/>
  <c r="F59" i="4"/>
  <c r="G59" i="4"/>
  <c r="D60" i="4"/>
  <c r="C60" i="4" s="1"/>
  <c r="E60" i="4"/>
  <c r="F60" i="4"/>
  <c r="G60" i="4"/>
  <c r="D61" i="4"/>
  <c r="C61" i="4" s="1"/>
  <c r="E61" i="4"/>
  <c r="F61" i="4"/>
  <c r="G61" i="4"/>
  <c r="D62" i="4"/>
  <c r="C62" i="4" s="1"/>
  <c r="E62" i="4"/>
  <c r="F62" i="4"/>
  <c r="G62" i="4"/>
  <c r="D63" i="4"/>
  <c r="C63" i="4" s="1"/>
  <c r="E63" i="4"/>
  <c r="F63" i="4"/>
  <c r="G63" i="4"/>
  <c r="D64" i="4"/>
  <c r="C64" i="4" s="1"/>
  <c r="E64" i="4"/>
  <c r="F64" i="4"/>
  <c r="G64" i="4"/>
  <c r="D65" i="4"/>
  <c r="C65" i="4" s="1"/>
  <c r="E65" i="4"/>
  <c r="F65" i="4"/>
  <c r="G65" i="4"/>
  <c r="D66" i="4"/>
  <c r="C66" i="4" s="1"/>
  <c r="H66" i="4" s="1"/>
  <c r="E66" i="4"/>
  <c r="F66" i="4"/>
  <c r="G66" i="4"/>
  <c r="D67" i="4"/>
  <c r="C67" i="4" s="1"/>
  <c r="E67" i="4"/>
  <c r="F67" i="4"/>
  <c r="G67" i="4"/>
  <c r="D68" i="4"/>
  <c r="C68" i="4" s="1"/>
  <c r="E68" i="4"/>
  <c r="F68" i="4"/>
  <c r="G68" i="4"/>
  <c r="D69" i="4"/>
  <c r="C69" i="4" s="1"/>
  <c r="E69" i="4"/>
  <c r="F69" i="4"/>
  <c r="G69" i="4"/>
  <c r="D70" i="4"/>
  <c r="C70" i="4" s="1"/>
  <c r="H70" i="4" s="1"/>
  <c r="E70" i="4"/>
  <c r="F70" i="4"/>
  <c r="G70" i="4"/>
  <c r="D71" i="4"/>
  <c r="C71" i="4" s="1"/>
  <c r="E71" i="4"/>
  <c r="F71" i="4"/>
  <c r="G71" i="4"/>
  <c r="D72" i="4"/>
  <c r="C72" i="4" s="1"/>
  <c r="E72" i="4"/>
  <c r="F72" i="4"/>
  <c r="G72" i="4"/>
  <c r="D73" i="4"/>
  <c r="C73" i="4" s="1"/>
  <c r="I73" i="4" s="1"/>
  <c r="E73" i="4"/>
  <c r="F73" i="4"/>
  <c r="G73" i="4"/>
  <c r="D74" i="4"/>
  <c r="C74" i="4" s="1"/>
  <c r="E74" i="4"/>
  <c r="F74" i="4"/>
  <c r="G74" i="4"/>
  <c r="D75" i="4"/>
  <c r="C75" i="4" s="1"/>
  <c r="E75" i="4"/>
  <c r="F75" i="4"/>
  <c r="G75" i="4"/>
  <c r="D76" i="4"/>
  <c r="C76" i="4" s="1"/>
  <c r="E76" i="4"/>
  <c r="F76" i="4"/>
  <c r="G76" i="4"/>
  <c r="D77" i="4"/>
  <c r="C77" i="4" s="1"/>
  <c r="I77" i="4" s="1"/>
  <c r="E77" i="4"/>
  <c r="F77" i="4"/>
  <c r="G77" i="4"/>
  <c r="D78" i="4"/>
  <c r="C78" i="4" s="1"/>
  <c r="H78" i="4" s="1"/>
  <c r="E78" i="4"/>
  <c r="F78" i="4"/>
  <c r="G78" i="4"/>
  <c r="D79" i="4"/>
  <c r="C79" i="4" s="1"/>
  <c r="E79" i="4"/>
  <c r="F79" i="4"/>
  <c r="G79" i="4"/>
  <c r="D80" i="4"/>
  <c r="C80" i="4" s="1"/>
  <c r="E80" i="4"/>
  <c r="F80" i="4"/>
  <c r="G80" i="4"/>
  <c r="D81" i="4"/>
  <c r="C81" i="4" s="1"/>
  <c r="E81" i="4"/>
  <c r="F81" i="4"/>
  <c r="G81" i="4"/>
  <c r="D82" i="4"/>
  <c r="C82" i="4" s="1"/>
  <c r="E82" i="4"/>
  <c r="F82" i="4"/>
  <c r="G82" i="4"/>
  <c r="D83" i="4"/>
  <c r="C83" i="4" s="1"/>
  <c r="E83" i="4"/>
  <c r="F83" i="4"/>
  <c r="G83" i="4"/>
  <c r="D84" i="4"/>
  <c r="C84" i="4" s="1"/>
  <c r="E84" i="4"/>
  <c r="F84" i="4"/>
  <c r="G84" i="4"/>
  <c r="D85" i="4"/>
  <c r="C85" i="4" s="1"/>
  <c r="E85" i="4"/>
  <c r="F85" i="4"/>
  <c r="G85" i="4"/>
  <c r="D86" i="4"/>
  <c r="C86" i="4" s="1"/>
  <c r="H86" i="4" s="1"/>
  <c r="E86" i="4"/>
  <c r="F86" i="4"/>
  <c r="G86" i="4"/>
  <c r="D87" i="4"/>
  <c r="C87" i="4" s="1"/>
  <c r="E87" i="4"/>
  <c r="F87" i="4"/>
  <c r="G87" i="4"/>
  <c r="D88" i="4"/>
  <c r="C88" i="4" s="1"/>
  <c r="E88" i="4"/>
  <c r="F88" i="4"/>
  <c r="G88" i="4"/>
  <c r="D89" i="4"/>
  <c r="C89" i="4" s="1"/>
  <c r="H89" i="4" s="1"/>
  <c r="E89" i="4"/>
  <c r="F89" i="4"/>
  <c r="G89" i="4"/>
  <c r="D90" i="4"/>
  <c r="C90" i="4" s="1"/>
  <c r="E90" i="4"/>
  <c r="F90" i="4"/>
  <c r="G90" i="4"/>
  <c r="D91" i="4"/>
  <c r="C91" i="4" s="1"/>
  <c r="I91" i="4" s="1"/>
  <c r="E91" i="4"/>
  <c r="F91" i="4"/>
  <c r="G91" i="4"/>
  <c r="D92" i="4"/>
  <c r="C92" i="4" s="1"/>
  <c r="E92" i="4"/>
  <c r="F92" i="4"/>
  <c r="G92" i="4"/>
  <c r="D93" i="4"/>
  <c r="C93" i="4" s="1"/>
  <c r="I93" i="4" s="1"/>
  <c r="E93" i="4"/>
  <c r="F93" i="4"/>
  <c r="G93" i="4"/>
  <c r="D94" i="4"/>
  <c r="C94" i="4" s="1"/>
  <c r="H94" i="4" s="1"/>
  <c r="E94" i="4"/>
  <c r="F94" i="4"/>
  <c r="G94" i="4"/>
  <c r="D95" i="4"/>
  <c r="C95" i="4" s="1"/>
  <c r="E95" i="4"/>
  <c r="F95" i="4"/>
  <c r="G95" i="4"/>
  <c r="D96" i="4"/>
  <c r="C96" i="4" s="1"/>
  <c r="E96" i="4"/>
  <c r="F96" i="4"/>
  <c r="G96" i="4"/>
  <c r="D97" i="4"/>
  <c r="C97" i="4" s="1"/>
  <c r="E97" i="4"/>
  <c r="F97" i="4"/>
  <c r="G97" i="4"/>
  <c r="D98" i="4"/>
  <c r="C98" i="4" s="1"/>
  <c r="H98" i="4" s="1"/>
  <c r="E98" i="4"/>
  <c r="F98" i="4"/>
  <c r="G98" i="4"/>
  <c r="D99" i="4"/>
  <c r="C99" i="4" s="1"/>
  <c r="E99" i="4"/>
  <c r="F99" i="4"/>
  <c r="G99" i="4"/>
  <c r="D100" i="4"/>
  <c r="C100" i="4" s="1"/>
  <c r="E100" i="4"/>
  <c r="F100" i="4"/>
  <c r="G100" i="4"/>
  <c r="D101" i="4"/>
  <c r="C101" i="4" s="1"/>
  <c r="E101" i="4"/>
  <c r="F101" i="4"/>
  <c r="G101" i="4"/>
  <c r="D102" i="4"/>
  <c r="C102" i="4" s="1"/>
  <c r="H102" i="4" s="1"/>
  <c r="E102" i="4"/>
  <c r="F102" i="4"/>
  <c r="G102" i="4"/>
  <c r="D103" i="4"/>
  <c r="C103" i="4" s="1"/>
  <c r="E103" i="4"/>
  <c r="F103" i="4"/>
  <c r="G103" i="4"/>
  <c r="D104" i="4"/>
  <c r="C104" i="4" s="1"/>
  <c r="E104" i="4"/>
  <c r="F104" i="4"/>
  <c r="G104" i="4"/>
  <c r="D105" i="4"/>
  <c r="C105" i="4" s="1"/>
  <c r="H105" i="4" s="1"/>
  <c r="E105" i="4"/>
  <c r="F105" i="4"/>
  <c r="G105" i="4"/>
  <c r="D106" i="4"/>
  <c r="C106" i="4" s="1"/>
  <c r="E106" i="4"/>
  <c r="F106" i="4"/>
  <c r="G106" i="4"/>
  <c r="D107" i="4"/>
  <c r="C107" i="4" s="1"/>
  <c r="E107" i="4"/>
  <c r="F107" i="4"/>
  <c r="G107" i="4"/>
  <c r="D108" i="4"/>
  <c r="C108" i="4" s="1"/>
  <c r="E108" i="4"/>
  <c r="F108" i="4"/>
  <c r="G108" i="4"/>
  <c r="D109" i="4"/>
  <c r="C109" i="4" s="1"/>
  <c r="E109" i="4"/>
  <c r="F109" i="4"/>
  <c r="G109" i="4"/>
  <c r="D110" i="4"/>
  <c r="C110" i="4" s="1"/>
  <c r="H110" i="4" s="1"/>
  <c r="E110" i="4"/>
  <c r="F110" i="4"/>
  <c r="G110" i="4"/>
  <c r="D111" i="4"/>
  <c r="C111" i="4" s="1"/>
  <c r="E111" i="4"/>
  <c r="F111" i="4"/>
  <c r="G111" i="4"/>
  <c r="D112" i="4"/>
  <c r="C112" i="4" s="1"/>
  <c r="E112" i="4"/>
  <c r="F112" i="4"/>
  <c r="G112" i="4"/>
  <c r="D113" i="4"/>
  <c r="C113" i="4" s="1"/>
  <c r="H113" i="4" s="1"/>
  <c r="E113" i="4"/>
  <c r="F113" i="4"/>
  <c r="G113" i="4"/>
  <c r="D114" i="4"/>
  <c r="C114" i="4" s="1"/>
  <c r="E114" i="4"/>
  <c r="F114" i="4"/>
  <c r="G114" i="4"/>
  <c r="D115" i="4"/>
  <c r="C115" i="4" s="1"/>
  <c r="E115" i="4"/>
  <c r="F115" i="4"/>
  <c r="G115" i="4"/>
  <c r="D116" i="4"/>
  <c r="C116" i="4" s="1"/>
  <c r="E116" i="4"/>
  <c r="F116" i="4"/>
  <c r="G116" i="4"/>
  <c r="D117" i="4"/>
  <c r="C117" i="4" s="1"/>
  <c r="E117" i="4"/>
  <c r="F117" i="4"/>
  <c r="G117" i="4"/>
  <c r="D118" i="4"/>
  <c r="C118" i="4" s="1"/>
  <c r="H118" i="4" s="1"/>
  <c r="E118" i="4"/>
  <c r="F118" i="4"/>
  <c r="G118" i="4"/>
  <c r="D119" i="4"/>
  <c r="C119" i="4" s="1"/>
  <c r="E119" i="4"/>
  <c r="F119" i="4"/>
  <c r="G119" i="4"/>
  <c r="D120" i="4"/>
  <c r="C120" i="4" s="1"/>
  <c r="E120" i="4"/>
  <c r="F120" i="4"/>
  <c r="G120" i="4"/>
  <c r="D121" i="4"/>
  <c r="C121" i="4" s="1"/>
  <c r="H121" i="4" s="1"/>
  <c r="E121" i="4"/>
  <c r="F121" i="4"/>
  <c r="G121" i="4"/>
  <c r="D122" i="4"/>
  <c r="C122" i="4" s="1"/>
  <c r="H122" i="4" s="1"/>
  <c r="E122" i="4"/>
  <c r="F122" i="4"/>
  <c r="G122" i="4"/>
  <c r="D123" i="4"/>
  <c r="C123" i="4" s="1"/>
  <c r="E123" i="4"/>
  <c r="F123" i="4"/>
  <c r="G123" i="4"/>
  <c r="D124" i="4"/>
  <c r="C124" i="4" s="1"/>
  <c r="E124" i="4"/>
  <c r="F124" i="4"/>
  <c r="G124" i="4"/>
  <c r="D125" i="4"/>
  <c r="C125" i="4" s="1"/>
  <c r="E125" i="4"/>
  <c r="F125" i="4"/>
  <c r="G125" i="4"/>
  <c r="D126" i="4"/>
  <c r="C126" i="4" s="1"/>
  <c r="H126" i="4" s="1"/>
  <c r="E126" i="4"/>
  <c r="F126" i="4"/>
  <c r="G126" i="4"/>
  <c r="D127" i="4"/>
  <c r="C127" i="4" s="1"/>
  <c r="E127" i="4"/>
  <c r="F127" i="4"/>
  <c r="G127" i="4"/>
  <c r="D128" i="4"/>
  <c r="C128" i="4" s="1"/>
  <c r="H128" i="4" s="1"/>
  <c r="E128" i="4"/>
  <c r="F128" i="4"/>
  <c r="G128" i="4"/>
  <c r="D129" i="4"/>
  <c r="C129" i="4" s="1"/>
  <c r="E129" i="4"/>
  <c r="F129" i="4"/>
  <c r="G129" i="4"/>
  <c r="D130" i="4"/>
  <c r="C130" i="4" s="1"/>
  <c r="H130" i="4" s="1"/>
  <c r="E130" i="4"/>
  <c r="F130" i="4"/>
  <c r="G130" i="4"/>
  <c r="D131" i="4"/>
  <c r="C131" i="4" s="1"/>
  <c r="I131" i="4" s="1"/>
  <c r="E131" i="4"/>
  <c r="F131" i="4"/>
  <c r="G131" i="4"/>
  <c r="D132" i="4"/>
  <c r="C132" i="4" s="1"/>
  <c r="E132" i="4"/>
  <c r="F132" i="4"/>
  <c r="G132" i="4"/>
  <c r="D133" i="4"/>
  <c r="C133" i="4" s="1"/>
  <c r="I133" i="4" s="1"/>
  <c r="E133" i="4"/>
  <c r="F133" i="4"/>
  <c r="G133" i="4"/>
  <c r="D134" i="4"/>
  <c r="C134" i="4" s="1"/>
  <c r="E134" i="4"/>
  <c r="F134" i="4"/>
  <c r="G134" i="4"/>
  <c r="D135" i="4"/>
  <c r="C135" i="4" s="1"/>
  <c r="I135" i="4" s="1"/>
  <c r="E135" i="4"/>
  <c r="F135" i="4"/>
  <c r="G135" i="4"/>
  <c r="D136" i="4"/>
  <c r="C136" i="4" s="1"/>
  <c r="E136" i="4"/>
  <c r="F136" i="4"/>
  <c r="G136" i="4"/>
  <c r="D137" i="4"/>
  <c r="C137" i="4" s="1"/>
  <c r="E137" i="4"/>
  <c r="F137" i="4"/>
  <c r="G137" i="4"/>
  <c r="D138" i="4"/>
  <c r="C138" i="4" s="1"/>
  <c r="E138" i="4"/>
  <c r="F138" i="4"/>
  <c r="G138" i="4"/>
  <c r="D139" i="4"/>
  <c r="C139" i="4" s="1"/>
  <c r="E139" i="4"/>
  <c r="F139" i="4"/>
  <c r="G139" i="4"/>
  <c r="D140" i="4"/>
  <c r="C140" i="4" s="1"/>
  <c r="E140" i="4"/>
  <c r="F140" i="4"/>
  <c r="G140" i="4"/>
  <c r="D141" i="4"/>
  <c r="C141" i="4" s="1"/>
  <c r="E141" i="4"/>
  <c r="F141" i="4"/>
  <c r="G141" i="4"/>
  <c r="D142" i="4"/>
  <c r="C142" i="4" s="1"/>
  <c r="H142" i="4" s="1"/>
  <c r="E142" i="4"/>
  <c r="F142" i="4"/>
  <c r="G142" i="4"/>
  <c r="D143" i="4"/>
  <c r="C143" i="4" s="1"/>
  <c r="E143" i="4"/>
  <c r="F143" i="4"/>
  <c r="G143" i="4"/>
  <c r="D144" i="4"/>
  <c r="C144" i="4" s="1"/>
  <c r="H144" i="4" s="1"/>
  <c r="E144" i="4"/>
  <c r="F144" i="4"/>
  <c r="G144" i="4"/>
  <c r="D145" i="4"/>
  <c r="C145" i="4" s="1"/>
  <c r="E145" i="4"/>
  <c r="F145" i="4"/>
  <c r="G145" i="4"/>
  <c r="D146" i="4"/>
  <c r="C146" i="4" s="1"/>
  <c r="E146" i="4"/>
  <c r="F146" i="4"/>
  <c r="G146" i="4"/>
  <c r="D147" i="4"/>
  <c r="C147" i="4" s="1"/>
  <c r="E147" i="4"/>
  <c r="F147" i="4"/>
  <c r="G147" i="4"/>
  <c r="D148" i="4"/>
  <c r="C148" i="4" s="1"/>
  <c r="E148" i="4"/>
  <c r="F148" i="4"/>
  <c r="G148" i="4"/>
  <c r="D149" i="4"/>
  <c r="C149" i="4" s="1"/>
  <c r="E149" i="4"/>
  <c r="F149" i="4"/>
  <c r="G149" i="4"/>
  <c r="D150" i="4"/>
  <c r="C150" i="4" s="1"/>
  <c r="E150" i="4"/>
  <c r="F150" i="4"/>
  <c r="G150" i="4"/>
  <c r="D151" i="4"/>
  <c r="C151" i="4" s="1"/>
  <c r="E151" i="4"/>
  <c r="F151" i="4"/>
  <c r="G151" i="4"/>
  <c r="D152" i="4"/>
  <c r="C152" i="4" s="1"/>
  <c r="E152" i="4"/>
  <c r="F152" i="4"/>
  <c r="G152" i="4"/>
  <c r="D153" i="4"/>
  <c r="C153" i="4" s="1"/>
  <c r="E153" i="4"/>
  <c r="F153" i="4"/>
  <c r="G153" i="4"/>
  <c r="D154" i="4"/>
  <c r="C154" i="4" s="1"/>
  <c r="H154" i="4" s="1"/>
  <c r="E154" i="4"/>
  <c r="F154" i="4"/>
  <c r="G154" i="4"/>
  <c r="D155" i="4"/>
  <c r="C155" i="4" s="1"/>
  <c r="E155" i="4"/>
  <c r="F155" i="4"/>
  <c r="G155" i="4"/>
  <c r="D156" i="4"/>
  <c r="C156" i="4" s="1"/>
  <c r="E156" i="4"/>
  <c r="F156" i="4"/>
  <c r="G156" i="4"/>
  <c r="D157" i="4"/>
  <c r="C157" i="4" s="1"/>
  <c r="E157" i="4"/>
  <c r="F157" i="4"/>
  <c r="G157" i="4"/>
  <c r="D158" i="4"/>
  <c r="C158" i="4" s="1"/>
  <c r="E158" i="4"/>
  <c r="F158" i="4"/>
  <c r="G158" i="4"/>
  <c r="D159" i="4"/>
  <c r="C159" i="4" s="1"/>
  <c r="E159" i="4"/>
  <c r="F159" i="4"/>
  <c r="G159" i="4"/>
  <c r="D160" i="4"/>
  <c r="C160" i="4" s="1"/>
  <c r="E160" i="4"/>
  <c r="F160" i="4"/>
  <c r="G160" i="4"/>
  <c r="D161" i="4"/>
  <c r="C161" i="4" s="1"/>
  <c r="E161" i="4"/>
  <c r="F161" i="4"/>
  <c r="G161" i="4"/>
  <c r="D162" i="4"/>
  <c r="C162" i="4" s="1"/>
  <c r="E162" i="4"/>
  <c r="F162" i="4"/>
  <c r="G162" i="4"/>
  <c r="D163" i="4"/>
  <c r="C163" i="4" s="1"/>
  <c r="E163" i="4"/>
  <c r="F163" i="4"/>
  <c r="G163" i="4"/>
  <c r="D164" i="4"/>
  <c r="C164" i="4" s="1"/>
  <c r="E164" i="4"/>
  <c r="F164" i="4"/>
  <c r="G164" i="4"/>
  <c r="D165" i="4"/>
  <c r="C165" i="4" s="1"/>
  <c r="E165" i="4"/>
  <c r="F165" i="4"/>
  <c r="G165" i="4"/>
  <c r="D166" i="4"/>
  <c r="C166" i="4" s="1"/>
  <c r="E166" i="4"/>
  <c r="F166" i="4"/>
  <c r="G166" i="4"/>
  <c r="D167" i="4"/>
  <c r="C167" i="4" s="1"/>
  <c r="E167" i="4"/>
  <c r="F167" i="4"/>
  <c r="G167" i="4"/>
  <c r="D168" i="4"/>
  <c r="C168" i="4" s="1"/>
  <c r="H168" i="4" s="1"/>
  <c r="E168" i="4"/>
  <c r="F168" i="4"/>
  <c r="G168" i="4"/>
  <c r="D169" i="4"/>
  <c r="C169" i="4" s="1"/>
  <c r="E169" i="4"/>
  <c r="F169" i="4"/>
  <c r="G169" i="4"/>
  <c r="D170" i="4"/>
  <c r="C170" i="4" s="1"/>
  <c r="E170" i="4"/>
  <c r="F170" i="4"/>
  <c r="G170" i="4"/>
  <c r="D171" i="4"/>
  <c r="C171" i="4" s="1"/>
  <c r="E171" i="4"/>
  <c r="F171" i="4"/>
  <c r="G171" i="4"/>
  <c r="D172" i="4"/>
  <c r="C172" i="4" s="1"/>
  <c r="E172" i="4"/>
  <c r="F172" i="4"/>
  <c r="G172" i="4"/>
  <c r="D173" i="4"/>
  <c r="C173" i="4" s="1"/>
  <c r="E173" i="4"/>
  <c r="F173" i="4"/>
  <c r="G173" i="4"/>
  <c r="D174" i="4"/>
  <c r="C174" i="4" s="1"/>
  <c r="E174" i="4"/>
  <c r="F174" i="4"/>
  <c r="G174" i="4"/>
  <c r="D175" i="4"/>
  <c r="C175" i="4" s="1"/>
  <c r="E175" i="4"/>
  <c r="F175" i="4"/>
  <c r="G175" i="4"/>
  <c r="D176" i="4"/>
  <c r="C176" i="4" s="1"/>
  <c r="H176" i="4" s="1"/>
  <c r="E176" i="4"/>
  <c r="F176" i="4"/>
  <c r="G176" i="4"/>
  <c r="D177" i="4"/>
  <c r="C177" i="4" s="1"/>
  <c r="E177" i="4"/>
  <c r="F177" i="4"/>
  <c r="G177" i="4"/>
  <c r="D178" i="4"/>
  <c r="C178" i="4" s="1"/>
  <c r="E178" i="4"/>
  <c r="F178" i="4"/>
  <c r="G178" i="4"/>
  <c r="D179" i="4"/>
  <c r="C179" i="4" s="1"/>
  <c r="E179" i="4"/>
  <c r="F179" i="4"/>
  <c r="G179" i="4"/>
  <c r="D180" i="4"/>
  <c r="C180" i="4" s="1"/>
  <c r="E180" i="4"/>
  <c r="F180" i="4"/>
  <c r="G180" i="4"/>
  <c r="D181" i="4"/>
  <c r="C181" i="4" s="1"/>
  <c r="E181" i="4"/>
  <c r="F181" i="4"/>
  <c r="G181" i="4"/>
  <c r="D182" i="4"/>
  <c r="C182" i="4" s="1"/>
  <c r="E182" i="4"/>
  <c r="F182" i="4"/>
  <c r="G182" i="4"/>
  <c r="D183" i="4"/>
  <c r="C183" i="4" s="1"/>
  <c r="E183" i="4"/>
  <c r="F183" i="4"/>
  <c r="G183" i="4"/>
  <c r="C184" i="4"/>
  <c r="D184" i="4"/>
  <c r="E184" i="4"/>
  <c r="F184" i="4"/>
  <c r="G184" i="4"/>
  <c r="H184" i="4"/>
  <c r="J184" i="4"/>
  <c r="K184" i="4"/>
  <c r="C185" i="4"/>
  <c r="D185" i="4"/>
  <c r="E185" i="4"/>
  <c r="F185" i="4"/>
  <c r="G185" i="4"/>
  <c r="H185" i="4"/>
  <c r="J185" i="4"/>
  <c r="K185" i="4"/>
  <c r="C186" i="4"/>
  <c r="D186" i="4"/>
  <c r="E186" i="4"/>
  <c r="F186" i="4"/>
  <c r="G186" i="4"/>
  <c r="H186" i="4"/>
  <c r="J186" i="4"/>
  <c r="K186" i="4"/>
  <c r="C187" i="4"/>
  <c r="D187" i="4"/>
  <c r="E187" i="4"/>
  <c r="F187" i="4"/>
  <c r="G187" i="4"/>
  <c r="H187" i="4"/>
  <c r="J187" i="4"/>
  <c r="K187" i="4"/>
  <c r="C188" i="4"/>
  <c r="D188" i="4"/>
  <c r="E188" i="4"/>
  <c r="F188" i="4"/>
  <c r="G188" i="4"/>
  <c r="H188" i="4"/>
  <c r="J188" i="4"/>
  <c r="K188" i="4"/>
  <c r="C189" i="4"/>
  <c r="D189" i="4"/>
  <c r="E189" i="4"/>
  <c r="F189" i="4"/>
  <c r="G189" i="4"/>
  <c r="H189" i="4"/>
  <c r="J189" i="4"/>
  <c r="K189" i="4"/>
  <c r="C190" i="4"/>
  <c r="D190" i="4"/>
  <c r="E190" i="4"/>
  <c r="F190" i="4"/>
  <c r="G190" i="4"/>
  <c r="H190" i="4"/>
  <c r="J190" i="4"/>
  <c r="K190" i="4"/>
  <c r="C191" i="4"/>
  <c r="D191" i="4"/>
  <c r="E191" i="4"/>
  <c r="F191" i="4"/>
  <c r="G191" i="4"/>
  <c r="H191" i="4"/>
  <c r="J191" i="4"/>
  <c r="K191" i="4"/>
  <c r="C192" i="4"/>
  <c r="D192" i="4"/>
  <c r="E192" i="4"/>
  <c r="F192" i="4"/>
  <c r="G192" i="4"/>
  <c r="H192" i="4"/>
  <c r="J192" i="4"/>
  <c r="K192" i="4"/>
  <c r="C193" i="4"/>
  <c r="D193" i="4"/>
  <c r="E193" i="4"/>
  <c r="F193" i="4"/>
  <c r="G193" i="4"/>
  <c r="H193" i="4"/>
  <c r="J193" i="4"/>
  <c r="K193" i="4"/>
  <c r="C194" i="4"/>
  <c r="D194" i="4"/>
  <c r="E194" i="4"/>
  <c r="F194" i="4"/>
  <c r="G194" i="4"/>
  <c r="H194" i="4"/>
  <c r="J194" i="4"/>
  <c r="K194" i="4"/>
  <c r="C195" i="4"/>
  <c r="D195" i="4"/>
  <c r="E195" i="4"/>
  <c r="F195" i="4"/>
  <c r="G195" i="4"/>
  <c r="H195" i="4"/>
  <c r="J195" i="4"/>
  <c r="K195" i="4"/>
  <c r="C196" i="4"/>
  <c r="D196" i="4"/>
  <c r="E196" i="4"/>
  <c r="F196" i="4"/>
  <c r="G196" i="4"/>
  <c r="H196" i="4"/>
  <c r="J196" i="4"/>
  <c r="K196" i="4"/>
  <c r="C197" i="4"/>
  <c r="D197" i="4"/>
  <c r="E197" i="4"/>
  <c r="F197" i="4"/>
  <c r="G197" i="4"/>
  <c r="H197" i="4"/>
  <c r="J197" i="4"/>
  <c r="K197" i="4"/>
  <c r="C198" i="4"/>
  <c r="D198" i="4"/>
  <c r="E198" i="4"/>
  <c r="F198" i="4"/>
  <c r="G198" i="4"/>
  <c r="H198" i="4"/>
  <c r="J198" i="4"/>
  <c r="K198" i="4"/>
  <c r="C199" i="4"/>
  <c r="D199" i="4"/>
  <c r="E199" i="4"/>
  <c r="F199" i="4"/>
  <c r="G199" i="4"/>
  <c r="H199" i="4"/>
  <c r="J199" i="4"/>
  <c r="K199" i="4"/>
  <c r="C200" i="4"/>
  <c r="D200" i="4"/>
  <c r="E200" i="4"/>
  <c r="F200" i="4"/>
  <c r="G200" i="4"/>
  <c r="H200" i="4"/>
  <c r="J200" i="4"/>
  <c r="K200" i="4"/>
  <c r="C201" i="4"/>
  <c r="D201" i="4"/>
  <c r="E201" i="4"/>
  <c r="F201" i="4"/>
  <c r="G201" i="4"/>
  <c r="H201" i="4"/>
  <c r="J201" i="4"/>
  <c r="K201" i="4"/>
  <c r="C202" i="4"/>
  <c r="D202" i="4"/>
  <c r="E202" i="4"/>
  <c r="F202" i="4"/>
  <c r="G202" i="4"/>
  <c r="H202" i="4"/>
  <c r="J202" i="4"/>
  <c r="K202" i="4"/>
  <c r="C203" i="4"/>
  <c r="D203" i="4"/>
  <c r="E203" i="4"/>
  <c r="F203" i="4"/>
  <c r="G203" i="4"/>
  <c r="H203" i="4"/>
  <c r="J203" i="4"/>
  <c r="K203" i="4"/>
  <c r="C204" i="4"/>
  <c r="D204" i="4"/>
  <c r="E204" i="4"/>
  <c r="F204" i="4"/>
  <c r="G204" i="4"/>
  <c r="H204" i="4"/>
  <c r="J204" i="4"/>
  <c r="K204" i="4"/>
  <c r="C205" i="4"/>
  <c r="D205" i="4"/>
  <c r="E205" i="4"/>
  <c r="F205" i="4"/>
  <c r="G205" i="4"/>
  <c r="H205" i="4"/>
  <c r="J205" i="4"/>
  <c r="K205" i="4"/>
  <c r="C206" i="4"/>
  <c r="D206" i="4"/>
  <c r="E206" i="4"/>
  <c r="F206" i="4"/>
  <c r="G206" i="4"/>
  <c r="H206" i="4"/>
  <c r="J206" i="4"/>
  <c r="K206" i="4"/>
  <c r="C207" i="4"/>
  <c r="D207" i="4"/>
  <c r="E207" i="4"/>
  <c r="F207" i="4"/>
  <c r="G207" i="4"/>
  <c r="H207" i="4"/>
  <c r="J207" i="4"/>
  <c r="K207" i="4"/>
  <c r="C208" i="4"/>
  <c r="D208" i="4"/>
  <c r="E208" i="4"/>
  <c r="F208" i="4"/>
  <c r="G208" i="4"/>
  <c r="H208" i="4"/>
  <c r="J208" i="4"/>
  <c r="K208" i="4"/>
  <c r="C209" i="4"/>
  <c r="D209" i="4"/>
  <c r="E209" i="4"/>
  <c r="F209" i="4"/>
  <c r="G209" i="4"/>
  <c r="H209" i="4"/>
  <c r="J209" i="4"/>
  <c r="K209" i="4"/>
  <c r="C210" i="4"/>
  <c r="D210" i="4"/>
  <c r="E210" i="4"/>
  <c r="F210" i="4"/>
  <c r="G210" i="4"/>
  <c r="H210" i="4"/>
  <c r="J210" i="4"/>
  <c r="K210" i="4"/>
  <c r="C211" i="4"/>
  <c r="D211" i="4"/>
  <c r="E211" i="4"/>
  <c r="F211" i="4"/>
  <c r="G211" i="4"/>
  <c r="H211" i="4"/>
  <c r="J211" i="4"/>
  <c r="K211" i="4"/>
  <c r="C212" i="4"/>
  <c r="D212" i="4"/>
  <c r="E212" i="4"/>
  <c r="F212" i="4"/>
  <c r="G212" i="4"/>
  <c r="H212" i="4"/>
  <c r="J212" i="4"/>
  <c r="K212" i="4"/>
  <c r="C213" i="4"/>
  <c r="D213" i="4"/>
  <c r="E213" i="4"/>
  <c r="F213" i="4"/>
  <c r="G213" i="4"/>
  <c r="H213" i="4"/>
  <c r="J213" i="4"/>
  <c r="K213" i="4"/>
  <c r="C214" i="4"/>
  <c r="D214" i="4"/>
  <c r="E214" i="4"/>
  <c r="F214" i="4"/>
  <c r="G214" i="4"/>
  <c r="H214" i="4"/>
  <c r="J214" i="4"/>
  <c r="K214" i="4"/>
  <c r="C215" i="4"/>
  <c r="D215" i="4"/>
  <c r="E215" i="4"/>
  <c r="F215" i="4"/>
  <c r="G215" i="4"/>
  <c r="H215" i="4"/>
  <c r="J215" i="4"/>
  <c r="K215" i="4"/>
  <c r="C216" i="4"/>
  <c r="D216" i="4"/>
  <c r="E216" i="4"/>
  <c r="F216" i="4"/>
  <c r="G216" i="4"/>
  <c r="H216" i="4"/>
  <c r="J216" i="4"/>
  <c r="K216" i="4"/>
  <c r="C217" i="4"/>
  <c r="D217" i="4"/>
  <c r="E217" i="4"/>
  <c r="F217" i="4"/>
  <c r="G217" i="4"/>
  <c r="H217" i="4"/>
  <c r="J217" i="4"/>
  <c r="K217" i="4"/>
  <c r="C218" i="4"/>
  <c r="D218" i="4"/>
  <c r="E218" i="4"/>
  <c r="F218" i="4"/>
  <c r="G218" i="4"/>
  <c r="H218" i="4"/>
  <c r="J218" i="4"/>
  <c r="K218" i="4"/>
  <c r="C219" i="4"/>
  <c r="D219" i="4"/>
  <c r="E219" i="4"/>
  <c r="F219" i="4"/>
  <c r="G219" i="4"/>
  <c r="H219" i="4"/>
  <c r="J219" i="4"/>
  <c r="K219" i="4"/>
  <c r="C220" i="4"/>
  <c r="D220" i="4"/>
  <c r="E220" i="4"/>
  <c r="F220" i="4"/>
  <c r="G220" i="4"/>
  <c r="H220" i="4"/>
  <c r="J220" i="4"/>
  <c r="K220" i="4"/>
  <c r="C221" i="4"/>
  <c r="D221" i="4"/>
  <c r="E221" i="4"/>
  <c r="F221" i="4"/>
  <c r="G221" i="4"/>
  <c r="H221" i="4"/>
  <c r="J221" i="4"/>
  <c r="K221" i="4"/>
  <c r="C222" i="4"/>
  <c r="D222" i="4"/>
  <c r="E222" i="4"/>
  <c r="F222" i="4"/>
  <c r="G222" i="4"/>
  <c r="H222" i="4"/>
  <c r="J222" i="4"/>
  <c r="K222" i="4"/>
  <c r="C223" i="4"/>
  <c r="D223" i="4"/>
  <c r="E223" i="4"/>
  <c r="F223" i="4"/>
  <c r="G223" i="4"/>
  <c r="H223" i="4"/>
  <c r="J223" i="4"/>
  <c r="K223" i="4"/>
  <c r="C224" i="4"/>
  <c r="D224" i="4"/>
  <c r="E224" i="4"/>
  <c r="F224" i="4"/>
  <c r="G224" i="4"/>
  <c r="H224" i="4"/>
  <c r="J224" i="4"/>
  <c r="K224" i="4"/>
  <c r="C225" i="4"/>
  <c r="D225" i="4"/>
  <c r="E225" i="4"/>
  <c r="F225" i="4"/>
  <c r="G225" i="4"/>
  <c r="H225" i="4"/>
  <c r="J225" i="4"/>
  <c r="K225" i="4"/>
  <c r="C226" i="4"/>
  <c r="D226" i="4"/>
  <c r="E226" i="4"/>
  <c r="F226" i="4"/>
  <c r="G226" i="4"/>
  <c r="H226" i="4"/>
  <c r="J226" i="4"/>
  <c r="K226" i="4"/>
  <c r="C227" i="4"/>
  <c r="D227" i="4"/>
  <c r="E227" i="4"/>
  <c r="F227" i="4"/>
  <c r="G227" i="4"/>
  <c r="H227" i="4"/>
  <c r="J227" i="4"/>
  <c r="K227" i="4"/>
  <c r="C228" i="4"/>
  <c r="D228" i="4"/>
  <c r="E228" i="4"/>
  <c r="F228" i="4"/>
  <c r="G228" i="4"/>
  <c r="H228" i="4"/>
  <c r="J228" i="4"/>
  <c r="K228" i="4"/>
  <c r="C229" i="4"/>
  <c r="D229" i="4"/>
  <c r="E229" i="4"/>
  <c r="F229" i="4"/>
  <c r="G229" i="4"/>
  <c r="H229" i="4"/>
  <c r="J229" i="4"/>
  <c r="K229" i="4"/>
  <c r="C230" i="4"/>
  <c r="D230" i="4"/>
  <c r="E230" i="4"/>
  <c r="F230" i="4"/>
  <c r="G230" i="4"/>
  <c r="H230" i="4"/>
  <c r="J230" i="4"/>
  <c r="K230" i="4"/>
  <c r="C231" i="4"/>
  <c r="D231" i="4"/>
  <c r="E231" i="4"/>
  <c r="F231" i="4"/>
  <c r="G231" i="4"/>
  <c r="H231" i="4"/>
  <c r="J231" i="4"/>
  <c r="K231" i="4"/>
  <c r="C232" i="4"/>
  <c r="D232" i="4"/>
  <c r="E232" i="4"/>
  <c r="F232" i="4"/>
  <c r="G232" i="4"/>
  <c r="H232" i="4"/>
  <c r="J232" i="4"/>
  <c r="K232" i="4"/>
  <c r="C233" i="4"/>
  <c r="D233" i="4"/>
  <c r="E233" i="4"/>
  <c r="F233" i="4"/>
  <c r="G233" i="4"/>
  <c r="H233" i="4"/>
  <c r="J233" i="4"/>
  <c r="K233" i="4"/>
  <c r="C234" i="4"/>
  <c r="D234" i="4"/>
  <c r="E234" i="4"/>
  <c r="F234" i="4"/>
  <c r="G234" i="4"/>
  <c r="H234" i="4"/>
  <c r="J234" i="4"/>
  <c r="K234" i="4"/>
  <c r="C235" i="4"/>
  <c r="D235" i="4"/>
  <c r="E235" i="4"/>
  <c r="F235" i="4"/>
  <c r="G235" i="4"/>
  <c r="H235" i="4"/>
  <c r="J235" i="4"/>
  <c r="K235" i="4"/>
  <c r="C236" i="4"/>
  <c r="D236" i="4"/>
  <c r="E236" i="4"/>
  <c r="F236" i="4"/>
  <c r="G236" i="4"/>
  <c r="H236" i="4"/>
  <c r="J236" i="4"/>
  <c r="K236" i="4"/>
  <c r="C237" i="4"/>
  <c r="D237" i="4"/>
  <c r="E237" i="4"/>
  <c r="F237" i="4"/>
  <c r="G237" i="4"/>
  <c r="H237" i="4"/>
  <c r="J237" i="4"/>
  <c r="K237" i="4"/>
  <c r="C238" i="4"/>
  <c r="D238" i="4"/>
  <c r="E238" i="4"/>
  <c r="F238" i="4"/>
  <c r="G238" i="4"/>
  <c r="H238" i="4"/>
  <c r="J238" i="4"/>
  <c r="K238" i="4"/>
  <c r="C239" i="4"/>
  <c r="D239" i="4"/>
  <c r="E239" i="4"/>
  <c r="F239" i="4"/>
  <c r="G239" i="4"/>
  <c r="H239" i="4"/>
  <c r="J239" i="4"/>
  <c r="K239" i="4"/>
  <c r="C240" i="4"/>
  <c r="D240" i="4"/>
  <c r="E240" i="4"/>
  <c r="F240" i="4"/>
  <c r="G240" i="4"/>
  <c r="H240" i="4"/>
  <c r="J240" i="4"/>
  <c r="K240" i="4"/>
  <c r="C241" i="4"/>
  <c r="D241" i="4"/>
  <c r="E241" i="4"/>
  <c r="F241" i="4"/>
  <c r="G241" i="4"/>
  <c r="H241" i="4"/>
  <c r="J241" i="4"/>
  <c r="K241" i="4"/>
  <c r="C242" i="4"/>
  <c r="D242" i="4"/>
  <c r="E242" i="4"/>
  <c r="F242" i="4"/>
  <c r="G242" i="4"/>
  <c r="H242" i="4"/>
  <c r="J242" i="4"/>
  <c r="K242" i="4"/>
  <c r="C243" i="4"/>
  <c r="D243" i="4"/>
  <c r="E243" i="4"/>
  <c r="F243" i="4"/>
  <c r="G243" i="4"/>
  <c r="H243" i="4"/>
  <c r="J243" i="4"/>
  <c r="K243" i="4"/>
  <c r="C244" i="4"/>
  <c r="D244" i="4"/>
  <c r="E244" i="4"/>
  <c r="F244" i="4"/>
  <c r="G244" i="4"/>
  <c r="H244" i="4"/>
  <c r="J244" i="4"/>
  <c r="K244" i="4"/>
  <c r="C245" i="4"/>
  <c r="D245" i="4"/>
  <c r="E245" i="4"/>
  <c r="F245" i="4"/>
  <c r="G245" i="4"/>
  <c r="H245" i="4"/>
  <c r="J245" i="4"/>
  <c r="K245" i="4"/>
  <c r="C246" i="4"/>
  <c r="D246" i="4"/>
  <c r="E246" i="4"/>
  <c r="F246" i="4"/>
  <c r="G246" i="4"/>
  <c r="H246" i="4"/>
  <c r="J246" i="4"/>
  <c r="K246" i="4"/>
  <c r="C247" i="4"/>
  <c r="D247" i="4"/>
  <c r="E247" i="4"/>
  <c r="F247" i="4"/>
  <c r="G247" i="4"/>
  <c r="H247" i="4"/>
  <c r="J247" i="4"/>
  <c r="K247" i="4"/>
  <c r="C248" i="4"/>
  <c r="D248" i="4"/>
  <c r="E248" i="4"/>
  <c r="F248" i="4"/>
  <c r="G248" i="4"/>
  <c r="H248" i="4"/>
  <c r="J248" i="4"/>
  <c r="K248" i="4"/>
  <c r="C249" i="4"/>
  <c r="D249" i="4"/>
  <c r="E249" i="4"/>
  <c r="F249" i="4"/>
  <c r="G249" i="4"/>
  <c r="H249" i="4"/>
  <c r="J249" i="4"/>
  <c r="K249" i="4"/>
  <c r="C250" i="4"/>
  <c r="D250" i="4"/>
  <c r="E250" i="4"/>
  <c r="F250" i="4"/>
  <c r="G250" i="4"/>
  <c r="H250" i="4"/>
  <c r="J250" i="4"/>
  <c r="K250" i="4"/>
  <c r="C251" i="4"/>
  <c r="D251" i="4"/>
  <c r="E251" i="4"/>
  <c r="F251" i="4"/>
  <c r="G251" i="4"/>
  <c r="H251" i="4"/>
  <c r="J251" i="4"/>
  <c r="K251" i="4"/>
  <c r="C252" i="4"/>
  <c r="D252" i="4"/>
  <c r="E252" i="4"/>
  <c r="F252" i="4"/>
  <c r="G252" i="4"/>
  <c r="H252" i="4"/>
  <c r="J252" i="4"/>
  <c r="K252" i="4"/>
  <c r="C253" i="4"/>
  <c r="D253" i="4"/>
  <c r="E253" i="4"/>
  <c r="F253" i="4"/>
  <c r="G253" i="4"/>
  <c r="H253" i="4"/>
  <c r="J253" i="4"/>
  <c r="K253" i="4"/>
  <c r="C254" i="4"/>
  <c r="D254" i="4"/>
  <c r="E254" i="4"/>
  <c r="F254" i="4"/>
  <c r="G254" i="4"/>
  <c r="H254" i="4"/>
  <c r="J254" i="4"/>
  <c r="K254" i="4"/>
  <c r="C255" i="4"/>
  <c r="D255" i="4"/>
  <c r="E255" i="4"/>
  <c r="F255" i="4"/>
  <c r="G255" i="4"/>
  <c r="H255" i="4"/>
  <c r="J255" i="4"/>
  <c r="K255" i="4"/>
  <c r="C256" i="4"/>
  <c r="D256" i="4"/>
  <c r="E256" i="4"/>
  <c r="F256" i="4"/>
  <c r="G256" i="4"/>
  <c r="H256" i="4"/>
  <c r="J256" i="4"/>
  <c r="K256" i="4"/>
  <c r="C257" i="4"/>
  <c r="D257" i="4"/>
  <c r="E257" i="4"/>
  <c r="F257" i="4"/>
  <c r="G257" i="4"/>
  <c r="H257" i="4"/>
  <c r="J257" i="4"/>
  <c r="K257" i="4"/>
  <c r="C258" i="4"/>
  <c r="D258" i="4"/>
  <c r="E258" i="4"/>
  <c r="F258" i="4"/>
  <c r="G258" i="4"/>
  <c r="H258" i="4"/>
  <c r="J258" i="4"/>
  <c r="K258" i="4"/>
  <c r="C259" i="4"/>
  <c r="D259" i="4"/>
  <c r="E259" i="4"/>
  <c r="F259" i="4"/>
  <c r="G259" i="4"/>
  <c r="H259" i="4"/>
  <c r="J259" i="4"/>
  <c r="K259" i="4"/>
  <c r="C260" i="4"/>
  <c r="D260" i="4"/>
  <c r="E260" i="4"/>
  <c r="F260" i="4"/>
  <c r="G260" i="4"/>
  <c r="H260" i="4"/>
  <c r="J260" i="4"/>
  <c r="K260" i="4"/>
  <c r="C261" i="4"/>
  <c r="D261" i="4"/>
  <c r="E261" i="4"/>
  <c r="F261" i="4"/>
  <c r="G261" i="4"/>
  <c r="H261" i="4"/>
  <c r="J261" i="4"/>
  <c r="K261" i="4"/>
  <c r="C262" i="4"/>
  <c r="D262" i="4"/>
  <c r="E262" i="4"/>
  <c r="F262" i="4"/>
  <c r="G262" i="4"/>
  <c r="H262" i="4"/>
  <c r="J262" i="4"/>
  <c r="K262" i="4"/>
  <c r="C263" i="4"/>
  <c r="D263" i="4"/>
  <c r="E263" i="4"/>
  <c r="F263" i="4"/>
  <c r="G263" i="4"/>
  <c r="H263" i="4"/>
  <c r="J263" i="4"/>
  <c r="K263" i="4"/>
  <c r="C264" i="4"/>
  <c r="D264" i="4"/>
  <c r="E264" i="4"/>
  <c r="F264" i="4"/>
  <c r="G264" i="4"/>
  <c r="H264" i="4"/>
  <c r="J264" i="4"/>
  <c r="K264" i="4"/>
  <c r="C265" i="4"/>
  <c r="D265" i="4"/>
  <c r="E265" i="4"/>
  <c r="F265" i="4"/>
  <c r="G265" i="4"/>
  <c r="H265" i="4"/>
  <c r="J265" i="4"/>
  <c r="K265" i="4"/>
  <c r="C266" i="4"/>
  <c r="D266" i="4"/>
  <c r="E266" i="4"/>
  <c r="F266" i="4"/>
  <c r="G266" i="4"/>
  <c r="H266" i="4"/>
  <c r="J266" i="4"/>
  <c r="K266" i="4"/>
  <c r="C267" i="4"/>
  <c r="D267" i="4"/>
  <c r="E267" i="4"/>
  <c r="F267" i="4"/>
  <c r="G267" i="4"/>
  <c r="H267" i="4"/>
  <c r="J267" i="4"/>
  <c r="K267" i="4"/>
  <c r="C268" i="4"/>
  <c r="D268" i="4"/>
  <c r="E268" i="4"/>
  <c r="F268" i="4"/>
  <c r="G268" i="4"/>
  <c r="H268" i="4"/>
  <c r="J268" i="4"/>
  <c r="K268" i="4"/>
  <c r="C269" i="4"/>
  <c r="D269" i="4"/>
  <c r="E269" i="4"/>
  <c r="F269" i="4"/>
  <c r="G269" i="4"/>
  <c r="H269" i="4"/>
  <c r="J269" i="4"/>
  <c r="K269" i="4"/>
  <c r="C270" i="4"/>
  <c r="D270" i="4"/>
  <c r="E270" i="4"/>
  <c r="F270" i="4"/>
  <c r="G270" i="4"/>
  <c r="H270" i="4"/>
  <c r="J270" i="4"/>
  <c r="K270" i="4"/>
  <c r="C271" i="4"/>
  <c r="D271" i="4"/>
  <c r="E271" i="4"/>
  <c r="F271" i="4"/>
  <c r="G271" i="4"/>
  <c r="H271" i="4"/>
  <c r="J271" i="4"/>
  <c r="K271" i="4"/>
  <c r="C272" i="4"/>
  <c r="D272" i="4"/>
  <c r="E272" i="4"/>
  <c r="F272" i="4"/>
  <c r="G272" i="4"/>
  <c r="H272" i="4"/>
  <c r="J272" i="4"/>
  <c r="K272" i="4"/>
  <c r="C273" i="4"/>
  <c r="D273" i="4"/>
  <c r="E273" i="4"/>
  <c r="F273" i="4"/>
  <c r="G273" i="4"/>
  <c r="H273" i="4"/>
  <c r="J273" i="4"/>
  <c r="K273" i="4"/>
  <c r="C274" i="4"/>
  <c r="D274" i="4"/>
  <c r="E274" i="4"/>
  <c r="F274" i="4"/>
  <c r="G274" i="4"/>
  <c r="H274" i="4"/>
  <c r="J274" i="4"/>
  <c r="K274" i="4"/>
  <c r="C275" i="4"/>
  <c r="D275" i="4"/>
  <c r="E275" i="4"/>
  <c r="F275" i="4"/>
  <c r="G275" i="4"/>
  <c r="H275" i="4"/>
  <c r="J275" i="4"/>
  <c r="K275" i="4"/>
  <c r="C276" i="4"/>
  <c r="D276" i="4"/>
  <c r="E276" i="4"/>
  <c r="F276" i="4"/>
  <c r="G276" i="4"/>
  <c r="H276" i="4"/>
  <c r="J276" i="4"/>
  <c r="K276" i="4"/>
  <c r="C277" i="4"/>
  <c r="D277" i="4"/>
  <c r="E277" i="4"/>
  <c r="F277" i="4"/>
  <c r="G277" i="4"/>
  <c r="H277" i="4"/>
  <c r="J277" i="4"/>
  <c r="K277" i="4"/>
  <c r="C278" i="4"/>
  <c r="D278" i="4"/>
  <c r="E278" i="4"/>
  <c r="F278" i="4"/>
  <c r="G278" i="4"/>
  <c r="H278" i="4"/>
  <c r="J278" i="4"/>
  <c r="K278" i="4"/>
  <c r="C279" i="4"/>
  <c r="D279" i="4"/>
  <c r="E279" i="4"/>
  <c r="F279" i="4"/>
  <c r="G279" i="4"/>
  <c r="H279" i="4"/>
  <c r="J279" i="4"/>
  <c r="K279" i="4"/>
  <c r="C280" i="4"/>
  <c r="D280" i="4"/>
  <c r="E280" i="4"/>
  <c r="F280" i="4"/>
  <c r="G280" i="4"/>
  <c r="H280" i="4"/>
  <c r="J280" i="4"/>
  <c r="K280" i="4"/>
  <c r="C281" i="4"/>
  <c r="D281" i="4"/>
  <c r="E281" i="4"/>
  <c r="F281" i="4"/>
  <c r="G281" i="4"/>
  <c r="H281" i="4"/>
  <c r="J281" i="4"/>
  <c r="K281" i="4"/>
  <c r="C282" i="4"/>
  <c r="D282" i="4"/>
  <c r="E282" i="4"/>
  <c r="F282" i="4"/>
  <c r="G282" i="4"/>
  <c r="H282" i="4"/>
  <c r="J282" i="4"/>
  <c r="K282" i="4"/>
  <c r="C283" i="4"/>
  <c r="D283" i="4"/>
  <c r="E283" i="4"/>
  <c r="F283" i="4"/>
  <c r="G283" i="4"/>
  <c r="H283" i="4"/>
  <c r="J283" i="4"/>
  <c r="K283" i="4"/>
  <c r="C284" i="4"/>
  <c r="D284" i="4"/>
  <c r="E284" i="4"/>
  <c r="F284" i="4"/>
  <c r="G284" i="4"/>
  <c r="H284" i="4"/>
  <c r="J284" i="4"/>
  <c r="K284" i="4"/>
  <c r="C285" i="4"/>
  <c r="D285" i="4"/>
  <c r="E285" i="4"/>
  <c r="F285" i="4"/>
  <c r="G285" i="4"/>
  <c r="H285" i="4"/>
  <c r="J285" i="4"/>
  <c r="K285" i="4"/>
  <c r="C286" i="4"/>
  <c r="D286" i="4"/>
  <c r="E286" i="4"/>
  <c r="F286" i="4"/>
  <c r="G286" i="4"/>
  <c r="H286" i="4"/>
  <c r="J286" i="4"/>
  <c r="K286" i="4"/>
  <c r="C287" i="4"/>
  <c r="D287" i="4"/>
  <c r="E287" i="4"/>
  <c r="F287" i="4"/>
  <c r="G287" i="4"/>
  <c r="H287" i="4"/>
  <c r="J287" i="4"/>
  <c r="K287" i="4"/>
  <c r="C288" i="4"/>
  <c r="D288" i="4"/>
  <c r="E288" i="4"/>
  <c r="F288" i="4"/>
  <c r="G288" i="4"/>
  <c r="H288" i="4"/>
  <c r="J288" i="4"/>
  <c r="K288" i="4"/>
  <c r="C289" i="4"/>
  <c r="D289" i="4"/>
  <c r="E289" i="4"/>
  <c r="F289" i="4"/>
  <c r="G289" i="4"/>
  <c r="H289" i="4"/>
  <c r="J289" i="4"/>
  <c r="K289" i="4"/>
  <c r="C290" i="4"/>
  <c r="D290" i="4"/>
  <c r="E290" i="4"/>
  <c r="F290" i="4"/>
  <c r="G290" i="4"/>
  <c r="H290" i="4"/>
  <c r="J290" i="4"/>
  <c r="K290" i="4"/>
  <c r="C291" i="4"/>
  <c r="D291" i="4"/>
  <c r="E291" i="4"/>
  <c r="F291" i="4"/>
  <c r="G291" i="4"/>
  <c r="H291" i="4"/>
  <c r="J291" i="4"/>
  <c r="K291" i="4"/>
  <c r="C292" i="4"/>
  <c r="D292" i="4"/>
  <c r="E292" i="4"/>
  <c r="F292" i="4"/>
  <c r="G292" i="4"/>
  <c r="H292" i="4"/>
  <c r="J292" i="4"/>
  <c r="K292" i="4"/>
  <c r="C293" i="4"/>
  <c r="D293" i="4"/>
  <c r="E293" i="4"/>
  <c r="F293" i="4"/>
  <c r="G293" i="4"/>
  <c r="H293" i="4"/>
  <c r="J293" i="4"/>
  <c r="K293" i="4"/>
  <c r="C294" i="4"/>
  <c r="D294" i="4"/>
  <c r="E294" i="4"/>
  <c r="F294" i="4"/>
  <c r="G294" i="4"/>
  <c r="H294" i="4"/>
  <c r="J294" i="4"/>
  <c r="K294" i="4"/>
  <c r="C295" i="4"/>
  <c r="D295" i="4"/>
  <c r="E295" i="4"/>
  <c r="F295" i="4"/>
  <c r="G295" i="4"/>
  <c r="H295" i="4"/>
  <c r="J295" i="4"/>
  <c r="K295" i="4"/>
  <c r="C296" i="4"/>
  <c r="D296" i="4"/>
  <c r="E296" i="4"/>
  <c r="F296" i="4"/>
  <c r="G296" i="4"/>
  <c r="H296" i="4"/>
  <c r="J296" i="4"/>
  <c r="K296" i="4"/>
  <c r="C297" i="4"/>
  <c r="D297" i="4"/>
  <c r="E297" i="4"/>
  <c r="F297" i="4"/>
  <c r="G297" i="4"/>
  <c r="H297" i="4"/>
  <c r="J297" i="4"/>
  <c r="K297" i="4"/>
  <c r="C298" i="4"/>
  <c r="D298" i="4"/>
  <c r="E298" i="4"/>
  <c r="F298" i="4"/>
  <c r="G298" i="4"/>
  <c r="H298" i="4"/>
  <c r="J298" i="4"/>
  <c r="K298" i="4"/>
  <c r="C299" i="4"/>
  <c r="D299" i="4"/>
  <c r="E299" i="4"/>
  <c r="F299" i="4"/>
  <c r="G299" i="4"/>
  <c r="H299" i="4"/>
  <c r="J299" i="4"/>
  <c r="K299" i="4"/>
  <c r="C300" i="4"/>
  <c r="D300" i="4"/>
  <c r="E300" i="4"/>
  <c r="F300" i="4"/>
  <c r="G300" i="4"/>
  <c r="H300" i="4"/>
  <c r="J300" i="4"/>
  <c r="K300" i="4"/>
  <c r="C301" i="4"/>
  <c r="D301" i="4"/>
  <c r="E301" i="4"/>
  <c r="F301" i="4"/>
  <c r="G301" i="4"/>
  <c r="H301" i="4"/>
  <c r="J301" i="4"/>
  <c r="K301" i="4"/>
  <c r="C302" i="4"/>
  <c r="D302" i="4"/>
  <c r="E302" i="4"/>
  <c r="F302" i="4"/>
  <c r="G302" i="4"/>
  <c r="H302" i="4"/>
  <c r="J302" i="4"/>
  <c r="K302" i="4"/>
  <c r="C303" i="4"/>
  <c r="D303" i="4"/>
  <c r="E303" i="4"/>
  <c r="F303" i="4"/>
  <c r="G303" i="4"/>
  <c r="H303" i="4"/>
  <c r="J303" i="4"/>
  <c r="K303" i="4"/>
  <c r="C304" i="4"/>
  <c r="D304" i="4"/>
  <c r="E304" i="4"/>
  <c r="F304" i="4"/>
  <c r="G304" i="4"/>
  <c r="H304" i="4"/>
  <c r="J304" i="4"/>
  <c r="K304" i="4"/>
  <c r="C305" i="4"/>
  <c r="D305" i="4"/>
  <c r="E305" i="4"/>
  <c r="F305" i="4"/>
  <c r="G305" i="4"/>
  <c r="H305" i="4"/>
  <c r="J305" i="4"/>
  <c r="K305" i="4"/>
  <c r="C306" i="4"/>
  <c r="D306" i="4"/>
  <c r="E306" i="4"/>
  <c r="F306" i="4"/>
  <c r="G306" i="4"/>
  <c r="H306" i="4"/>
  <c r="J306" i="4"/>
  <c r="K306" i="4"/>
  <c r="C307" i="4"/>
  <c r="D307" i="4"/>
  <c r="E307" i="4"/>
  <c r="F307" i="4"/>
  <c r="G307" i="4"/>
  <c r="H307" i="4"/>
  <c r="J307" i="4"/>
  <c r="K307" i="4"/>
  <c r="C308" i="4"/>
  <c r="D308" i="4"/>
  <c r="E308" i="4"/>
  <c r="F308" i="4"/>
  <c r="G308" i="4"/>
  <c r="H308" i="4"/>
  <c r="J308" i="4"/>
  <c r="K308" i="4"/>
  <c r="C309" i="4"/>
  <c r="D309" i="4"/>
  <c r="E309" i="4"/>
  <c r="F309" i="4"/>
  <c r="G309" i="4"/>
  <c r="H309" i="4"/>
  <c r="J309" i="4"/>
  <c r="K309" i="4"/>
  <c r="C310" i="4"/>
  <c r="D310" i="4"/>
  <c r="E310" i="4"/>
  <c r="F310" i="4"/>
  <c r="G310" i="4"/>
  <c r="H310" i="4"/>
  <c r="J310" i="4"/>
  <c r="K310" i="4"/>
  <c r="C311" i="4"/>
  <c r="D311" i="4"/>
  <c r="E311" i="4"/>
  <c r="F311" i="4"/>
  <c r="G311" i="4"/>
  <c r="H311" i="4"/>
  <c r="J311" i="4"/>
  <c r="K311" i="4"/>
  <c r="C312" i="4"/>
  <c r="D312" i="4"/>
  <c r="E312" i="4"/>
  <c r="F312" i="4"/>
  <c r="G312" i="4"/>
  <c r="H312" i="4"/>
  <c r="J312" i="4"/>
  <c r="K312" i="4"/>
  <c r="C313" i="4"/>
  <c r="D313" i="4"/>
  <c r="E313" i="4"/>
  <c r="F313" i="4"/>
  <c r="G313" i="4"/>
  <c r="H313" i="4"/>
  <c r="J313" i="4"/>
  <c r="K313" i="4"/>
  <c r="C314" i="4"/>
  <c r="D314" i="4"/>
  <c r="E314" i="4"/>
  <c r="F314" i="4"/>
  <c r="G314" i="4"/>
  <c r="H314" i="4"/>
  <c r="J314" i="4"/>
  <c r="K314" i="4"/>
  <c r="C315" i="4"/>
  <c r="D315" i="4"/>
  <c r="E315" i="4"/>
  <c r="F315" i="4"/>
  <c r="G315" i="4"/>
  <c r="H315" i="4"/>
  <c r="J315" i="4"/>
  <c r="K315" i="4"/>
  <c r="C316" i="4"/>
  <c r="D316" i="4"/>
  <c r="E316" i="4"/>
  <c r="F316" i="4"/>
  <c r="G316" i="4"/>
  <c r="H316" i="4"/>
  <c r="J316" i="4"/>
  <c r="K316" i="4"/>
  <c r="C317" i="4"/>
  <c r="D317" i="4"/>
  <c r="E317" i="4"/>
  <c r="F317" i="4"/>
  <c r="G317" i="4"/>
  <c r="H317" i="4"/>
  <c r="J317" i="4"/>
  <c r="K317" i="4"/>
  <c r="C318" i="4"/>
  <c r="D318" i="4"/>
  <c r="E318" i="4"/>
  <c r="F318" i="4"/>
  <c r="G318" i="4"/>
  <c r="H318" i="4"/>
  <c r="J318" i="4"/>
  <c r="K318" i="4"/>
  <c r="C319" i="4"/>
  <c r="D319" i="4"/>
  <c r="E319" i="4"/>
  <c r="F319" i="4"/>
  <c r="G319" i="4"/>
  <c r="H319" i="4"/>
  <c r="J319" i="4"/>
  <c r="K319" i="4"/>
  <c r="C320" i="4"/>
  <c r="D320" i="4"/>
  <c r="E320" i="4"/>
  <c r="F320" i="4"/>
  <c r="G320" i="4"/>
  <c r="H320" i="4"/>
  <c r="J320" i="4"/>
  <c r="K320" i="4"/>
  <c r="C321" i="4"/>
  <c r="D321" i="4"/>
  <c r="E321" i="4"/>
  <c r="F321" i="4"/>
  <c r="G321" i="4"/>
  <c r="H321" i="4"/>
  <c r="J321" i="4"/>
  <c r="K321" i="4"/>
  <c r="C322" i="4"/>
  <c r="D322" i="4"/>
  <c r="E322" i="4"/>
  <c r="F322" i="4"/>
  <c r="G322" i="4"/>
  <c r="H322" i="4"/>
  <c r="J322" i="4"/>
  <c r="K322" i="4"/>
  <c r="C323" i="4"/>
  <c r="D323" i="4"/>
  <c r="E323" i="4"/>
  <c r="F323" i="4"/>
  <c r="G323" i="4"/>
  <c r="H323" i="4"/>
  <c r="J323" i="4"/>
  <c r="K323" i="4"/>
  <c r="C324" i="4"/>
  <c r="D324" i="4"/>
  <c r="E324" i="4"/>
  <c r="F324" i="4"/>
  <c r="G324" i="4"/>
  <c r="H324" i="4"/>
  <c r="J324" i="4"/>
  <c r="K324" i="4"/>
  <c r="C325" i="4"/>
  <c r="D325" i="4"/>
  <c r="E325" i="4"/>
  <c r="F325" i="4"/>
  <c r="G325" i="4"/>
  <c r="H325" i="4"/>
  <c r="J325" i="4"/>
  <c r="K325" i="4"/>
  <c r="C326" i="4"/>
  <c r="D326" i="4"/>
  <c r="E326" i="4"/>
  <c r="F326" i="4"/>
  <c r="G326" i="4"/>
  <c r="H326" i="4"/>
  <c r="J326" i="4"/>
  <c r="K326" i="4"/>
  <c r="C327" i="4"/>
  <c r="D327" i="4"/>
  <c r="E327" i="4"/>
  <c r="F327" i="4"/>
  <c r="G327" i="4"/>
  <c r="H327" i="4"/>
  <c r="J327" i="4"/>
  <c r="K327" i="4"/>
  <c r="C328" i="4"/>
  <c r="D328" i="4"/>
  <c r="E328" i="4"/>
  <c r="F328" i="4"/>
  <c r="G328" i="4"/>
  <c r="H328" i="4"/>
  <c r="J328" i="4"/>
  <c r="K328" i="4"/>
  <c r="C329" i="4"/>
  <c r="D329" i="4"/>
  <c r="E329" i="4"/>
  <c r="F329" i="4"/>
  <c r="G329" i="4"/>
  <c r="H329" i="4"/>
  <c r="J329" i="4"/>
  <c r="K329" i="4"/>
  <c r="C330" i="4"/>
  <c r="D330" i="4"/>
  <c r="E330" i="4"/>
  <c r="F330" i="4"/>
  <c r="G330" i="4"/>
  <c r="H330" i="4"/>
  <c r="J330" i="4"/>
  <c r="K330" i="4"/>
  <c r="C331" i="4"/>
  <c r="D331" i="4"/>
  <c r="E331" i="4"/>
  <c r="F331" i="4"/>
  <c r="G331" i="4"/>
  <c r="H331" i="4"/>
  <c r="J331" i="4"/>
  <c r="K331" i="4"/>
  <c r="C332" i="4"/>
  <c r="D332" i="4"/>
  <c r="E332" i="4"/>
  <c r="F332" i="4"/>
  <c r="G332" i="4"/>
  <c r="H332" i="4"/>
  <c r="J332" i="4"/>
  <c r="K332" i="4"/>
  <c r="C333" i="4"/>
  <c r="D333" i="4"/>
  <c r="E333" i="4"/>
  <c r="F333" i="4"/>
  <c r="G333" i="4"/>
  <c r="H333" i="4"/>
  <c r="J333" i="4"/>
  <c r="K333" i="4"/>
  <c r="C334" i="4"/>
  <c r="D334" i="4"/>
  <c r="E334" i="4"/>
  <c r="F334" i="4"/>
  <c r="G334" i="4"/>
  <c r="H334" i="4"/>
  <c r="J334" i="4"/>
  <c r="K334" i="4"/>
  <c r="C335" i="4"/>
  <c r="D335" i="4"/>
  <c r="E335" i="4"/>
  <c r="F335" i="4"/>
  <c r="G335" i="4"/>
  <c r="H335" i="4"/>
  <c r="J335" i="4"/>
  <c r="K335" i="4"/>
  <c r="C336" i="4"/>
  <c r="D336" i="4"/>
  <c r="E336" i="4"/>
  <c r="F336" i="4"/>
  <c r="G336" i="4"/>
  <c r="H336" i="4"/>
  <c r="J336" i="4"/>
  <c r="K336" i="4"/>
  <c r="C337" i="4"/>
  <c r="D337" i="4"/>
  <c r="E337" i="4"/>
  <c r="F337" i="4"/>
  <c r="G337" i="4"/>
  <c r="H337" i="4"/>
  <c r="J337" i="4"/>
  <c r="K337" i="4"/>
  <c r="C338" i="4"/>
  <c r="D338" i="4"/>
  <c r="E338" i="4"/>
  <c r="F338" i="4"/>
  <c r="G338" i="4"/>
  <c r="H338" i="4"/>
  <c r="J338" i="4"/>
  <c r="K338" i="4"/>
  <c r="C339" i="4"/>
  <c r="D339" i="4"/>
  <c r="E339" i="4"/>
  <c r="F339" i="4"/>
  <c r="G339" i="4"/>
  <c r="H339" i="4"/>
  <c r="J339" i="4"/>
  <c r="K339" i="4"/>
  <c r="C340" i="4"/>
  <c r="D340" i="4"/>
  <c r="E340" i="4"/>
  <c r="F340" i="4"/>
  <c r="G340" i="4"/>
  <c r="H340" i="4"/>
  <c r="J340" i="4"/>
  <c r="K340" i="4"/>
  <c r="C341" i="4"/>
  <c r="D341" i="4"/>
  <c r="E341" i="4"/>
  <c r="F341" i="4"/>
  <c r="G341" i="4"/>
  <c r="H341" i="4"/>
  <c r="J341" i="4"/>
  <c r="K341" i="4"/>
  <c r="C342" i="4"/>
  <c r="D342" i="4"/>
  <c r="E342" i="4"/>
  <c r="F342" i="4"/>
  <c r="G342" i="4"/>
  <c r="H342" i="4"/>
  <c r="J342" i="4"/>
  <c r="K342" i="4"/>
  <c r="C343" i="4"/>
  <c r="D343" i="4"/>
  <c r="E343" i="4"/>
  <c r="F343" i="4"/>
  <c r="G343" i="4"/>
  <c r="H343" i="4"/>
  <c r="J343" i="4"/>
  <c r="K343" i="4"/>
  <c r="C344" i="4"/>
  <c r="D344" i="4"/>
  <c r="E344" i="4"/>
  <c r="F344" i="4"/>
  <c r="G344" i="4"/>
  <c r="H344" i="4"/>
  <c r="J344" i="4"/>
  <c r="K344" i="4"/>
  <c r="C345" i="4"/>
  <c r="D345" i="4"/>
  <c r="E345" i="4"/>
  <c r="F345" i="4"/>
  <c r="G345" i="4"/>
  <c r="H345" i="4"/>
  <c r="J345" i="4"/>
  <c r="K345" i="4"/>
  <c r="C346" i="4"/>
  <c r="D346" i="4"/>
  <c r="E346" i="4"/>
  <c r="F346" i="4"/>
  <c r="G346" i="4"/>
  <c r="H346" i="4"/>
  <c r="J346" i="4"/>
  <c r="K346" i="4"/>
  <c r="C347" i="4"/>
  <c r="D347" i="4"/>
  <c r="E347" i="4"/>
  <c r="F347" i="4"/>
  <c r="G347" i="4"/>
  <c r="H347" i="4"/>
  <c r="J347" i="4"/>
  <c r="K347" i="4"/>
  <c r="C348" i="4"/>
  <c r="D348" i="4"/>
  <c r="E348" i="4"/>
  <c r="F348" i="4"/>
  <c r="G348" i="4"/>
  <c r="H348" i="4"/>
  <c r="J348" i="4"/>
  <c r="K348" i="4"/>
  <c r="C349" i="4"/>
  <c r="D349" i="4"/>
  <c r="E349" i="4"/>
  <c r="F349" i="4"/>
  <c r="G349" i="4"/>
  <c r="H349" i="4"/>
  <c r="J349" i="4"/>
  <c r="K349" i="4"/>
  <c r="C350" i="4"/>
  <c r="D350" i="4"/>
  <c r="E350" i="4"/>
  <c r="F350" i="4"/>
  <c r="G350" i="4"/>
  <c r="H350" i="4"/>
  <c r="J350" i="4"/>
  <c r="K350" i="4"/>
  <c r="C351" i="4"/>
  <c r="D351" i="4"/>
  <c r="E351" i="4"/>
  <c r="F351" i="4"/>
  <c r="G351" i="4"/>
  <c r="H351" i="4"/>
  <c r="J351" i="4"/>
  <c r="K351" i="4"/>
  <c r="C352" i="4"/>
  <c r="D352" i="4"/>
  <c r="E352" i="4"/>
  <c r="F352" i="4"/>
  <c r="G352" i="4"/>
  <c r="H352" i="4"/>
  <c r="J352" i="4"/>
  <c r="K352" i="4"/>
  <c r="C353" i="4"/>
  <c r="D353" i="4"/>
  <c r="E353" i="4"/>
  <c r="F353" i="4"/>
  <c r="G353" i="4"/>
  <c r="H353" i="4"/>
  <c r="J353" i="4"/>
  <c r="K353" i="4"/>
  <c r="C354" i="4"/>
  <c r="D354" i="4"/>
  <c r="E354" i="4"/>
  <c r="F354" i="4"/>
  <c r="G354" i="4"/>
  <c r="H354" i="4"/>
  <c r="J354" i="4"/>
  <c r="K354" i="4"/>
  <c r="C355" i="4"/>
  <c r="D355" i="4"/>
  <c r="E355" i="4"/>
  <c r="F355" i="4"/>
  <c r="G355" i="4"/>
  <c r="H355" i="4"/>
  <c r="J355" i="4"/>
  <c r="K355" i="4"/>
  <c r="C356" i="4"/>
  <c r="D356" i="4"/>
  <c r="E356" i="4"/>
  <c r="F356" i="4"/>
  <c r="G356" i="4"/>
  <c r="H356" i="4"/>
  <c r="J356" i="4"/>
  <c r="K356" i="4"/>
  <c r="C357" i="4"/>
  <c r="D357" i="4"/>
  <c r="E357" i="4"/>
  <c r="F357" i="4"/>
  <c r="G357" i="4"/>
  <c r="H357" i="4"/>
  <c r="J357" i="4"/>
  <c r="K357" i="4"/>
  <c r="C358" i="4"/>
  <c r="D358" i="4"/>
  <c r="E358" i="4"/>
  <c r="F358" i="4"/>
  <c r="G358" i="4"/>
  <c r="H358" i="4"/>
  <c r="J358" i="4"/>
  <c r="K358" i="4"/>
  <c r="C359" i="4"/>
  <c r="D359" i="4"/>
  <c r="E359" i="4"/>
  <c r="F359" i="4"/>
  <c r="G359" i="4"/>
  <c r="H359" i="4"/>
  <c r="J359" i="4"/>
  <c r="K359" i="4"/>
  <c r="C360" i="4"/>
  <c r="D360" i="4"/>
  <c r="E360" i="4"/>
  <c r="F360" i="4"/>
  <c r="G360" i="4"/>
  <c r="H360" i="4"/>
  <c r="J360" i="4"/>
  <c r="K360" i="4"/>
  <c r="C361" i="4"/>
  <c r="D361" i="4"/>
  <c r="E361" i="4"/>
  <c r="F361" i="4"/>
  <c r="G361" i="4"/>
  <c r="H361" i="4"/>
  <c r="J361" i="4"/>
  <c r="K361" i="4"/>
  <c r="C362" i="4"/>
  <c r="D362" i="4"/>
  <c r="E362" i="4"/>
  <c r="F362" i="4"/>
  <c r="G362" i="4"/>
  <c r="H362" i="4"/>
  <c r="J362" i="4"/>
  <c r="K362" i="4"/>
  <c r="C363" i="4"/>
  <c r="D363" i="4"/>
  <c r="E363" i="4"/>
  <c r="F363" i="4"/>
  <c r="G363" i="4"/>
  <c r="H363" i="4"/>
  <c r="J363" i="4"/>
  <c r="K363" i="4"/>
  <c r="C364" i="4"/>
  <c r="D364" i="4"/>
  <c r="E364" i="4"/>
  <c r="F364" i="4"/>
  <c r="G364" i="4"/>
  <c r="H364" i="4"/>
  <c r="J364" i="4"/>
  <c r="K364" i="4"/>
  <c r="C365" i="4"/>
  <c r="D365" i="4"/>
  <c r="E365" i="4"/>
  <c r="F365" i="4"/>
  <c r="G365" i="4"/>
  <c r="H365" i="4"/>
  <c r="J365" i="4"/>
  <c r="K365" i="4"/>
  <c r="C366" i="4"/>
  <c r="D366" i="4"/>
  <c r="E366" i="4"/>
  <c r="F366" i="4"/>
  <c r="G366" i="4"/>
  <c r="H366" i="4"/>
  <c r="J366" i="4"/>
  <c r="K366" i="4"/>
  <c r="C367" i="4"/>
  <c r="D367" i="4"/>
  <c r="E367" i="4"/>
  <c r="F367" i="4"/>
  <c r="G367" i="4"/>
  <c r="H367" i="4"/>
  <c r="J367" i="4"/>
  <c r="K367" i="4"/>
  <c r="C368" i="4"/>
  <c r="D368" i="4"/>
  <c r="E368" i="4"/>
  <c r="F368" i="4"/>
  <c r="G368" i="4"/>
  <c r="H368" i="4"/>
  <c r="J368" i="4"/>
  <c r="K368" i="4"/>
  <c r="C369" i="4"/>
  <c r="D369" i="4"/>
  <c r="E369" i="4"/>
  <c r="F369" i="4"/>
  <c r="G369" i="4"/>
  <c r="H369" i="4"/>
  <c r="J369" i="4"/>
  <c r="K369" i="4"/>
  <c r="C370" i="4"/>
  <c r="D370" i="4"/>
  <c r="E370" i="4"/>
  <c r="F370" i="4"/>
  <c r="G370" i="4"/>
  <c r="H370" i="4"/>
  <c r="J370" i="4"/>
  <c r="K370" i="4"/>
  <c r="C371" i="4"/>
  <c r="D371" i="4"/>
  <c r="E371" i="4"/>
  <c r="F371" i="4"/>
  <c r="G371" i="4"/>
  <c r="H371" i="4"/>
  <c r="J371" i="4"/>
  <c r="K371" i="4"/>
  <c r="C372" i="4"/>
  <c r="D372" i="4"/>
  <c r="E372" i="4"/>
  <c r="F372" i="4"/>
  <c r="G372" i="4"/>
  <c r="H372" i="4"/>
  <c r="J372" i="4"/>
  <c r="K372" i="4"/>
  <c r="C373" i="4"/>
  <c r="D373" i="4"/>
  <c r="E373" i="4"/>
  <c r="F373" i="4"/>
  <c r="G373" i="4"/>
  <c r="H373" i="4"/>
  <c r="J373" i="4"/>
  <c r="K373" i="4"/>
  <c r="C374" i="4"/>
  <c r="D374" i="4"/>
  <c r="E374" i="4"/>
  <c r="F374" i="4"/>
  <c r="G374" i="4"/>
  <c r="H374" i="4"/>
  <c r="J374" i="4"/>
  <c r="K374" i="4"/>
  <c r="C375" i="4"/>
  <c r="D375" i="4"/>
  <c r="E375" i="4"/>
  <c r="F375" i="4"/>
  <c r="G375" i="4"/>
  <c r="H375" i="4"/>
  <c r="J375" i="4"/>
  <c r="K375" i="4"/>
  <c r="C376" i="4"/>
  <c r="D376" i="4"/>
  <c r="E376" i="4"/>
  <c r="F376" i="4"/>
  <c r="G376" i="4"/>
  <c r="H376" i="4"/>
  <c r="J376" i="4"/>
  <c r="K376" i="4"/>
  <c r="C377" i="4"/>
  <c r="D377" i="4"/>
  <c r="E377" i="4"/>
  <c r="F377" i="4"/>
  <c r="G377" i="4"/>
  <c r="H377" i="4"/>
  <c r="J377" i="4"/>
  <c r="K377" i="4"/>
  <c r="C378" i="4"/>
  <c r="D378" i="4"/>
  <c r="E378" i="4"/>
  <c r="F378" i="4"/>
  <c r="G378" i="4"/>
  <c r="H378" i="4"/>
  <c r="J378" i="4"/>
  <c r="K378" i="4"/>
  <c r="C379" i="4"/>
  <c r="D379" i="4"/>
  <c r="E379" i="4"/>
  <c r="F379" i="4"/>
  <c r="G379" i="4"/>
  <c r="H379" i="4"/>
  <c r="J379" i="4"/>
  <c r="K379" i="4"/>
  <c r="C380" i="4"/>
  <c r="D380" i="4"/>
  <c r="E380" i="4"/>
  <c r="F380" i="4"/>
  <c r="G380" i="4"/>
  <c r="H380" i="4"/>
  <c r="J380" i="4"/>
  <c r="K380" i="4"/>
  <c r="C381" i="4"/>
  <c r="D381" i="4"/>
  <c r="E381" i="4"/>
  <c r="F381" i="4"/>
  <c r="G381" i="4"/>
  <c r="H381" i="4"/>
  <c r="J381" i="4"/>
  <c r="K381" i="4"/>
  <c r="C382" i="4"/>
  <c r="D382" i="4"/>
  <c r="E382" i="4"/>
  <c r="F382" i="4"/>
  <c r="G382" i="4"/>
  <c r="H382" i="4"/>
  <c r="J382" i="4"/>
  <c r="K382" i="4"/>
  <c r="C383" i="4"/>
  <c r="D383" i="4"/>
  <c r="E383" i="4"/>
  <c r="F383" i="4"/>
  <c r="G383" i="4"/>
  <c r="H383" i="4"/>
  <c r="J383" i="4"/>
  <c r="K383" i="4"/>
  <c r="C384" i="4"/>
  <c r="D384" i="4"/>
  <c r="E384" i="4"/>
  <c r="F384" i="4"/>
  <c r="G384" i="4"/>
  <c r="H384" i="4"/>
  <c r="J384" i="4"/>
  <c r="K384" i="4"/>
  <c r="C385" i="4"/>
  <c r="D385" i="4"/>
  <c r="E385" i="4"/>
  <c r="F385" i="4"/>
  <c r="G385" i="4"/>
  <c r="H385" i="4"/>
  <c r="J385" i="4"/>
  <c r="K385" i="4"/>
  <c r="C386" i="4"/>
  <c r="D386" i="4"/>
  <c r="E386" i="4"/>
  <c r="F386" i="4"/>
  <c r="G386" i="4"/>
  <c r="H386" i="4"/>
  <c r="J386" i="4"/>
  <c r="K386" i="4"/>
  <c r="C387" i="4"/>
  <c r="D387" i="4"/>
  <c r="E387" i="4"/>
  <c r="F387" i="4"/>
  <c r="G387" i="4"/>
  <c r="H387" i="4"/>
  <c r="J387" i="4"/>
  <c r="K387" i="4"/>
  <c r="C388" i="4"/>
  <c r="D388" i="4"/>
  <c r="E388" i="4"/>
  <c r="F388" i="4"/>
  <c r="G388" i="4"/>
  <c r="H388" i="4"/>
  <c r="J388" i="4"/>
  <c r="K388" i="4"/>
  <c r="C389" i="4"/>
  <c r="D389" i="4"/>
  <c r="E389" i="4"/>
  <c r="F389" i="4"/>
  <c r="G389" i="4"/>
  <c r="H389" i="4"/>
  <c r="J389" i="4"/>
  <c r="K389" i="4"/>
  <c r="C390" i="4"/>
  <c r="D390" i="4"/>
  <c r="E390" i="4"/>
  <c r="F390" i="4"/>
  <c r="G390" i="4"/>
  <c r="H390" i="4"/>
  <c r="J390" i="4"/>
  <c r="K390" i="4"/>
  <c r="C391" i="4"/>
  <c r="D391" i="4"/>
  <c r="E391" i="4"/>
  <c r="F391" i="4"/>
  <c r="G391" i="4"/>
  <c r="H391" i="4"/>
  <c r="J391" i="4"/>
  <c r="K391" i="4"/>
  <c r="C392" i="4"/>
  <c r="D392" i="4"/>
  <c r="E392" i="4"/>
  <c r="F392" i="4"/>
  <c r="G392" i="4"/>
  <c r="H392" i="4"/>
  <c r="J392" i="4"/>
  <c r="K392" i="4"/>
  <c r="C393" i="4"/>
  <c r="D393" i="4"/>
  <c r="E393" i="4"/>
  <c r="F393" i="4"/>
  <c r="G393" i="4"/>
  <c r="H393" i="4"/>
  <c r="J393" i="4"/>
  <c r="K393" i="4"/>
  <c r="C394" i="4"/>
  <c r="D394" i="4"/>
  <c r="E394" i="4"/>
  <c r="F394" i="4"/>
  <c r="G394" i="4"/>
  <c r="H394" i="4"/>
  <c r="J394" i="4"/>
  <c r="K394" i="4"/>
  <c r="C395" i="4"/>
  <c r="D395" i="4"/>
  <c r="E395" i="4"/>
  <c r="F395" i="4"/>
  <c r="G395" i="4"/>
  <c r="H395" i="4"/>
  <c r="J395" i="4"/>
  <c r="K395" i="4"/>
  <c r="C396" i="4"/>
  <c r="D396" i="4"/>
  <c r="E396" i="4"/>
  <c r="F396" i="4"/>
  <c r="G396" i="4"/>
  <c r="H396" i="4"/>
  <c r="J396" i="4"/>
  <c r="K396" i="4"/>
  <c r="C397" i="4"/>
  <c r="D397" i="4"/>
  <c r="E397" i="4"/>
  <c r="F397" i="4"/>
  <c r="G397" i="4"/>
  <c r="H397" i="4"/>
  <c r="J397" i="4"/>
  <c r="K397" i="4"/>
  <c r="C398" i="4"/>
  <c r="D398" i="4"/>
  <c r="E398" i="4"/>
  <c r="F398" i="4"/>
  <c r="G398" i="4"/>
  <c r="H398" i="4"/>
  <c r="J398" i="4"/>
  <c r="K398" i="4"/>
  <c r="C399" i="4"/>
  <c r="D399" i="4"/>
  <c r="E399" i="4"/>
  <c r="F399" i="4"/>
  <c r="G399" i="4"/>
  <c r="H399" i="4"/>
  <c r="J399" i="4"/>
  <c r="K399" i="4"/>
  <c r="C400" i="4"/>
  <c r="D400" i="4"/>
  <c r="E400" i="4"/>
  <c r="F400" i="4"/>
  <c r="G400" i="4"/>
  <c r="H400" i="4"/>
  <c r="J400" i="4"/>
  <c r="K400" i="4"/>
  <c r="C401" i="4"/>
  <c r="D401" i="4"/>
  <c r="E401" i="4"/>
  <c r="F401" i="4"/>
  <c r="G401" i="4"/>
  <c r="H401" i="4"/>
  <c r="J401" i="4"/>
  <c r="K401" i="4"/>
  <c r="C402" i="4"/>
  <c r="D402" i="4"/>
  <c r="E402" i="4"/>
  <c r="F402" i="4"/>
  <c r="G402" i="4"/>
  <c r="H402" i="4"/>
  <c r="J402" i="4"/>
  <c r="K402" i="4"/>
  <c r="C403" i="4"/>
  <c r="D403" i="4"/>
  <c r="E403" i="4"/>
  <c r="F403" i="4"/>
  <c r="G403" i="4"/>
  <c r="H403" i="4"/>
  <c r="J403" i="4"/>
  <c r="K403" i="4"/>
  <c r="C404" i="4"/>
  <c r="D404" i="4"/>
  <c r="E404" i="4"/>
  <c r="F404" i="4"/>
  <c r="G404" i="4"/>
  <c r="H404" i="4"/>
  <c r="J404" i="4"/>
  <c r="K404" i="4"/>
  <c r="C405" i="4"/>
  <c r="D405" i="4"/>
  <c r="E405" i="4"/>
  <c r="F405" i="4"/>
  <c r="G405" i="4"/>
  <c r="H405" i="4"/>
  <c r="J405" i="4"/>
  <c r="K405" i="4"/>
  <c r="C406" i="4"/>
  <c r="D406" i="4"/>
  <c r="E406" i="4"/>
  <c r="F406" i="4"/>
  <c r="G406" i="4"/>
  <c r="H406" i="4"/>
  <c r="J406" i="4"/>
  <c r="K406" i="4"/>
  <c r="C407" i="4"/>
  <c r="D407" i="4"/>
  <c r="E407" i="4"/>
  <c r="F407" i="4"/>
  <c r="G407" i="4"/>
  <c r="H407" i="4"/>
  <c r="J407" i="4"/>
  <c r="K407" i="4"/>
  <c r="C408" i="4"/>
  <c r="D408" i="4"/>
  <c r="E408" i="4"/>
  <c r="F408" i="4"/>
  <c r="G408" i="4"/>
  <c r="H408" i="4"/>
  <c r="J408" i="4"/>
  <c r="K408" i="4"/>
  <c r="C409" i="4"/>
  <c r="D409" i="4"/>
  <c r="E409" i="4"/>
  <c r="F409" i="4"/>
  <c r="G409" i="4"/>
  <c r="H409" i="4"/>
  <c r="J409" i="4"/>
  <c r="K409" i="4"/>
  <c r="C410" i="4"/>
  <c r="D410" i="4"/>
  <c r="E410" i="4"/>
  <c r="F410" i="4"/>
  <c r="G410" i="4"/>
  <c r="H410" i="4"/>
  <c r="J410" i="4"/>
  <c r="K410" i="4"/>
  <c r="C411" i="4"/>
  <c r="D411" i="4"/>
  <c r="E411" i="4"/>
  <c r="F411" i="4"/>
  <c r="G411" i="4"/>
  <c r="H411" i="4"/>
  <c r="J411" i="4"/>
  <c r="K411" i="4"/>
  <c r="C412" i="4"/>
  <c r="D412" i="4"/>
  <c r="E412" i="4"/>
  <c r="F412" i="4"/>
  <c r="G412" i="4"/>
  <c r="H412" i="4"/>
  <c r="J412" i="4"/>
  <c r="K412" i="4"/>
  <c r="C413" i="4"/>
  <c r="D413" i="4"/>
  <c r="E413" i="4"/>
  <c r="F413" i="4"/>
  <c r="G413" i="4"/>
  <c r="H413" i="4"/>
  <c r="J413" i="4"/>
  <c r="K413" i="4"/>
  <c r="C414" i="4"/>
  <c r="D414" i="4"/>
  <c r="E414" i="4"/>
  <c r="F414" i="4"/>
  <c r="G414" i="4"/>
  <c r="H414" i="4"/>
  <c r="J414" i="4"/>
  <c r="K414" i="4"/>
  <c r="C415" i="4"/>
  <c r="D415" i="4"/>
  <c r="E415" i="4"/>
  <c r="F415" i="4"/>
  <c r="G415" i="4"/>
  <c r="H415" i="4"/>
  <c r="J415" i="4"/>
  <c r="K415" i="4"/>
  <c r="C416" i="4"/>
  <c r="D416" i="4"/>
  <c r="E416" i="4"/>
  <c r="F416" i="4"/>
  <c r="G416" i="4"/>
  <c r="H416" i="4"/>
  <c r="J416" i="4"/>
  <c r="K416" i="4"/>
  <c r="C417" i="4"/>
  <c r="D417" i="4"/>
  <c r="E417" i="4"/>
  <c r="F417" i="4"/>
  <c r="G417" i="4"/>
  <c r="H417" i="4"/>
  <c r="J417" i="4"/>
  <c r="K417" i="4"/>
  <c r="C418" i="4"/>
  <c r="D418" i="4"/>
  <c r="E418" i="4"/>
  <c r="F418" i="4"/>
  <c r="G418" i="4"/>
  <c r="H418" i="4"/>
  <c r="J418" i="4"/>
  <c r="K418" i="4"/>
  <c r="C419" i="4"/>
  <c r="D419" i="4"/>
  <c r="E419" i="4"/>
  <c r="F419" i="4"/>
  <c r="G419" i="4"/>
  <c r="H419" i="4"/>
  <c r="J419" i="4"/>
  <c r="K419" i="4"/>
  <c r="C420" i="4"/>
  <c r="D420" i="4"/>
  <c r="E420" i="4"/>
  <c r="F420" i="4"/>
  <c r="G420" i="4"/>
  <c r="H420" i="4"/>
  <c r="J420" i="4"/>
  <c r="K420" i="4"/>
  <c r="C421" i="4"/>
  <c r="D421" i="4"/>
  <c r="E421" i="4"/>
  <c r="F421" i="4"/>
  <c r="G421" i="4"/>
  <c r="H421" i="4"/>
  <c r="J421" i="4"/>
  <c r="K421" i="4"/>
  <c r="C422" i="4"/>
  <c r="D422" i="4"/>
  <c r="E422" i="4"/>
  <c r="F422" i="4"/>
  <c r="G422" i="4"/>
  <c r="H422" i="4"/>
  <c r="J422" i="4"/>
  <c r="K422" i="4"/>
  <c r="C423" i="4"/>
  <c r="D423" i="4"/>
  <c r="E423" i="4"/>
  <c r="F423" i="4"/>
  <c r="G423" i="4"/>
  <c r="H423" i="4"/>
  <c r="J423" i="4"/>
  <c r="K423" i="4"/>
  <c r="C424" i="4"/>
  <c r="D424" i="4"/>
  <c r="E424" i="4"/>
  <c r="F424" i="4"/>
  <c r="G424" i="4"/>
  <c r="H424" i="4"/>
  <c r="J424" i="4"/>
  <c r="K424" i="4"/>
  <c r="C425" i="4"/>
  <c r="D425" i="4"/>
  <c r="E425" i="4"/>
  <c r="F425" i="4"/>
  <c r="G425" i="4"/>
  <c r="H425" i="4"/>
  <c r="J425" i="4"/>
  <c r="K425" i="4"/>
  <c r="C426" i="4"/>
  <c r="D426" i="4"/>
  <c r="E426" i="4"/>
  <c r="F426" i="4"/>
  <c r="G426" i="4"/>
  <c r="H426" i="4"/>
  <c r="J426" i="4"/>
  <c r="K426" i="4"/>
  <c r="C427" i="4"/>
  <c r="D427" i="4"/>
  <c r="E427" i="4"/>
  <c r="F427" i="4"/>
  <c r="G427" i="4"/>
  <c r="H427" i="4"/>
  <c r="J427" i="4"/>
  <c r="K427" i="4"/>
  <c r="C428" i="4"/>
  <c r="D428" i="4"/>
  <c r="E428" i="4"/>
  <c r="F428" i="4"/>
  <c r="G428" i="4"/>
  <c r="H428" i="4"/>
  <c r="J428" i="4"/>
  <c r="K428" i="4"/>
  <c r="C429" i="4"/>
  <c r="D429" i="4"/>
  <c r="E429" i="4"/>
  <c r="F429" i="4"/>
  <c r="G429" i="4"/>
  <c r="H429" i="4"/>
  <c r="J429" i="4"/>
  <c r="K429" i="4"/>
  <c r="C430" i="4"/>
  <c r="D430" i="4"/>
  <c r="E430" i="4"/>
  <c r="F430" i="4"/>
  <c r="G430" i="4"/>
  <c r="H430" i="4"/>
  <c r="J430" i="4"/>
  <c r="K430" i="4"/>
  <c r="C431" i="4"/>
  <c r="D431" i="4"/>
  <c r="E431" i="4"/>
  <c r="F431" i="4"/>
  <c r="G431" i="4"/>
  <c r="H431" i="4"/>
  <c r="J431" i="4"/>
  <c r="K431" i="4"/>
  <c r="C432" i="4"/>
  <c r="D432" i="4"/>
  <c r="E432" i="4"/>
  <c r="F432" i="4"/>
  <c r="G432" i="4"/>
  <c r="H432" i="4"/>
  <c r="J432" i="4"/>
  <c r="K432" i="4"/>
  <c r="C433" i="4"/>
  <c r="D433" i="4"/>
  <c r="E433" i="4"/>
  <c r="F433" i="4"/>
  <c r="G433" i="4"/>
  <c r="H433" i="4"/>
  <c r="J433" i="4"/>
  <c r="K433" i="4"/>
  <c r="C434" i="4"/>
  <c r="D434" i="4"/>
  <c r="E434" i="4"/>
  <c r="F434" i="4"/>
  <c r="G434" i="4"/>
  <c r="H434" i="4"/>
  <c r="J434" i="4"/>
  <c r="K434" i="4"/>
  <c r="C435" i="4"/>
  <c r="D435" i="4"/>
  <c r="E435" i="4"/>
  <c r="F435" i="4"/>
  <c r="G435" i="4"/>
  <c r="H435" i="4"/>
  <c r="J435" i="4"/>
  <c r="K435" i="4"/>
  <c r="C436" i="4"/>
  <c r="D436" i="4"/>
  <c r="E436" i="4"/>
  <c r="F436" i="4"/>
  <c r="G436" i="4"/>
  <c r="H436" i="4"/>
  <c r="J436" i="4"/>
  <c r="K436" i="4"/>
  <c r="C437" i="4"/>
  <c r="D437" i="4"/>
  <c r="E437" i="4"/>
  <c r="F437" i="4"/>
  <c r="G437" i="4"/>
  <c r="H437" i="4"/>
  <c r="J437" i="4"/>
  <c r="K437" i="4"/>
  <c r="C438" i="4"/>
  <c r="D438" i="4"/>
  <c r="E438" i="4"/>
  <c r="F438" i="4"/>
  <c r="G438" i="4"/>
  <c r="H438" i="4"/>
  <c r="J438" i="4"/>
  <c r="K438" i="4"/>
  <c r="C439" i="4"/>
  <c r="D439" i="4"/>
  <c r="E439" i="4"/>
  <c r="F439" i="4"/>
  <c r="G439" i="4"/>
  <c r="H439" i="4"/>
  <c r="J439" i="4"/>
  <c r="K439" i="4"/>
  <c r="C440" i="4"/>
  <c r="D440" i="4"/>
  <c r="E440" i="4"/>
  <c r="F440" i="4"/>
  <c r="G440" i="4"/>
  <c r="H440" i="4"/>
  <c r="J440" i="4"/>
  <c r="K440" i="4"/>
  <c r="C441" i="4"/>
  <c r="D441" i="4"/>
  <c r="E441" i="4"/>
  <c r="F441" i="4"/>
  <c r="G441" i="4"/>
  <c r="H441" i="4"/>
  <c r="J441" i="4"/>
  <c r="K441" i="4"/>
  <c r="C442" i="4"/>
  <c r="D442" i="4"/>
  <c r="E442" i="4"/>
  <c r="F442" i="4"/>
  <c r="G442" i="4"/>
  <c r="H442" i="4"/>
  <c r="J442" i="4"/>
  <c r="K442" i="4"/>
  <c r="C443" i="4"/>
  <c r="D443" i="4"/>
  <c r="E443" i="4"/>
  <c r="F443" i="4"/>
  <c r="G443" i="4"/>
  <c r="H443" i="4"/>
  <c r="J443" i="4"/>
  <c r="K443" i="4"/>
  <c r="C444" i="4"/>
  <c r="D444" i="4"/>
  <c r="E444" i="4"/>
  <c r="F444" i="4"/>
  <c r="G444" i="4"/>
  <c r="H444" i="4"/>
  <c r="J444" i="4"/>
  <c r="K444" i="4"/>
  <c r="C445" i="4"/>
  <c r="D445" i="4"/>
  <c r="E445" i="4"/>
  <c r="F445" i="4"/>
  <c r="G445" i="4"/>
  <c r="H445" i="4"/>
  <c r="J445" i="4"/>
  <c r="K445" i="4"/>
  <c r="C446" i="4"/>
  <c r="D446" i="4"/>
  <c r="E446" i="4"/>
  <c r="F446" i="4"/>
  <c r="G446" i="4"/>
  <c r="H446" i="4"/>
  <c r="J446" i="4"/>
  <c r="K446" i="4"/>
  <c r="C447" i="4"/>
  <c r="D447" i="4"/>
  <c r="E447" i="4"/>
  <c r="F447" i="4"/>
  <c r="G447" i="4"/>
  <c r="H447" i="4"/>
  <c r="J447" i="4"/>
  <c r="K447" i="4"/>
  <c r="C448" i="4"/>
  <c r="D448" i="4"/>
  <c r="E448" i="4"/>
  <c r="F448" i="4"/>
  <c r="G448" i="4"/>
  <c r="H448" i="4"/>
  <c r="J448" i="4"/>
  <c r="K448" i="4"/>
  <c r="C449" i="4"/>
  <c r="D449" i="4"/>
  <c r="E449" i="4"/>
  <c r="F449" i="4"/>
  <c r="G449" i="4"/>
  <c r="H449" i="4"/>
  <c r="J449" i="4"/>
  <c r="K449" i="4"/>
  <c r="C450" i="4"/>
  <c r="D450" i="4"/>
  <c r="E450" i="4"/>
  <c r="F450" i="4"/>
  <c r="G450" i="4"/>
  <c r="H450" i="4"/>
  <c r="J450" i="4"/>
  <c r="K450" i="4"/>
  <c r="C451" i="4"/>
  <c r="D451" i="4"/>
  <c r="E451" i="4"/>
  <c r="F451" i="4"/>
  <c r="G451" i="4"/>
  <c r="H451" i="4"/>
  <c r="J451" i="4"/>
  <c r="K451" i="4"/>
  <c r="C452" i="4"/>
  <c r="D452" i="4"/>
  <c r="E452" i="4"/>
  <c r="F452" i="4"/>
  <c r="G452" i="4"/>
  <c r="H452" i="4"/>
  <c r="J452" i="4"/>
  <c r="K452" i="4"/>
  <c r="C453" i="4"/>
  <c r="D453" i="4"/>
  <c r="E453" i="4"/>
  <c r="F453" i="4"/>
  <c r="G453" i="4"/>
  <c r="H453" i="4"/>
  <c r="J453" i="4"/>
  <c r="K453" i="4"/>
  <c r="C454" i="4"/>
  <c r="D454" i="4"/>
  <c r="E454" i="4"/>
  <c r="F454" i="4"/>
  <c r="G454" i="4"/>
  <c r="H454" i="4"/>
  <c r="J454" i="4"/>
  <c r="K454" i="4"/>
  <c r="C455" i="4"/>
  <c r="D455" i="4"/>
  <c r="E455" i="4"/>
  <c r="F455" i="4"/>
  <c r="G455" i="4"/>
  <c r="H455" i="4"/>
  <c r="J455" i="4"/>
  <c r="K455" i="4"/>
  <c r="C456" i="4"/>
  <c r="D456" i="4"/>
  <c r="E456" i="4"/>
  <c r="F456" i="4"/>
  <c r="G456" i="4"/>
  <c r="H456" i="4"/>
  <c r="J456" i="4"/>
  <c r="K456" i="4"/>
  <c r="C457" i="4"/>
  <c r="D457" i="4"/>
  <c r="E457" i="4"/>
  <c r="F457" i="4"/>
  <c r="G457" i="4"/>
  <c r="H457" i="4"/>
  <c r="J457" i="4"/>
  <c r="K457" i="4"/>
  <c r="C458" i="4"/>
  <c r="D458" i="4"/>
  <c r="E458" i="4"/>
  <c r="F458" i="4"/>
  <c r="G458" i="4"/>
  <c r="H458" i="4"/>
  <c r="J458" i="4"/>
  <c r="K458" i="4"/>
  <c r="C459" i="4"/>
  <c r="D459" i="4"/>
  <c r="E459" i="4"/>
  <c r="F459" i="4"/>
  <c r="G459" i="4"/>
  <c r="H459" i="4"/>
  <c r="J459" i="4"/>
  <c r="K459" i="4"/>
  <c r="C460" i="4"/>
  <c r="D460" i="4"/>
  <c r="E460" i="4"/>
  <c r="F460" i="4"/>
  <c r="G460" i="4"/>
  <c r="H460" i="4"/>
  <c r="J460" i="4"/>
  <c r="K460" i="4"/>
  <c r="C461" i="4"/>
  <c r="D461" i="4"/>
  <c r="E461" i="4"/>
  <c r="F461" i="4"/>
  <c r="G461" i="4"/>
  <c r="H461" i="4"/>
  <c r="J461" i="4"/>
  <c r="K461" i="4"/>
  <c r="C462" i="4"/>
  <c r="D462" i="4"/>
  <c r="E462" i="4"/>
  <c r="F462" i="4"/>
  <c r="G462" i="4"/>
  <c r="H462" i="4"/>
  <c r="J462" i="4"/>
  <c r="K462" i="4"/>
  <c r="C463" i="4"/>
  <c r="D463" i="4"/>
  <c r="E463" i="4"/>
  <c r="F463" i="4"/>
  <c r="G463" i="4"/>
  <c r="H463" i="4"/>
  <c r="J463" i="4"/>
  <c r="K463" i="4"/>
  <c r="C464" i="4"/>
  <c r="D464" i="4"/>
  <c r="E464" i="4"/>
  <c r="F464" i="4"/>
  <c r="G464" i="4"/>
  <c r="H464" i="4"/>
  <c r="J464" i="4"/>
  <c r="K464" i="4"/>
  <c r="C465" i="4"/>
  <c r="D465" i="4"/>
  <c r="E465" i="4"/>
  <c r="F465" i="4"/>
  <c r="G465" i="4"/>
  <c r="H465" i="4"/>
  <c r="J465" i="4"/>
  <c r="K465" i="4"/>
  <c r="C466" i="4"/>
  <c r="D466" i="4"/>
  <c r="E466" i="4"/>
  <c r="F466" i="4"/>
  <c r="G466" i="4"/>
  <c r="H466" i="4"/>
  <c r="J466" i="4"/>
  <c r="K466" i="4"/>
  <c r="C467" i="4"/>
  <c r="D467" i="4"/>
  <c r="E467" i="4"/>
  <c r="F467" i="4"/>
  <c r="G467" i="4"/>
  <c r="H467" i="4"/>
  <c r="J467" i="4"/>
  <c r="K467" i="4"/>
  <c r="C468" i="4"/>
  <c r="D468" i="4"/>
  <c r="E468" i="4"/>
  <c r="F468" i="4"/>
  <c r="G468" i="4"/>
  <c r="H468" i="4"/>
  <c r="J468" i="4"/>
  <c r="K468" i="4"/>
  <c r="C469" i="4"/>
  <c r="D469" i="4"/>
  <c r="E469" i="4"/>
  <c r="F469" i="4"/>
  <c r="G469" i="4"/>
  <c r="H469" i="4"/>
  <c r="J469" i="4"/>
  <c r="K469" i="4"/>
  <c r="C470" i="4"/>
  <c r="D470" i="4"/>
  <c r="E470" i="4"/>
  <c r="F470" i="4"/>
  <c r="G470" i="4"/>
  <c r="H470" i="4"/>
  <c r="J470" i="4"/>
  <c r="K470" i="4"/>
  <c r="C471" i="4"/>
  <c r="D471" i="4"/>
  <c r="E471" i="4"/>
  <c r="F471" i="4"/>
  <c r="G471" i="4"/>
  <c r="H471" i="4"/>
  <c r="J471" i="4"/>
  <c r="K471" i="4"/>
  <c r="C472" i="4"/>
  <c r="D472" i="4"/>
  <c r="E472" i="4"/>
  <c r="F472" i="4"/>
  <c r="G472" i="4"/>
  <c r="H472" i="4"/>
  <c r="J472" i="4"/>
  <c r="K472" i="4"/>
  <c r="C473" i="4"/>
  <c r="D473" i="4"/>
  <c r="E473" i="4"/>
  <c r="F473" i="4"/>
  <c r="G473" i="4"/>
  <c r="H473" i="4"/>
  <c r="J473" i="4"/>
  <c r="K473" i="4"/>
  <c r="C474" i="4"/>
  <c r="D474" i="4"/>
  <c r="E474" i="4"/>
  <c r="F474" i="4"/>
  <c r="G474" i="4"/>
  <c r="H474" i="4"/>
  <c r="J474" i="4"/>
  <c r="K474" i="4"/>
  <c r="C475" i="4"/>
  <c r="D475" i="4"/>
  <c r="E475" i="4"/>
  <c r="F475" i="4"/>
  <c r="G475" i="4"/>
  <c r="H475" i="4"/>
  <c r="J475" i="4"/>
  <c r="K475" i="4"/>
  <c r="C476" i="4"/>
  <c r="D476" i="4"/>
  <c r="E476" i="4"/>
  <c r="F476" i="4"/>
  <c r="G476" i="4"/>
  <c r="H476" i="4"/>
  <c r="J476" i="4"/>
  <c r="K476" i="4"/>
  <c r="C477" i="4"/>
  <c r="D477" i="4"/>
  <c r="E477" i="4"/>
  <c r="F477" i="4"/>
  <c r="G477" i="4"/>
  <c r="H477" i="4"/>
  <c r="J477" i="4"/>
  <c r="K477" i="4"/>
  <c r="C478" i="4"/>
  <c r="D478" i="4"/>
  <c r="E478" i="4"/>
  <c r="F478" i="4"/>
  <c r="G478" i="4"/>
  <c r="H478" i="4"/>
  <c r="J478" i="4"/>
  <c r="K478" i="4"/>
  <c r="C479" i="4"/>
  <c r="D479" i="4"/>
  <c r="E479" i="4"/>
  <c r="F479" i="4"/>
  <c r="G479" i="4"/>
  <c r="H479" i="4"/>
  <c r="J479" i="4"/>
  <c r="K479" i="4"/>
  <c r="C480" i="4"/>
  <c r="D480" i="4"/>
  <c r="E480" i="4"/>
  <c r="F480" i="4"/>
  <c r="G480" i="4"/>
  <c r="H480" i="4"/>
  <c r="J480" i="4"/>
  <c r="K480" i="4"/>
  <c r="C481" i="4"/>
  <c r="D481" i="4"/>
  <c r="E481" i="4"/>
  <c r="F481" i="4"/>
  <c r="G481" i="4"/>
  <c r="H481" i="4"/>
  <c r="J481" i="4"/>
  <c r="K481" i="4"/>
  <c r="C482" i="4"/>
  <c r="D482" i="4"/>
  <c r="E482" i="4"/>
  <c r="F482" i="4"/>
  <c r="G482" i="4"/>
  <c r="H482" i="4"/>
  <c r="J482" i="4"/>
  <c r="K482" i="4"/>
  <c r="C483" i="4"/>
  <c r="D483" i="4"/>
  <c r="E483" i="4"/>
  <c r="F483" i="4"/>
  <c r="G483" i="4"/>
  <c r="H483" i="4"/>
  <c r="J483" i="4"/>
  <c r="K483" i="4"/>
  <c r="C484" i="4"/>
  <c r="D484" i="4"/>
  <c r="E484" i="4"/>
  <c r="F484" i="4"/>
  <c r="G484" i="4"/>
  <c r="H484" i="4"/>
  <c r="J484" i="4"/>
  <c r="K484" i="4"/>
  <c r="C485" i="4"/>
  <c r="D485" i="4"/>
  <c r="E485" i="4"/>
  <c r="F485" i="4"/>
  <c r="G485" i="4"/>
  <c r="H485" i="4"/>
  <c r="J485" i="4"/>
  <c r="K485" i="4"/>
  <c r="C486" i="4"/>
  <c r="D486" i="4"/>
  <c r="E486" i="4"/>
  <c r="F486" i="4"/>
  <c r="G486" i="4"/>
  <c r="H486" i="4"/>
  <c r="J486" i="4"/>
  <c r="K486" i="4"/>
  <c r="C487" i="4"/>
  <c r="D487" i="4"/>
  <c r="E487" i="4"/>
  <c r="F487" i="4"/>
  <c r="G487" i="4"/>
  <c r="H487" i="4"/>
  <c r="J487" i="4"/>
  <c r="K487" i="4"/>
  <c r="C488" i="4"/>
  <c r="D488" i="4"/>
  <c r="E488" i="4"/>
  <c r="F488" i="4"/>
  <c r="G488" i="4"/>
  <c r="H488" i="4"/>
  <c r="J488" i="4"/>
  <c r="K488" i="4"/>
  <c r="C489" i="4"/>
  <c r="D489" i="4"/>
  <c r="E489" i="4"/>
  <c r="F489" i="4"/>
  <c r="G489" i="4"/>
  <c r="H489" i="4"/>
  <c r="J489" i="4"/>
  <c r="K489" i="4"/>
  <c r="C490" i="4"/>
  <c r="D490" i="4"/>
  <c r="E490" i="4"/>
  <c r="F490" i="4"/>
  <c r="G490" i="4"/>
  <c r="H490" i="4"/>
  <c r="J490" i="4"/>
  <c r="K490" i="4"/>
  <c r="C491" i="4"/>
  <c r="D491" i="4"/>
  <c r="E491" i="4"/>
  <c r="F491" i="4"/>
  <c r="G491" i="4"/>
  <c r="H491" i="4"/>
  <c r="J491" i="4"/>
  <c r="K491" i="4"/>
  <c r="C492" i="4"/>
  <c r="D492" i="4"/>
  <c r="E492" i="4"/>
  <c r="F492" i="4"/>
  <c r="G492" i="4"/>
  <c r="H492" i="4"/>
  <c r="J492" i="4"/>
  <c r="K492" i="4"/>
  <c r="C493" i="4"/>
  <c r="D493" i="4"/>
  <c r="E493" i="4"/>
  <c r="F493" i="4"/>
  <c r="G493" i="4"/>
  <c r="H493" i="4"/>
  <c r="J493" i="4"/>
  <c r="K493" i="4"/>
  <c r="C494" i="4"/>
  <c r="D494" i="4"/>
  <c r="E494" i="4"/>
  <c r="F494" i="4"/>
  <c r="G494" i="4"/>
  <c r="H494" i="4"/>
  <c r="J494" i="4"/>
  <c r="K494" i="4"/>
  <c r="C495" i="4"/>
  <c r="D495" i="4"/>
  <c r="E495" i="4"/>
  <c r="F495" i="4"/>
  <c r="G495" i="4"/>
  <c r="H495" i="4"/>
  <c r="J495" i="4"/>
  <c r="K495" i="4"/>
  <c r="C496" i="4"/>
  <c r="D496" i="4"/>
  <c r="E496" i="4"/>
  <c r="F496" i="4"/>
  <c r="G496" i="4"/>
  <c r="H496" i="4"/>
  <c r="J496" i="4"/>
  <c r="K496" i="4"/>
  <c r="C497" i="4"/>
  <c r="D497" i="4"/>
  <c r="E497" i="4"/>
  <c r="F497" i="4"/>
  <c r="G497" i="4"/>
  <c r="H497" i="4"/>
  <c r="J497" i="4"/>
  <c r="K497" i="4"/>
  <c r="C498" i="4"/>
  <c r="D498" i="4"/>
  <c r="E498" i="4"/>
  <c r="F498" i="4"/>
  <c r="G498" i="4"/>
  <c r="H498" i="4"/>
  <c r="J498" i="4"/>
  <c r="K498" i="4"/>
  <c r="C499" i="4"/>
  <c r="D499" i="4"/>
  <c r="E499" i="4"/>
  <c r="F499" i="4"/>
  <c r="G499" i="4"/>
  <c r="H499" i="4"/>
  <c r="J499" i="4"/>
  <c r="K499" i="4"/>
  <c r="C500" i="4"/>
  <c r="D500" i="4"/>
  <c r="E500" i="4"/>
  <c r="F500" i="4"/>
  <c r="G500" i="4"/>
  <c r="H500" i="4"/>
  <c r="J500" i="4"/>
  <c r="K500" i="4"/>
  <c r="C501" i="4"/>
  <c r="D501" i="4"/>
  <c r="E501" i="4"/>
  <c r="F501" i="4"/>
  <c r="G501" i="4"/>
  <c r="H501" i="4"/>
  <c r="J501" i="4"/>
  <c r="K501" i="4"/>
  <c r="C502" i="4"/>
  <c r="D502" i="4"/>
  <c r="E502" i="4"/>
  <c r="F502" i="4"/>
  <c r="G502" i="4"/>
  <c r="H502" i="4"/>
  <c r="J502" i="4"/>
  <c r="K502" i="4"/>
  <c r="C503" i="4"/>
  <c r="D503" i="4"/>
  <c r="E503" i="4"/>
  <c r="F503" i="4"/>
  <c r="G503" i="4"/>
  <c r="H503" i="4"/>
  <c r="J503" i="4"/>
  <c r="K503" i="4"/>
  <c r="C504" i="4"/>
  <c r="D504" i="4"/>
  <c r="E504" i="4"/>
  <c r="F504" i="4"/>
  <c r="G504" i="4"/>
  <c r="H504" i="4"/>
  <c r="J504" i="4"/>
  <c r="K504" i="4"/>
  <c r="C505" i="4"/>
  <c r="D505" i="4"/>
  <c r="E505" i="4"/>
  <c r="F505" i="4"/>
  <c r="G505" i="4"/>
  <c r="H505" i="4"/>
  <c r="J505" i="4"/>
  <c r="K505" i="4"/>
  <c r="C506" i="4"/>
  <c r="D506" i="4"/>
  <c r="E506" i="4"/>
  <c r="F506" i="4"/>
  <c r="G506" i="4"/>
  <c r="H506" i="4"/>
  <c r="J506" i="4"/>
  <c r="K506" i="4"/>
  <c r="C507" i="4"/>
  <c r="D507" i="4"/>
  <c r="E507" i="4"/>
  <c r="F507" i="4"/>
  <c r="G507" i="4"/>
  <c r="H507" i="4"/>
  <c r="J507" i="4"/>
  <c r="K507" i="4"/>
  <c r="C508" i="4"/>
  <c r="D508" i="4"/>
  <c r="E508" i="4"/>
  <c r="F508" i="4"/>
  <c r="G508" i="4"/>
  <c r="H508" i="4"/>
  <c r="J508" i="4"/>
  <c r="K508" i="4"/>
  <c r="C509" i="4"/>
  <c r="D509" i="4"/>
  <c r="E509" i="4"/>
  <c r="F509" i="4"/>
  <c r="G509" i="4"/>
  <c r="H509" i="4"/>
  <c r="J509" i="4"/>
  <c r="K509" i="4"/>
  <c r="C510" i="4"/>
  <c r="D510" i="4"/>
  <c r="E510" i="4"/>
  <c r="F510" i="4"/>
  <c r="G510" i="4"/>
  <c r="H510" i="4"/>
  <c r="J510" i="4"/>
  <c r="K510" i="4"/>
  <c r="C511" i="4"/>
  <c r="D511" i="4"/>
  <c r="E511" i="4"/>
  <c r="F511" i="4"/>
  <c r="G511" i="4"/>
  <c r="H511" i="4"/>
  <c r="J511" i="4"/>
  <c r="K511" i="4"/>
  <c r="C512" i="4"/>
  <c r="D512" i="4"/>
  <c r="E512" i="4"/>
  <c r="F512" i="4"/>
  <c r="G512" i="4"/>
  <c r="H512" i="4"/>
  <c r="J512" i="4"/>
  <c r="K512" i="4"/>
  <c r="C513" i="4"/>
  <c r="D513" i="4"/>
  <c r="E513" i="4"/>
  <c r="F513" i="4"/>
  <c r="G513" i="4"/>
  <c r="H513" i="4"/>
  <c r="J513" i="4"/>
  <c r="K513" i="4"/>
  <c r="C514" i="4"/>
  <c r="D514" i="4"/>
  <c r="E514" i="4"/>
  <c r="F514" i="4"/>
  <c r="G514" i="4"/>
  <c r="H514" i="4"/>
  <c r="J514" i="4"/>
  <c r="K514" i="4"/>
  <c r="C515" i="4"/>
  <c r="D515" i="4"/>
  <c r="E515" i="4"/>
  <c r="F515" i="4"/>
  <c r="G515" i="4"/>
  <c r="H515" i="4"/>
  <c r="J515" i="4"/>
  <c r="K515" i="4"/>
  <c r="C516" i="4"/>
  <c r="D516" i="4"/>
  <c r="E516" i="4"/>
  <c r="F516" i="4"/>
  <c r="G516" i="4"/>
  <c r="H516" i="4"/>
  <c r="J516" i="4"/>
  <c r="K516" i="4"/>
  <c r="C517" i="4"/>
  <c r="D517" i="4"/>
  <c r="E517" i="4"/>
  <c r="F517" i="4"/>
  <c r="G517" i="4"/>
  <c r="H517" i="4"/>
  <c r="J517" i="4"/>
  <c r="K517" i="4"/>
  <c r="C518" i="4"/>
  <c r="D518" i="4"/>
  <c r="E518" i="4"/>
  <c r="F518" i="4"/>
  <c r="G518" i="4"/>
  <c r="H518" i="4"/>
  <c r="J518" i="4"/>
  <c r="K518" i="4"/>
  <c r="C519" i="4"/>
  <c r="D519" i="4"/>
  <c r="E519" i="4"/>
  <c r="F519" i="4"/>
  <c r="G519" i="4"/>
  <c r="H519" i="4"/>
  <c r="J519" i="4"/>
  <c r="K519" i="4"/>
  <c r="C520" i="4"/>
  <c r="D520" i="4"/>
  <c r="E520" i="4"/>
  <c r="F520" i="4"/>
  <c r="G520" i="4"/>
  <c r="H520" i="4"/>
  <c r="J520" i="4"/>
  <c r="K520" i="4"/>
  <c r="C521" i="4"/>
  <c r="D521" i="4"/>
  <c r="E521" i="4"/>
  <c r="F521" i="4"/>
  <c r="G521" i="4"/>
  <c r="H521" i="4"/>
  <c r="J521" i="4"/>
  <c r="K521" i="4"/>
  <c r="C522" i="4"/>
  <c r="D522" i="4"/>
  <c r="E522" i="4"/>
  <c r="F522" i="4"/>
  <c r="G522" i="4"/>
  <c r="H522" i="4"/>
  <c r="J522" i="4"/>
  <c r="K522" i="4"/>
  <c r="C523" i="4"/>
  <c r="D523" i="4"/>
  <c r="E523" i="4"/>
  <c r="F523" i="4"/>
  <c r="G523" i="4"/>
  <c r="H523" i="4"/>
  <c r="J523" i="4"/>
  <c r="K523" i="4"/>
  <c r="C524" i="4"/>
  <c r="D524" i="4"/>
  <c r="E524" i="4"/>
  <c r="F524" i="4"/>
  <c r="G524" i="4"/>
  <c r="H524" i="4"/>
  <c r="J524" i="4"/>
  <c r="K524" i="4"/>
  <c r="C525" i="4"/>
  <c r="D525" i="4"/>
  <c r="E525" i="4"/>
  <c r="F525" i="4"/>
  <c r="G525" i="4"/>
  <c r="H525" i="4"/>
  <c r="J525" i="4"/>
  <c r="K525" i="4"/>
  <c r="C526" i="4"/>
  <c r="D526" i="4"/>
  <c r="E526" i="4"/>
  <c r="F526" i="4"/>
  <c r="G526" i="4"/>
  <c r="H526" i="4"/>
  <c r="J526" i="4"/>
  <c r="K526" i="4"/>
  <c r="C527" i="4"/>
  <c r="D527" i="4"/>
  <c r="E527" i="4"/>
  <c r="F527" i="4"/>
  <c r="G527" i="4"/>
  <c r="H527" i="4"/>
  <c r="J527" i="4"/>
  <c r="K527" i="4"/>
  <c r="C528" i="4"/>
  <c r="D528" i="4"/>
  <c r="E528" i="4"/>
  <c r="F528" i="4"/>
  <c r="G528" i="4"/>
  <c r="H528" i="4"/>
  <c r="J528" i="4"/>
  <c r="K528" i="4"/>
  <c r="C529" i="4"/>
  <c r="D529" i="4"/>
  <c r="E529" i="4"/>
  <c r="F529" i="4"/>
  <c r="G529" i="4"/>
  <c r="H529" i="4"/>
  <c r="J529" i="4"/>
  <c r="K529" i="4"/>
  <c r="C530" i="4"/>
  <c r="D530" i="4"/>
  <c r="E530" i="4"/>
  <c r="F530" i="4"/>
  <c r="G530" i="4"/>
  <c r="H530" i="4"/>
  <c r="J530" i="4"/>
  <c r="K530" i="4"/>
  <c r="C531" i="4"/>
  <c r="D531" i="4"/>
  <c r="E531" i="4"/>
  <c r="F531" i="4"/>
  <c r="G531" i="4"/>
  <c r="H531" i="4"/>
  <c r="J531" i="4"/>
  <c r="K531" i="4"/>
  <c r="C532" i="4"/>
  <c r="D532" i="4"/>
  <c r="E532" i="4"/>
  <c r="F532" i="4"/>
  <c r="G532" i="4"/>
  <c r="H532" i="4"/>
  <c r="J532" i="4"/>
  <c r="K532" i="4"/>
  <c r="C533" i="4"/>
  <c r="D533" i="4"/>
  <c r="E533" i="4"/>
  <c r="F533" i="4"/>
  <c r="G533" i="4"/>
  <c r="H533" i="4"/>
  <c r="J533" i="4"/>
  <c r="K533" i="4"/>
  <c r="C534" i="4"/>
  <c r="D534" i="4"/>
  <c r="E534" i="4"/>
  <c r="F534" i="4"/>
  <c r="G534" i="4"/>
  <c r="H534" i="4"/>
  <c r="J534" i="4"/>
  <c r="K534" i="4"/>
  <c r="C535" i="4"/>
  <c r="D535" i="4"/>
  <c r="E535" i="4"/>
  <c r="F535" i="4"/>
  <c r="G535" i="4"/>
  <c r="H535" i="4"/>
  <c r="J535" i="4"/>
  <c r="K535" i="4"/>
  <c r="C536" i="4"/>
  <c r="D536" i="4"/>
  <c r="E536" i="4"/>
  <c r="F536" i="4"/>
  <c r="G536" i="4"/>
  <c r="H536" i="4"/>
  <c r="J536" i="4"/>
  <c r="K536" i="4"/>
  <c r="C537" i="4"/>
  <c r="D537" i="4"/>
  <c r="E537" i="4"/>
  <c r="F537" i="4"/>
  <c r="G537" i="4"/>
  <c r="H537" i="4"/>
  <c r="J537" i="4"/>
  <c r="K537" i="4"/>
  <c r="C538" i="4"/>
  <c r="D538" i="4"/>
  <c r="E538" i="4"/>
  <c r="F538" i="4"/>
  <c r="G538" i="4"/>
  <c r="H538" i="4"/>
  <c r="J538" i="4"/>
  <c r="K538" i="4"/>
  <c r="C539" i="4"/>
  <c r="D539" i="4"/>
  <c r="E539" i="4"/>
  <c r="F539" i="4"/>
  <c r="G539" i="4"/>
  <c r="H539" i="4"/>
  <c r="J539" i="4"/>
  <c r="K539" i="4"/>
  <c r="C540" i="4"/>
  <c r="D540" i="4"/>
  <c r="E540" i="4"/>
  <c r="F540" i="4"/>
  <c r="G540" i="4"/>
  <c r="H540" i="4"/>
  <c r="J540" i="4"/>
  <c r="K540" i="4"/>
  <c r="C541" i="4"/>
  <c r="D541" i="4"/>
  <c r="E541" i="4"/>
  <c r="F541" i="4"/>
  <c r="G541" i="4"/>
  <c r="H541" i="4"/>
  <c r="J541" i="4"/>
  <c r="K541" i="4"/>
  <c r="C542" i="4"/>
  <c r="D542" i="4"/>
  <c r="E542" i="4"/>
  <c r="F542" i="4"/>
  <c r="G542" i="4"/>
  <c r="H542" i="4"/>
  <c r="J542" i="4"/>
  <c r="K542" i="4"/>
  <c r="C543" i="4"/>
  <c r="D543" i="4"/>
  <c r="E543" i="4"/>
  <c r="F543" i="4"/>
  <c r="G543" i="4"/>
  <c r="H543" i="4"/>
  <c r="J543" i="4"/>
  <c r="K543" i="4"/>
  <c r="C544" i="4"/>
  <c r="D544" i="4"/>
  <c r="E544" i="4"/>
  <c r="F544" i="4"/>
  <c r="G544" i="4"/>
  <c r="H544" i="4"/>
  <c r="J544" i="4"/>
  <c r="K544" i="4"/>
  <c r="C545" i="4"/>
  <c r="D545" i="4"/>
  <c r="E545" i="4"/>
  <c r="F545" i="4"/>
  <c r="G545" i="4"/>
  <c r="H545" i="4"/>
  <c r="J545" i="4"/>
  <c r="K545" i="4"/>
  <c r="C546" i="4"/>
  <c r="D546" i="4"/>
  <c r="E546" i="4"/>
  <c r="F546" i="4"/>
  <c r="G546" i="4"/>
  <c r="H546" i="4"/>
  <c r="J546" i="4"/>
  <c r="K546" i="4"/>
  <c r="C547" i="4"/>
  <c r="D547" i="4"/>
  <c r="E547" i="4"/>
  <c r="F547" i="4"/>
  <c r="G547" i="4"/>
  <c r="H547" i="4"/>
  <c r="J547" i="4"/>
  <c r="K547" i="4"/>
  <c r="C548" i="4"/>
  <c r="D548" i="4"/>
  <c r="E548" i="4"/>
  <c r="F548" i="4"/>
  <c r="G548" i="4"/>
  <c r="H548" i="4"/>
  <c r="J548" i="4"/>
  <c r="K548" i="4"/>
  <c r="C549" i="4"/>
  <c r="D549" i="4"/>
  <c r="E549" i="4"/>
  <c r="F549" i="4"/>
  <c r="G549" i="4"/>
  <c r="H549" i="4"/>
  <c r="J549" i="4"/>
  <c r="K549" i="4"/>
  <c r="C550" i="4"/>
  <c r="D550" i="4"/>
  <c r="E550" i="4"/>
  <c r="F550" i="4"/>
  <c r="G550" i="4"/>
  <c r="H550" i="4"/>
  <c r="J550" i="4"/>
  <c r="K550" i="4"/>
  <c r="C551" i="4"/>
  <c r="D551" i="4"/>
  <c r="E551" i="4"/>
  <c r="F551" i="4"/>
  <c r="G551" i="4"/>
  <c r="H551" i="4"/>
  <c r="J551" i="4"/>
  <c r="K551" i="4"/>
  <c r="C552" i="4"/>
  <c r="D552" i="4"/>
  <c r="E552" i="4"/>
  <c r="F552" i="4"/>
  <c r="G552" i="4"/>
  <c r="H552" i="4"/>
  <c r="J552" i="4"/>
  <c r="K552" i="4"/>
  <c r="C553" i="4"/>
  <c r="D553" i="4"/>
  <c r="E553" i="4"/>
  <c r="F553" i="4"/>
  <c r="G553" i="4"/>
  <c r="H553" i="4"/>
  <c r="J553" i="4"/>
  <c r="K553" i="4"/>
  <c r="C554" i="4"/>
  <c r="D554" i="4"/>
  <c r="E554" i="4"/>
  <c r="F554" i="4"/>
  <c r="G554" i="4"/>
  <c r="H554" i="4"/>
  <c r="J554" i="4"/>
  <c r="K554" i="4"/>
  <c r="C555" i="4"/>
  <c r="D555" i="4"/>
  <c r="E555" i="4"/>
  <c r="F555" i="4"/>
  <c r="G555" i="4"/>
  <c r="H555" i="4"/>
  <c r="J555" i="4"/>
  <c r="K555" i="4"/>
  <c r="C556" i="4"/>
  <c r="D556" i="4"/>
  <c r="E556" i="4"/>
  <c r="F556" i="4"/>
  <c r="G556" i="4"/>
  <c r="H556" i="4"/>
  <c r="J556" i="4"/>
  <c r="K556" i="4"/>
  <c r="C557" i="4"/>
  <c r="D557" i="4"/>
  <c r="E557" i="4"/>
  <c r="F557" i="4"/>
  <c r="G557" i="4"/>
  <c r="H557" i="4"/>
  <c r="J557" i="4"/>
  <c r="K557" i="4"/>
  <c r="C558" i="4"/>
  <c r="D558" i="4"/>
  <c r="E558" i="4"/>
  <c r="F558" i="4"/>
  <c r="G558" i="4"/>
  <c r="H558" i="4"/>
  <c r="J558" i="4"/>
  <c r="K558" i="4"/>
  <c r="C559" i="4"/>
  <c r="D559" i="4"/>
  <c r="E559" i="4"/>
  <c r="F559" i="4"/>
  <c r="G559" i="4"/>
  <c r="H559" i="4"/>
  <c r="J559" i="4"/>
  <c r="K559" i="4"/>
  <c r="C560" i="4"/>
  <c r="D560" i="4"/>
  <c r="E560" i="4"/>
  <c r="F560" i="4"/>
  <c r="G560" i="4"/>
  <c r="H560" i="4"/>
  <c r="J560" i="4"/>
  <c r="K560" i="4"/>
  <c r="C561" i="4"/>
  <c r="D561" i="4"/>
  <c r="E561" i="4"/>
  <c r="F561" i="4"/>
  <c r="G561" i="4"/>
  <c r="H561" i="4"/>
  <c r="J561" i="4"/>
  <c r="K561" i="4"/>
  <c r="C562" i="4"/>
  <c r="D562" i="4"/>
  <c r="E562" i="4"/>
  <c r="F562" i="4"/>
  <c r="G562" i="4"/>
  <c r="H562" i="4"/>
  <c r="J562" i="4"/>
  <c r="K562" i="4"/>
  <c r="C563" i="4"/>
  <c r="D563" i="4"/>
  <c r="E563" i="4"/>
  <c r="F563" i="4"/>
  <c r="G563" i="4"/>
  <c r="H563" i="4"/>
  <c r="J563" i="4"/>
  <c r="K563" i="4"/>
  <c r="C564" i="4"/>
  <c r="D564" i="4"/>
  <c r="E564" i="4"/>
  <c r="F564" i="4"/>
  <c r="G564" i="4"/>
  <c r="H564" i="4"/>
  <c r="J564" i="4"/>
  <c r="K564" i="4"/>
  <c r="C565" i="4"/>
  <c r="D565" i="4"/>
  <c r="E565" i="4"/>
  <c r="F565" i="4"/>
  <c r="G565" i="4"/>
  <c r="H565" i="4"/>
  <c r="J565" i="4"/>
  <c r="K565" i="4"/>
  <c r="C566" i="4"/>
  <c r="D566" i="4"/>
  <c r="E566" i="4"/>
  <c r="F566" i="4"/>
  <c r="G566" i="4"/>
  <c r="H566" i="4"/>
  <c r="J566" i="4"/>
  <c r="K566" i="4"/>
  <c r="C567" i="4"/>
  <c r="D567" i="4"/>
  <c r="E567" i="4"/>
  <c r="F567" i="4"/>
  <c r="G567" i="4"/>
  <c r="H567" i="4"/>
  <c r="J567" i="4"/>
  <c r="K567" i="4"/>
  <c r="C568" i="4"/>
  <c r="D568" i="4"/>
  <c r="E568" i="4"/>
  <c r="F568" i="4"/>
  <c r="G568" i="4"/>
  <c r="H568" i="4"/>
  <c r="J568" i="4"/>
  <c r="K568" i="4"/>
  <c r="C569" i="4"/>
  <c r="D569" i="4"/>
  <c r="E569" i="4"/>
  <c r="F569" i="4"/>
  <c r="G569" i="4"/>
  <c r="H569" i="4"/>
  <c r="J569" i="4"/>
  <c r="K569" i="4"/>
  <c r="C570" i="4"/>
  <c r="D570" i="4"/>
  <c r="E570" i="4"/>
  <c r="F570" i="4"/>
  <c r="G570" i="4"/>
  <c r="H570" i="4"/>
  <c r="J570" i="4"/>
  <c r="K570" i="4"/>
  <c r="C571" i="4"/>
  <c r="D571" i="4"/>
  <c r="E571" i="4"/>
  <c r="F571" i="4"/>
  <c r="G571" i="4"/>
  <c r="H571" i="4"/>
  <c r="J571" i="4"/>
  <c r="K571" i="4"/>
  <c r="C572" i="4"/>
  <c r="D572" i="4"/>
  <c r="E572" i="4"/>
  <c r="F572" i="4"/>
  <c r="G572" i="4"/>
  <c r="H572" i="4"/>
  <c r="J572" i="4"/>
  <c r="K572" i="4"/>
  <c r="C573" i="4"/>
  <c r="D573" i="4"/>
  <c r="E573" i="4"/>
  <c r="F573" i="4"/>
  <c r="G573" i="4"/>
  <c r="H573" i="4"/>
  <c r="J573" i="4"/>
  <c r="K573" i="4"/>
  <c r="C574" i="4"/>
  <c r="D574" i="4"/>
  <c r="E574" i="4"/>
  <c r="F574" i="4"/>
  <c r="G574" i="4"/>
  <c r="H574" i="4"/>
  <c r="J574" i="4"/>
  <c r="K574" i="4"/>
  <c r="C575" i="4"/>
  <c r="D575" i="4"/>
  <c r="E575" i="4"/>
  <c r="F575" i="4"/>
  <c r="G575" i="4"/>
  <c r="H575" i="4"/>
  <c r="J575" i="4"/>
  <c r="K575" i="4"/>
  <c r="C576" i="4"/>
  <c r="D576" i="4"/>
  <c r="E576" i="4"/>
  <c r="F576" i="4"/>
  <c r="G576" i="4"/>
  <c r="H576" i="4"/>
  <c r="J576" i="4"/>
  <c r="K576" i="4"/>
  <c r="C577" i="4"/>
  <c r="D577" i="4"/>
  <c r="E577" i="4"/>
  <c r="F577" i="4"/>
  <c r="G577" i="4"/>
  <c r="H577" i="4"/>
  <c r="J577" i="4"/>
  <c r="K577" i="4"/>
  <c r="C578" i="4"/>
  <c r="D578" i="4"/>
  <c r="E578" i="4"/>
  <c r="F578" i="4"/>
  <c r="G578" i="4"/>
  <c r="H578" i="4"/>
  <c r="J578" i="4"/>
  <c r="K578" i="4"/>
  <c r="C579" i="4"/>
  <c r="D579" i="4"/>
  <c r="E579" i="4"/>
  <c r="F579" i="4"/>
  <c r="G579" i="4"/>
  <c r="H579" i="4"/>
  <c r="J579" i="4"/>
  <c r="K579" i="4"/>
  <c r="C580" i="4"/>
  <c r="D580" i="4"/>
  <c r="E580" i="4"/>
  <c r="F580" i="4"/>
  <c r="G580" i="4"/>
  <c r="H580" i="4"/>
  <c r="J580" i="4"/>
  <c r="K580" i="4"/>
  <c r="C581" i="4"/>
  <c r="D581" i="4"/>
  <c r="E581" i="4"/>
  <c r="F581" i="4"/>
  <c r="G581" i="4"/>
  <c r="H581" i="4"/>
  <c r="J581" i="4"/>
  <c r="K581" i="4"/>
  <c r="C582" i="4"/>
  <c r="D582" i="4"/>
  <c r="E582" i="4"/>
  <c r="F582" i="4"/>
  <c r="G582" i="4"/>
  <c r="H582" i="4"/>
  <c r="J582" i="4"/>
  <c r="K582" i="4"/>
  <c r="C583" i="4"/>
  <c r="D583" i="4"/>
  <c r="E583" i="4"/>
  <c r="F583" i="4"/>
  <c r="G583" i="4"/>
  <c r="H583" i="4"/>
  <c r="J583" i="4"/>
  <c r="K583" i="4"/>
  <c r="C584" i="4"/>
  <c r="D584" i="4"/>
  <c r="E584" i="4"/>
  <c r="F584" i="4"/>
  <c r="G584" i="4"/>
  <c r="H584" i="4"/>
  <c r="J584" i="4"/>
  <c r="K584" i="4"/>
  <c r="C585" i="4"/>
  <c r="D585" i="4"/>
  <c r="E585" i="4"/>
  <c r="F585" i="4"/>
  <c r="G585" i="4"/>
  <c r="H585" i="4"/>
  <c r="J585" i="4"/>
  <c r="K585" i="4"/>
  <c r="C586" i="4"/>
  <c r="D586" i="4"/>
  <c r="E586" i="4"/>
  <c r="F586" i="4"/>
  <c r="G586" i="4"/>
  <c r="H586" i="4"/>
  <c r="J586" i="4"/>
  <c r="K586" i="4"/>
  <c r="C587" i="4"/>
  <c r="D587" i="4"/>
  <c r="E587" i="4"/>
  <c r="F587" i="4"/>
  <c r="G587" i="4"/>
  <c r="H587" i="4"/>
  <c r="J587" i="4"/>
  <c r="K587" i="4"/>
  <c r="C588" i="4"/>
  <c r="D588" i="4"/>
  <c r="E588" i="4"/>
  <c r="F588" i="4"/>
  <c r="G588" i="4"/>
  <c r="H588" i="4"/>
  <c r="J588" i="4"/>
  <c r="K588" i="4"/>
  <c r="C589" i="4"/>
  <c r="D589" i="4"/>
  <c r="E589" i="4"/>
  <c r="F589" i="4"/>
  <c r="G589" i="4"/>
  <c r="H589" i="4"/>
  <c r="J589" i="4"/>
  <c r="K589" i="4"/>
  <c r="C590" i="4"/>
  <c r="D590" i="4"/>
  <c r="E590" i="4"/>
  <c r="F590" i="4"/>
  <c r="G590" i="4"/>
  <c r="H590" i="4"/>
  <c r="J590" i="4"/>
  <c r="K590" i="4"/>
  <c r="C591" i="4"/>
  <c r="D591" i="4"/>
  <c r="E591" i="4"/>
  <c r="F591" i="4"/>
  <c r="G591" i="4"/>
  <c r="H591" i="4"/>
  <c r="J591" i="4"/>
  <c r="K591" i="4"/>
  <c r="C592" i="4"/>
  <c r="D592" i="4"/>
  <c r="E592" i="4"/>
  <c r="F592" i="4"/>
  <c r="G592" i="4"/>
  <c r="H592" i="4"/>
  <c r="J592" i="4"/>
  <c r="K592" i="4"/>
  <c r="C593" i="4"/>
  <c r="D593" i="4"/>
  <c r="E593" i="4"/>
  <c r="F593" i="4"/>
  <c r="G593" i="4"/>
  <c r="H593" i="4"/>
  <c r="J593" i="4"/>
  <c r="K593" i="4"/>
  <c r="C594" i="4"/>
  <c r="D594" i="4"/>
  <c r="E594" i="4"/>
  <c r="F594" i="4"/>
  <c r="G594" i="4"/>
  <c r="H594" i="4"/>
  <c r="J594" i="4"/>
  <c r="K594" i="4"/>
  <c r="C595" i="4"/>
  <c r="D595" i="4"/>
  <c r="E595" i="4"/>
  <c r="F595" i="4"/>
  <c r="G595" i="4"/>
  <c r="H595" i="4"/>
  <c r="J595" i="4"/>
  <c r="K595" i="4"/>
  <c r="C596" i="4"/>
  <c r="D596" i="4"/>
  <c r="E596" i="4"/>
  <c r="F596" i="4"/>
  <c r="G596" i="4"/>
  <c r="H596" i="4"/>
  <c r="J596" i="4"/>
  <c r="K596" i="4"/>
  <c r="C597" i="4"/>
  <c r="D597" i="4"/>
  <c r="E597" i="4"/>
  <c r="F597" i="4"/>
  <c r="G597" i="4"/>
  <c r="H597" i="4"/>
  <c r="J597" i="4"/>
  <c r="K597" i="4"/>
  <c r="C598" i="4"/>
  <c r="D598" i="4"/>
  <c r="E598" i="4"/>
  <c r="F598" i="4"/>
  <c r="G598" i="4"/>
  <c r="H598" i="4"/>
  <c r="J598" i="4"/>
  <c r="K598" i="4"/>
  <c r="C599" i="4"/>
  <c r="D599" i="4"/>
  <c r="E599" i="4"/>
  <c r="F599" i="4"/>
  <c r="G599" i="4"/>
  <c r="H599" i="4"/>
  <c r="J599" i="4"/>
  <c r="K599" i="4"/>
  <c r="C600" i="4"/>
  <c r="D600" i="4"/>
  <c r="E600" i="4"/>
  <c r="F600" i="4"/>
  <c r="G600" i="4"/>
  <c r="H600" i="4"/>
  <c r="J600" i="4"/>
  <c r="K600" i="4"/>
  <c r="C601" i="4"/>
  <c r="D601" i="4"/>
  <c r="E601" i="4"/>
  <c r="F601" i="4"/>
  <c r="G601" i="4"/>
  <c r="H601" i="4"/>
  <c r="J601" i="4"/>
  <c r="K601" i="4"/>
  <c r="C602" i="4"/>
  <c r="D602" i="4"/>
  <c r="E602" i="4"/>
  <c r="F602" i="4"/>
  <c r="G602" i="4"/>
  <c r="H602" i="4"/>
  <c r="J602" i="4"/>
  <c r="K602" i="4"/>
  <c r="C603" i="4"/>
  <c r="D603" i="4"/>
  <c r="E603" i="4"/>
  <c r="F603" i="4"/>
  <c r="G603" i="4"/>
  <c r="H603" i="4"/>
  <c r="J603" i="4"/>
  <c r="K603" i="4"/>
  <c r="C604" i="4"/>
  <c r="D604" i="4"/>
  <c r="E604" i="4"/>
  <c r="F604" i="4"/>
  <c r="G604" i="4"/>
  <c r="H604" i="4"/>
  <c r="J604" i="4"/>
  <c r="K604" i="4"/>
  <c r="C605" i="4"/>
  <c r="D605" i="4"/>
  <c r="E605" i="4"/>
  <c r="F605" i="4"/>
  <c r="G605" i="4"/>
  <c r="H605" i="4"/>
  <c r="J605" i="4"/>
  <c r="K605" i="4"/>
  <c r="C606" i="4"/>
  <c r="D606" i="4"/>
  <c r="E606" i="4"/>
  <c r="F606" i="4"/>
  <c r="G606" i="4"/>
  <c r="H606" i="4"/>
  <c r="J606" i="4"/>
  <c r="K606" i="4"/>
  <c r="C607" i="4"/>
  <c r="D607" i="4"/>
  <c r="E607" i="4"/>
  <c r="F607" i="4"/>
  <c r="G607" i="4"/>
  <c r="H607" i="4"/>
  <c r="J607" i="4"/>
  <c r="K607" i="4"/>
  <c r="C608" i="4"/>
  <c r="D608" i="4"/>
  <c r="E608" i="4"/>
  <c r="F608" i="4"/>
  <c r="G608" i="4"/>
  <c r="H608" i="4"/>
  <c r="J608" i="4"/>
  <c r="K608" i="4"/>
  <c r="C609" i="4"/>
  <c r="D609" i="4"/>
  <c r="E609" i="4"/>
  <c r="F609" i="4"/>
  <c r="G609" i="4"/>
  <c r="H609" i="4"/>
  <c r="J609" i="4"/>
  <c r="K609" i="4"/>
  <c r="C610" i="4"/>
  <c r="D610" i="4"/>
  <c r="E610" i="4"/>
  <c r="F610" i="4"/>
  <c r="G610" i="4"/>
  <c r="H610" i="4"/>
  <c r="J610" i="4"/>
  <c r="K610" i="4"/>
  <c r="C611" i="4"/>
  <c r="D611" i="4"/>
  <c r="E611" i="4"/>
  <c r="F611" i="4"/>
  <c r="G611" i="4"/>
  <c r="H611" i="4"/>
  <c r="J611" i="4"/>
  <c r="K611" i="4"/>
  <c r="C612" i="4"/>
  <c r="D612" i="4"/>
  <c r="E612" i="4"/>
  <c r="F612" i="4"/>
  <c r="G612" i="4"/>
  <c r="H612" i="4"/>
  <c r="J612" i="4"/>
  <c r="K612" i="4"/>
  <c r="C613" i="4"/>
  <c r="D613" i="4"/>
  <c r="E613" i="4"/>
  <c r="F613" i="4"/>
  <c r="G613" i="4"/>
  <c r="H613" i="4"/>
  <c r="J613" i="4"/>
  <c r="K613" i="4"/>
  <c r="C614" i="4"/>
  <c r="D614" i="4"/>
  <c r="E614" i="4"/>
  <c r="F614" i="4"/>
  <c r="G614" i="4"/>
  <c r="H614" i="4"/>
  <c r="J614" i="4"/>
  <c r="K614" i="4"/>
  <c r="C615" i="4"/>
  <c r="D615" i="4"/>
  <c r="E615" i="4"/>
  <c r="F615" i="4"/>
  <c r="G615" i="4"/>
  <c r="H615" i="4"/>
  <c r="J615" i="4"/>
  <c r="K615" i="4"/>
  <c r="C616" i="4"/>
  <c r="D616" i="4"/>
  <c r="E616" i="4"/>
  <c r="F616" i="4"/>
  <c r="G616" i="4"/>
  <c r="H616" i="4"/>
  <c r="J616" i="4"/>
  <c r="K616" i="4"/>
  <c r="C617" i="4"/>
  <c r="D617" i="4"/>
  <c r="E617" i="4"/>
  <c r="F617" i="4"/>
  <c r="G617" i="4"/>
  <c r="H617" i="4"/>
  <c r="J617" i="4"/>
  <c r="K617" i="4"/>
  <c r="C618" i="4"/>
  <c r="D618" i="4"/>
  <c r="E618" i="4"/>
  <c r="F618" i="4"/>
  <c r="G618" i="4"/>
  <c r="H618" i="4"/>
  <c r="J618" i="4"/>
  <c r="K618" i="4"/>
  <c r="C619" i="4"/>
  <c r="D619" i="4"/>
  <c r="E619" i="4"/>
  <c r="F619" i="4"/>
  <c r="G619" i="4"/>
  <c r="H619" i="4"/>
  <c r="J619" i="4"/>
  <c r="K619" i="4"/>
  <c r="C620" i="4"/>
  <c r="D620" i="4"/>
  <c r="E620" i="4"/>
  <c r="F620" i="4"/>
  <c r="G620" i="4"/>
  <c r="H620" i="4"/>
  <c r="J620" i="4"/>
  <c r="K620" i="4"/>
  <c r="C621" i="4"/>
  <c r="D621" i="4"/>
  <c r="E621" i="4"/>
  <c r="F621" i="4"/>
  <c r="G621" i="4"/>
  <c r="H621" i="4"/>
  <c r="J621" i="4"/>
  <c r="K621" i="4"/>
  <c r="C622" i="4"/>
  <c r="D622" i="4"/>
  <c r="E622" i="4"/>
  <c r="F622" i="4"/>
  <c r="G622" i="4"/>
  <c r="H622" i="4"/>
  <c r="J622" i="4"/>
  <c r="K622" i="4"/>
  <c r="C623" i="4"/>
  <c r="D623" i="4"/>
  <c r="E623" i="4"/>
  <c r="F623" i="4"/>
  <c r="G623" i="4"/>
  <c r="H623" i="4"/>
  <c r="J623" i="4"/>
  <c r="K623" i="4"/>
  <c r="C624" i="4"/>
  <c r="D624" i="4"/>
  <c r="E624" i="4"/>
  <c r="F624" i="4"/>
  <c r="G624" i="4"/>
  <c r="H624" i="4"/>
  <c r="J624" i="4"/>
  <c r="K624" i="4"/>
  <c r="C625" i="4"/>
  <c r="D625" i="4"/>
  <c r="E625" i="4"/>
  <c r="F625" i="4"/>
  <c r="G625" i="4"/>
  <c r="H625" i="4"/>
  <c r="J625" i="4"/>
  <c r="K625" i="4"/>
  <c r="C626" i="4"/>
  <c r="D626" i="4"/>
  <c r="E626" i="4"/>
  <c r="F626" i="4"/>
  <c r="G626" i="4"/>
  <c r="H626" i="4"/>
  <c r="J626" i="4"/>
  <c r="K626" i="4"/>
  <c r="C627" i="4"/>
  <c r="D627" i="4"/>
  <c r="E627" i="4"/>
  <c r="F627" i="4"/>
  <c r="G627" i="4"/>
  <c r="H627" i="4"/>
  <c r="J627" i="4"/>
  <c r="K627" i="4"/>
  <c r="C628" i="4"/>
  <c r="D628" i="4"/>
  <c r="E628" i="4"/>
  <c r="F628" i="4"/>
  <c r="G628" i="4"/>
  <c r="H628" i="4"/>
  <c r="J628" i="4"/>
  <c r="K628" i="4"/>
  <c r="C629" i="4"/>
  <c r="D629" i="4"/>
  <c r="E629" i="4"/>
  <c r="F629" i="4"/>
  <c r="G629" i="4"/>
  <c r="H629" i="4"/>
  <c r="J629" i="4"/>
  <c r="K629" i="4"/>
  <c r="C630" i="4"/>
  <c r="D630" i="4"/>
  <c r="E630" i="4"/>
  <c r="F630" i="4"/>
  <c r="G630" i="4"/>
  <c r="H630" i="4"/>
  <c r="J630" i="4"/>
  <c r="K630" i="4"/>
  <c r="C631" i="4"/>
  <c r="D631" i="4"/>
  <c r="E631" i="4"/>
  <c r="F631" i="4"/>
  <c r="G631" i="4"/>
  <c r="H631" i="4"/>
  <c r="J631" i="4"/>
  <c r="K631" i="4"/>
  <c r="C632" i="4"/>
  <c r="D632" i="4"/>
  <c r="E632" i="4"/>
  <c r="F632" i="4"/>
  <c r="G632" i="4"/>
  <c r="H632" i="4"/>
  <c r="J632" i="4"/>
  <c r="K632" i="4"/>
  <c r="C633" i="4"/>
  <c r="D633" i="4"/>
  <c r="E633" i="4"/>
  <c r="F633" i="4"/>
  <c r="G633" i="4"/>
  <c r="H633" i="4"/>
  <c r="J633" i="4"/>
  <c r="K633" i="4"/>
  <c r="C634" i="4"/>
  <c r="D634" i="4"/>
  <c r="E634" i="4"/>
  <c r="F634" i="4"/>
  <c r="G634" i="4"/>
  <c r="H634" i="4"/>
  <c r="J634" i="4"/>
  <c r="K634" i="4"/>
  <c r="C635" i="4"/>
  <c r="D635" i="4"/>
  <c r="E635" i="4"/>
  <c r="F635" i="4"/>
  <c r="G635" i="4"/>
  <c r="H635" i="4"/>
  <c r="J635" i="4"/>
  <c r="K635" i="4"/>
  <c r="C636" i="4"/>
  <c r="D636" i="4"/>
  <c r="E636" i="4"/>
  <c r="F636" i="4"/>
  <c r="G636" i="4"/>
  <c r="H636" i="4"/>
  <c r="J636" i="4"/>
  <c r="K636" i="4"/>
  <c r="C637" i="4"/>
  <c r="D637" i="4"/>
  <c r="E637" i="4"/>
  <c r="F637" i="4"/>
  <c r="G637" i="4"/>
  <c r="H637" i="4"/>
  <c r="J637" i="4"/>
  <c r="K637" i="4"/>
  <c r="C638" i="4"/>
  <c r="D638" i="4"/>
  <c r="E638" i="4"/>
  <c r="F638" i="4"/>
  <c r="G638" i="4"/>
  <c r="H638" i="4"/>
  <c r="J638" i="4"/>
  <c r="K638" i="4"/>
  <c r="C639" i="4"/>
  <c r="D639" i="4"/>
  <c r="E639" i="4"/>
  <c r="F639" i="4"/>
  <c r="G639" i="4"/>
  <c r="H639" i="4"/>
  <c r="J639" i="4"/>
  <c r="K639" i="4"/>
  <c r="C640" i="4"/>
  <c r="D640" i="4"/>
  <c r="E640" i="4"/>
  <c r="F640" i="4"/>
  <c r="G640" i="4"/>
  <c r="H640" i="4"/>
  <c r="J640" i="4"/>
  <c r="K640" i="4"/>
  <c r="C641" i="4"/>
  <c r="D641" i="4"/>
  <c r="E641" i="4"/>
  <c r="F641" i="4"/>
  <c r="G641" i="4"/>
  <c r="H641" i="4"/>
  <c r="J641" i="4"/>
  <c r="K641" i="4"/>
  <c r="C642" i="4"/>
  <c r="D642" i="4"/>
  <c r="E642" i="4"/>
  <c r="F642" i="4"/>
  <c r="G642" i="4"/>
  <c r="H642" i="4"/>
  <c r="J642" i="4"/>
  <c r="K642" i="4"/>
  <c r="C643" i="4"/>
  <c r="D643" i="4"/>
  <c r="E643" i="4"/>
  <c r="F643" i="4"/>
  <c r="G643" i="4"/>
  <c r="H643" i="4"/>
  <c r="J643" i="4"/>
  <c r="K643" i="4"/>
  <c r="C644" i="4"/>
  <c r="D644" i="4"/>
  <c r="E644" i="4"/>
  <c r="F644" i="4"/>
  <c r="G644" i="4"/>
  <c r="H644" i="4"/>
  <c r="J644" i="4"/>
  <c r="K644" i="4"/>
  <c r="C645" i="4"/>
  <c r="D645" i="4"/>
  <c r="E645" i="4"/>
  <c r="F645" i="4"/>
  <c r="G645" i="4"/>
  <c r="H645" i="4"/>
  <c r="J645" i="4"/>
  <c r="K645" i="4"/>
  <c r="C646" i="4"/>
  <c r="D646" i="4"/>
  <c r="E646" i="4"/>
  <c r="F646" i="4"/>
  <c r="G646" i="4"/>
  <c r="H646" i="4"/>
  <c r="J646" i="4"/>
  <c r="K646" i="4"/>
  <c r="C647" i="4"/>
  <c r="D647" i="4"/>
  <c r="E647" i="4"/>
  <c r="F647" i="4"/>
  <c r="G647" i="4"/>
  <c r="H647" i="4"/>
  <c r="J647" i="4"/>
  <c r="K647" i="4"/>
  <c r="C648" i="4"/>
  <c r="D648" i="4"/>
  <c r="E648" i="4"/>
  <c r="F648" i="4"/>
  <c r="G648" i="4"/>
  <c r="H648" i="4"/>
  <c r="J648" i="4"/>
  <c r="K648" i="4"/>
  <c r="C649" i="4"/>
  <c r="D649" i="4"/>
  <c r="E649" i="4"/>
  <c r="F649" i="4"/>
  <c r="G649" i="4"/>
  <c r="H649" i="4"/>
  <c r="J649" i="4"/>
  <c r="K649" i="4"/>
  <c r="C650" i="4"/>
  <c r="D650" i="4"/>
  <c r="E650" i="4"/>
  <c r="F650" i="4"/>
  <c r="G650" i="4"/>
  <c r="H650" i="4"/>
  <c r="J650" i="4"/>
  <c r="K650" i="4"/>
  <c r="C651" i="4"/>
  <c r="D651" i="4"/>
  <c r="E651" i="4"/>
  <c r="F651" i="4"/>
  <c r="G651" i="4"/>
  <c r="H651" i="4"/>
  <c r="J651" i="4"/>
  <c r="K651" i="4"/>
  <c r="C652" i="4"/>
  <c r="D652" i="4"/>
  <c r="E652" i="4"/>
  <c r="F652" i="4"/>
  <c r="G652" i="4"/>
  <c r="H652" i="4"/>
  <c r="J652" i="4"/>
  <c r="K652" i="4"/>
  <c r="C653" i="4"/>
  <c r="D653" i="4"/>
  <c r="E653" i="4"/>
  <c r="F653" i="4"/>
  <c r="G653" i="4"/>
  <c r="H653" i="4"/>
  <c r="J653" i="4"/>
  <c r="K653" i="4"/>
  <c r="C654" i="4"/>
  <c r="D654" i="4"/>
  <c r="E654" i="4"/>
  <c r="F654" i="4"/>
  <c r="G654" i="4"/>
  <c r="H654" i="4"/>
  <c r="J654" i="4"/>
  <c r="K654" i="4"/>
  <c r="C655" i="4"/>
  <c r="D655" i="4"/>
  <c r="E655" i="4"/>
  <c r="F655" i="4"/>
  <c r="G655" i="4"/>
  <c r="H655" i="4"/>
  <c r="J655" i="4"/>
  <c r="K655" i="4"/>
  <c r="C656" i="4"/>
  <c r="D656" i="4"/>
  <c r="E656" i="4"/>
  <c r="F656" i="4"/>
  <c r="G656" i="4"/>
  <c r="H656" i="4"/>
  <c r="J656" i="4"/>
  <c r="K656" i="4"/>
  <c r="C657" i="4"/>
  <c r="D657" i="4"/>
  <c r="E657" i="4"/>
  <c r="F657" i="4"/>
  <c r="G657" i="4"/>
  <c r="H657" i="4"/>
  <c r="J657" i="4"/>
  <c r="K657" i="4"/>
  <c r="C658" i="4"/>
  <c r="D658" i="4"/>
  <c r="E658" i="4"/>
  <c r="F658" i="4"/>
  <c r="G658" i="4"/>
  <c r="H658" i="4"/>
  <c r="J658" i="4"/>
  <c r="K658" i="4"/>
  <c r="C659" i="4"/>
  <c r="D659" i="4"/>
  <c r="E659" i="4"/>
  <c r="F659" i="4"/>
  <c r="G659" i="4"/>
  <c r="H659" i="4"/>
  <c r="J659" i="4"/>
  <c r="K659" i="4"/>
  <c r="C660" i="4"/>
  <c r="D660" i="4"/>
  <c r="E660" i="4"/>
  <c r="F660" i="4"/>
  <c r="G660" i="4"/>
  <c r="H660" i="4"/>
  <c r="J660" i="4"/>
  <c r="K660" i="4"/>
  <c r="C661" i="4"/>
  <c r="D661" i="4"/>
  <c r="E661" i="4"/>
  <c r="F661" i="4"/>
  <c r="G661" i="4"/>
  <c r="H661" i="4"/>
  <c r="J661" i="4"/>
  <c r="K661" i="4"/>
  <c r="C662" i="4"/>
  <c r="D662" i="4"/>
  <c r="E662" i="4"/>
  <c r="F662" i="4"/>
  <c r="G662" i="4"/>
  <c r="H662" i="4"/>
  <c r="J662" i="4"/>
  <c r="K662" i="4"/>
  <c r="C663" i="4"/>
  <c r="D663" i="4"/>
  <c r="E663" i="4"/>
  <c r="F663" i="4"/>
  <c r="G663" i="4"/>
  <c r="H663" i="4"/>
  <c r="J663" i="4"/>
  <c r="K663" i="4"/>
  <c r="C664" i="4"/>
  <c r="D664" i="4"/>
  <c r="E664" i="4"/>
  <c r="F664" i="4"/>
  <c r="G664" i="4"/>
  <c r="H664" i="4"/>
  <c r="J664" i="4"/>
  <c r="K664" i="4"/>
  <c r="C665" i="4"/>
  <c r="D665" i="4"/>
  <c r="E665" i="4"/>
  <c r="F665" i="4"/>
  <c r="G665" i="4"/>
  <c r="H665" i="4"/>
  <c r="J665" i="4"/>
  <c r="K665" i="4"/>
  <c r="C666" i="4"/>
  <c r="D666" i="4"/>
  <c r="E666" i="4"/>
  <c r="F666" i="4"/>
  <c r="G666" i="4"/>
  <c r="H666" i="4"/>
  <c r="J666" i="4"/>
  <c r="K666" i="4"/>
  <c r="C667" i="4"/>
  <c r="D667" i="4"/>
  <c r="E667" i="4"/>
  <c r="F667" i="4"/>
  <c r="G667" i="4"/>
  <c r="H667" i="4"/>
  <c r="J667" i="4"/>
  <c r="K667" i="4"/>
  <c r="C668" i="4"/>
  <c r="D668" i="4"/>
  <c r="E668" i="4"/>
  <c r="F668" i="4"/>
  <c r="G668" i="4"/>
  <c r="H668" i="4"/>
  <c r="J668" i="4"/>
  <c r="K668" i="4"/>
  <c r="C669" i="4"/>
  <c r="D669" i="4"/>
  <c r="E669" i="4"/>
  <c r="F669" i="4"/>
  <c r="G669" i="4"/>
  <c r="H669" i="4"/>
  <c r="J669" i="4"/>
  <c r="K669" i="4"/>
  <c r="C670" i="4"/>
  <c r="D670" i="4"/>
  <c r="E670" i="4"/>
  <c r="F670" i="4"/>
  <c r="G670" i="4"/>
  <c r="H670" i="4"/>
  <c r="J670" i="4"/>
  <c r="K670" i="4"/>
  <c r="C671" i="4"/>
  <c r="D671" i="4"/>
  <c r="E671" i="4"/>
  <c r="F671" i="4"/>
  <c r="G671" i="4"/>
  <c r="H671" i="4"/>
  <c r="J671" i="4"/>
  <c r="K671" i="4"/>
  <c r="C672" i="4"/>
  <c r="D672" i="4"/>
  <c r="E672" i="4"/>
  <c r="F672" i="4"/>
  <c r="G672" i="4"/>
  <c r="H672" i="4"/>
  <c r="J672" i="4"/>
  <c r="K672" i="4"/>
  <c r="C673" i="4"/>
  <c r="D673" i="4"/>
  <c r="E673" i="4"/>
  <c r="F673" i="4"/>
  <c r="G673" i="4"/>
  <c r="H673" i="4"/>
  <c r="J673" i="4"/>
  <c r="K673" i="4"/>
  <c r="C674" i="4"/>
  <c r="D674" i="4"/>
  <c r="E674" i="4"/>
  <c r="F674" i="4"/>
  <c r="G674" i="4"/>
  <c r="H674" i="4"/>
  <c r="J674" i="4"/>
  <c r="K674" i="4"/>
  <c r="C675" i="4"/>
  <c r="D675" i="4"/>
  <c r="E675" i="4"/>
  <c r="F675" i="4"/>
  <c r="G675" i="4"/>
  <c r="H675" i="4"/>
  <c r="J675" i="4"/>
  <c r="K675" i="4"/>
  <c r="C676" i="4"/>
  <c r="D676" i="4"/>
  <c r="E676" i="4"/>
  <c r="F676" i="4"/>
  <c r="G676" i="4"/>
  <c r="H676" i="4"/>
  <c r="J676" i="4"/>
  <c r="K676" i="4"/>
  <c r="C677" i="4"/>
  <c r="D677" i="4"/>
  <c r="E677" i="4"/>
  <c r="F677" i="4"/>
  <c r="G677" i="4"/>
  <c r="H677" i="4"/>
  <c r="J677" i="4"/>
  <c r="K677" i="4"/>
  <c r="C678" i="4"/>
  <c r="D678" i="4"/>
  <c r="E678" i="4"/>
  <c r="F678" i="4"/>
  <c r="G678" i="4"/>
  <c r="H678" i="4"/>
  <c r="J678" i="4"/>
  <c r="K678" i="4"/>
  <c r="C679" i="4"/>
  <c r="D679" i="4"/>
  <c r="E679" i="4"/>
  <c r="F679" i="4"/>
  <c r="G679" i="4"/>
  <c r="H679" i="4"/>
  <c r="J679" i="4"/>
  <c r="K679" i="4"/>
  <c r="C680" i="4"/>
  <c r="D680" i="4"/>
  <c r="E680" i="4"/>
  <c r="F680" i="4"/>
  <c r="G680" i="4"/>
  <c r="H680" i="4"/>
  <c r="J680" i="4"/>
  <c r="K680" i="4"/>
  <c r="C681" i="4"/>
  <c r="D681" i="4"/>
  <c r="E681" i="4"/>
  <c r="F681" i="4"/>
  <c r="G681" i="4"/>
  <c r="H681" i="4"/>
  <c r="J681" i="4"/>
  <c r="K681" i="4"/>
  <c r="C682" i="4"/>
  <c r="D682" i="4"/>
  <c r="E682" i="4"/>
  <c r="F682" i="4"/>
  <c r="G682" i="4"/>
  <c r="H682" i="4"/>
  <c r="J682" i="4"/>
  <c r="K682" i="4"/>
  <c r="C683" i="4"/>
  <c r="D683" i="4"/>
  <c r="E683" i="4"/>
  <c r="F683" i="4"/>
  <c r="G683" i="4"/>
  <c r="H683" i="4"/>
  <c r="J683" i="4"/>
  <c r="K683" i="4"/>
  <c r="C684" i="4"/>
  <c r="D684" i="4"/>
  <c r="E684" i="4"/>
  <c r="F684" i="4"/>
  <c r="G684" i="4"/>
  <c r="H684" i="4"/>
  <c r="J684" i="4"/>
  <c r="K684" i="4"/>
  <c r="C685" i="4"/>
  <c r="D685" i="4"/>
  <c r="E685" i="4"/>
  <c r="F685" i="4"/>
  <c r="G685" i="4"/>
  <c r="H685" i="4"/>
  <c r="J685" i="4"/>
  <c r="K685" i="4"/>
  <c r="C686" i="4"/>
  <c r="D686" i="4"/>
  <c r="E686" i="4"/>
  <c r="F686" i="4"/>
  <c r="G686" i="4"/>
  <c r="H686" i="4"/>
  <c r="J686" i="4"/>
  <c r="K686" i="4"/>
  <c r="C687" i="4"/>
  <c r="D687" i="4"/>
  <c r="E687" i="4"/>
  <c r="F687" i="4"/>
  <c r="G687" i="4"/>
  <c r="H687" i="4"/>
  <c r="J687" i="4"/>
  <c r="K687" i="4"/>
  <c r="C688" i="4"/>
  <c r="D688" i="4"/>
  <c r="E688" i="4"/>
  <c r="F688" i="4"/>
  <c r="G688" i="4"/>
  <c r="H688" i="4"/>
  <c r="J688" i="4"/>
  <c r="K688" i="4"/>
  <c r="C689" i="4"/>
  <c r="D689" i="4"/>
  <c r="E689" i="4"/>
  <c r="F689" i="4"/>
  <c r="G689" i="4"/>
  <c r="H689" i="4"/>
  <c r="J689" i="4"/>
  <c r="K689" i="4"/>
  <c r="C690" i="4"/>
  <c r="D690" i="4"/>
  <c r="E690" i="4"/>
  <c r="F690" i="4"/>
  <c r="G690" i="4"/>
  <c r="H690" i="4"/>
  <c r="J690" i="4"/>
  <c r="K690" i="4"/>
  <c r="C691" i="4"/>
  <c r="D691" i="4"/>
  <c r="E691" i="4"/>
  <c r="F691" i="4"/>
  <c r="G691" i="4"/>
  <c r="H691" i="4"/>
  <c r="J691" i="4"/>
  <c r="K691" i="4"/>
  <c r="C692" i="4"/>
  <c r="D692" i="4"/>
  <c r="E692" i="4"/>
  <c r="F692" i="4"/>
  <c r="G692" i="4"/>
  <c r="H692" i="4"/>
  <c r="J692" i="4"/>
  <c r="K692" i="4"/>
  <c r="C693" i="4"/>
  <c r="D693" i="4"/>
  <c r="E693" i="4"/>
  <c r="F693" i="4"/>
  <c r="G693" i="4"/>
  <c r="H693" i="4"/>
  <c r="J693" i="4"/>
  <c r="K693" i="4"/>
  <c r="C694" i="4"/>
  <c r="D694" i="4"/>
  <c r="E694" i="4"/>
  <c r="F694" i="4"/>
  <c r="G694" i="4"/>
  <c r="H694" i="4"/>
  <c r="J694" i="4"/>
  <c r="K694" i="4"/>
  <c r="C695" i="4"/>
  <c r="D695" i="4"/>
  <c r="E695" i="4"/>
  <c r="F695" i="4"/>
  <c r="G695" i="4"/>
  <c r="H695" i="4"/>
  <c r="J695" i="4"/>
  <c r="K695" i="4"/>
  <c r="C696" i="4"/>
  <c r="D696" i="4"/>
  <c r="E696" i="4"/>
  <c r="F696" i="4"/>
  <c r="G696" i="4"/>
  <c r="H696" i="4"/>
  <c r="J696" i="4"/>
  <c r="K696" i="4"/>
  <c r="C697" i="4"/>
  <c r="D697" i="4"/>
  <c r="E697" i="4"/>
  <c r="F697" i="4"/>
  <c r="G697" i="4"/>
  <c r="H697" i="4"/>
  <c r="J697" i="4"/>
  <c r="K697" i="4"/>
  <c r="C698" i="4"/>
  <c r="D698" i="4"/>
  <c r="E698" i="4"/>
  <c r="F698" i="4"/>
  <c r="G698" i="4"/>
  <c r="H698" i="4"/>
  <c r="J698" i="4"/>
  <c r="K698" i="4"/>
  <c r="C699" i="4"/>
  <c r="D699" i="4"/>
  <c r="E699" i="4"/>
  <c r="F699" i="4"/>
  <c r="G699" i="4"/>
  <c r="H699" i="4"/>
  <c r="J699" i="4"/>
  <c r="K699" i="4"/>
  <c r="C700" i="4"/>
  <c r="D700" i="4"/>
  <c r="E700" i="4"/>
  <c r="F700" i="4"/>
  <c r="G700" i="4"/>
  <c r="H700" i="4"/>
  <c r="J700" i="4"/>
  <c r="K700" i="4"/>
  <c r="C701" i="4"/>
  <c r="D701" i="4"/>
  <c r="E701" i="4"/>
  <c r="F701" i="4"/>
  <c r="G701" i="4"/>
  <c r="H701" i="4"/>
  <c r="J701" i="4"/>
  <c r="K701" i="4"/>
  <c r="C702" i="4"/>
  <c r="D702" i="4"/>
  <c r="E702" i="4"/>
  <c r="F702" i="4"/>
  <c r="G702" i="4"/>
  <c r="H702" i="4"/>
  <c r="J702" i="4"/>
  <c r="K702" i="4"/>
  <c r="C703" i="4"/>
  <c r="D703" i="4"/>
  <c r="E703" i="4"/>
  <c r="F703" i="4"/>
  <c r="G703" i="4"/>
  <c r="H703" i="4"/>
  <c r="J703" i="4"/>
  <c r="K703" i="4"/>
  <c r="C704" i="4"/>
  <c r="D704" i="4"/>
  <c r="E704" i="4"/>
  <c r="F704" i="4"/>
  <c r="G704" i="4"/>
  <c r="H704" i="4"/>
  <c r="J704" i="4"/>
  <c r="K704" i="4"/>
  <c r="C705" i="4"/>
  <c r="D705" i="4"/>
  <c r="E705" i="4"/>
  <c r="F705" i="4"/>
  <c r="G705" i="4"/>
  <c r="H705" i="4"/>
  <c r="J705" i="4"/>
  <c r="K705" i="4"/>
  <c r="C706" i="4"/>
  <c r="D706" i="4"/>
  <c r="E706" i="4"/>
  <c r="F706" i="4"/>
  <c r="G706" i="4"/>
  <c r="H706" i="4"/>
  <c r="J706" i="4"/>
  <c r="K706" i="4"/>
  <c r="C707" i="4"/>
  <c r="D707" i="4"/>
  <c r="E707" i="4"/>
  <c r="F707" i="4"/>
  <c r="G707" i="4"/>
  <c r="H707" i="4"/>
  <c r="J707" i="4"/>
  <c r="K707" i="4"/>
  <c r="C708" i="4"/>
  <c r="D708" i="4"/>
  <c r="E708" i="4"/>
  <c r="F708" i="4"/>
  <c r="G708" i="4"/>
  <c r="H708" i="4"/>
  <c r="J708" i="4"/>
  <c r="K708" i="4"/>
  <c r="C709" i="4"/>
  <c r="D709" i="4"/>
  <c r="E709" i="4"/>
  <c r="F709" i="4"/>
  <c r="G709" i="4"/>
  <c r="H709" i="4"/>
  <c r="J709" i="4"/>
  <c r="K709" i="4"/>
  <c r="C710" i="4"/>
  <c r="D710" i="4"/>
  <c r="E710" i="4"/>
  <c r="F710" i="4"/>
  <c r="G710" i="4"/>
  <c r="H710" i="4"/>
  <c r="J710" i="4"/>
  <c r="K710" i="4"/>
  <c r="C711" i="4"/>
  <c r="D711" i="4"/>
  <c r="E711" i="4"/>
  <c r="F711" i="4"/>
  <c r="G711" i="4"/>
  <c r="H711" i="4"/>
  <c r="J711" i="4"/>
  <c r="K711" i="4"/>
  <c r="C712" i="4"/>
  <c r="D712" i="4"/>
  <c r="E712" i="4"/>
  <c r="F712" i="4"/>
  <c r="G712" i="4"/>
  <c r="H712" i="4"/>
  <c r="J712" i="4"/>
  <c r="K712" i="4"/>
  <c r="C713" i="4"/>
  <c r="D713" i="4"/>
  <c r="E713" i="4"/>
  <c r="F713" i="4"/>
  <c r="G713" i="4"/>
  <c r="H713" i="4"/>
  <c r="J713" i="4"/>
  <c r="K713" i="4"/>
  <c r="C714" i="4"/>
  <c r="D714" i="4"/>
  <c r="E714" i="4"/>
  <c r="F714" i="4"/>
  <c r="G714" i="4"/>
  <c r="H714" i="4"/>
  <c r="J714" i="4"/>
  <c r="K714" i="4"/>
  <c r="C715" i="4"/>
  <c r="D715" i="4"/>
  <c r="E715" i="4"/>
  <c r="F715" i="4"/>
  <c r="G715" i="4"/>
  <c r="H715" i="4"/>
  <c r="J715" i="4"/>
  <c r="K715" i="4"/>
  <c r="C716" i="4"/>
  <c r="D716" i="4"/>
  <c r="E716" i="4"/>
  <c r="F716" i="4"/>
  <c r="G716" i="4"/>
  <c r="H716" i="4"/>
  <c r="J716" i="4"/>
  <c r="K716" i="4"/>
  <c r="C717" i="4"/>
  <c r="D717" i="4"/>
  <c r="E717" i="4"/>
  <c r="F717" i="4"/>
  <c r="G717" i="4"/>
  <c r="H717" i="4"/>
  <c r="J717" i="4"/>
  <c r="K717" i="4"/>
  <c r="C718" i="4"/>
  <c r="D718" i="4"/>
  <c r="E718" i="4"/>
  <c r="F718" i="4"/>
  <c r="G718" i="4"/>
  <c r="H718" i="4"/>
  <c r="J718" i="4"/>
  <c r="K718" i="4"/>
  <c r="C719" i="4"/>
  <c r="D719" i="4"/>
  <c r="E719" i="4"/>
  <c r="F719" i="4"/>
  <c r="G719" i="4"/>
  <c r="H719" i="4"/>
  <c r="J719" i="4"/>
  <c r="K719" i="4"/>
  <c r="C720" i="4"/>
  <c r="D720" i="4"/>
  <c r="E720" i="4"/>
  <c r="F720" i="4"/>
  <c r="G720" i="4"/>
  <c r="H720" i="4"/>
  <c r="J720" i="4"/>
  <c r="K720" i="4"/>
  <c r="C721" i="4"/>
  <c r="D721" i="4"/>
  <c r="E721" i="4"/>
  <c r="F721" i="4"/>
  <c r="G721" i="4"/>
  <c r="H721" i="4"/>
  <c r="J721" i="4"/>
  <c r="K721" i="4"/>
  <c r="C722" i="4"/>
  <c r="D722" i="4"/>
  <c r="E722" i="4"/>
  <c r="F722" i="4"/>
  <c r="G722" i="4"/>
  <c r="H722" i="4"/>
  <c r="J722" i="4"/>
  <c r="K722" i="4"/>
  <c r="C723" i="4"/>
  <c r="D723" i="4"/>
  <c r="E723" i="4"/>
  <c r="F723" i="4"/>
  <c r="G723" i="4"/>
  <c r="H723" i="4"/>
  <c r="J723" i="4"/>
  <c r="K723" i="4"/>
  <c r="C724" i="4"/>
  <c r="D724" i="4"/>
  <c r="E724" i="4"/>
  <c r="F724" i="4"/>
  <c r="G724" i="4"/>
  <c r="H724" i="4"/>
  <c r="J724" i="4"/>
  <c r="K724" i="4"/>
  <c r="C725" i="4"/>
  <c r="D725" i="4"/>
  <c r="E725" i="4"/>
  <c r="F725" i="4"/>
  <c r="G725" i="4"/>
  <c r="H725" i="4"/>
  <c r="J725" i="4"/>
  <c r="K725" i="4"/>
  <c r="C726" i="4"/>
  <c r="D726" i="4"/>
  <c r="E726" i="4"/>
  <c r="F726" i="4"/>
  <c r="G726" i="4"/>
  <c r="H726" i="4"/>
  <c r="J726" i="4"/>
  <c r="K726" i="4"/>
  <c r="C727" i="4"/>
  <c r="D727" i="4"/>
  <c r="E727" i="4"/>
  <c r="F727" i="4"/>
  <c r="G727" i="4"/>
  <c r="H727" i="4"/>
  <c r="J727" i="4"/>
  <c r="K727" i="4"/>
  <c r="C728" i="4"/>
  <c r="D728" i="4"/>
  <c r="E728" i="4"/>
  <c r="F728" i="4"/>
  <c r="G728" i="4"/>
  <c r="H728" i="4"/>
  <c r="J728" i="4"/>
  <c r="K728" i="4"/>
  <c r="C729" i="4"/>
  <c r="D729" i="4"/>
  <c r="E729" i="4"/>
  <c r="F729" i="4"/>
  <c r="G729" i="4"/>
  <c r="H729" i="4"/>
  <c r="J729" i="4"/>
  <c r="K729" i="4"/>
  <c r="C730" i="4"/>
  <c r="D730" i="4"/>
  <c r="E730" i="4"/>
  <c r="F730" i="4"/>
  <c r="G730" i="4"/>
  <c r="H730" i="4"/>
  <c r="J730" i="4"/>
  <c r="K730" i="4"/>
  <c r="C731" i="4"/>
  <c r="D731" i="4"/>
  <c r="E731" i="4"/>
  <c r="F731" i="4"/>
  <c r="G731" i="4"/>
  <c r="H731" i="4"/>
  <c r="J731" i="4"/>
  <c r="K731" i="4"/>
  <c r="C732" i="4"/>
  <c r="D732" i="4"/>
  <c r="E732" i="4"/>
  <c r="F732" i="4"/>
  <c r="G732" i="4"/>
  <c r="H732" i="4"/>
  <c r="J732" i="4"/>
  <c r="K732" i="4"/>
  <c r="C733" i="4"/>
  <c r="D733" i="4"/>
  <c r="E733" i="4"/>
  <c r="F733" i="4"/>
  <c r="G733" i="4"/>
  <c r="H733" i="4"/>
  <c r="J733" i="4"/>
  <c r="K733" i="4"/>
  <c r="C734" i="4"/>
  <c r="D734" i="4"/>
  <c r="E734" i="4"/>
  <c r="F734" i="4"/>
  <c r="G734" i="4"/>
  <c r="H734" i="4"/>
  <c r="J734" i="4"/>
  <c r="K734" i="4"/>
  <c r="C735" i="4"/>
  <c r="D735" i="4"/>
  <c r="E735" i="4"/>
  <c r="F735" i="4"/>
  <c r="G735" i="4"/>
  <c r="H735" i="4"/>
  <c r="J735" i="4"/>
  <c r="K735" i="4"/>
  <c r="C736" i="4"/>
  <c r="D736" i="4"/>
  <c r="E736" i="4"/>
  <c r="F736" i="4"/>
  <c r="G736" i="4"/>
  <c r="H736" i="4"/>
  <c r="J736" i="4"/>
  <c r="K736" i="4"/>
  <c r="C737" i="4"/>
  <c r="D737" i="4"/>
  <c r="E737" i="4"/>
  <c r="F737" i="4"/>
  <c r="G737" i="4"/>
  <c r="H737" i="4"/>
  <c r="J737" i="4"/>
  <c r="K737" i="4"/>
  <c r="C738" i="4"/>
  <c r="D738" i="4"/>
  <c r="E738" i="4"/>
  <c r="F738" i="4"/>
  <c r="G738" i="4"/>
  <c r="H738" i="4"/>
  <c r="J738" i="4"/>
  <c r="K738" i="4"/>
  <c r="C739" i="4"/>
  <c r="D739" i="4"/>
  <c r="E739" i="4"/>
  <c r="F739" i="4"/>
  <c r="G739" i="4"/>
  <c r="H739" i="4"/>
  <c r="J739" i="4"/>
  <c r="K739" i="4"/>
  <c r="C740" i="4"/>
  <c r="D740" i="4"/>
  <c r="E740" i="4"/>
  <c r="F740" i="4"/>
  <c r="G740" i="4"/>
  <c r="H740" i="4"/>
  <c r="J740" i="4"/>
  <c r="K740" i="4"/>
  <c r="C741" i="4"/>
  <c r="D741" i="4"/>
  <c r="E741" i="4"/>
  <c r="F741" i="4"/>
  <c r="G741" i="4"/>
  <c r="H741" i="4"/>
  <c r="J741" i="4"/>
  <c r="K741" i="4"/>
  <c r="C742" i="4"/>
  <c r="D742" i="4"/>
  <c r="E742" i="4"/>
  <c r="F742" i="4"/>
  <c r="G742" i="4"/>
  <c r="H742" i="4"/>
  <c r="J742" i="4"/>
  <c r="K742" i="4"/>
  <c r="C743" i="4"/>
  <c r="D743" i="4"/>
  <c r="E743" i="4"/>
  <c r="F743" i="4"/>
  <c r="G743" i="4"/>
  <c r="H743" i="4"/>
  <c r="J743" i="4"/>
  <c r="K743" i="4"/>
  <c r="C744" i="4"/>
  <c r="D744" i="4"/>
  <c r="E744" i="4"/>
  <c r="F744" i="4"/>
  <c r="G744" i="4"/>
  <c r="H744" i="4"/>
  <c r="J744" i="4"/>
  <c r="K744" i="4"/>
  <c r="C745" i="4"/>
  <c r="D745" i="4"/>
  <c r="E745" i="4"/>
  <c r="F745" i="4"/>
  <c r="G745" i="4"/>
  <c r="H745" i="4"/>
  <c r="J745" i="4"/>
  <c r="K745" i="4"/>
  <c r="C746" i="4"/>
  <c r="D746" i="4"/>
  <c r="E746" i="4"/>
  <c r="F746" i="4"/>
  <c r="G746" i="4"/>
  <c r="H746" i="4"/>
  <c r="J746" i="4"/>
  <c r="K746" i="4"/>
  <c r="C747" i="4"/>
  <c r="D747" i="4"/>
  <c r="E747" i="4"/>
  <c r="F747" i="4"/>
  <c r="G747" i="4"/>
  <c r="H747" i="4"/>
  <c r="J747" i="4"/>
  <c r="K747" i="4"/>
  <c r="C748" i="4"/>
  <c r="D748" i="4"/>
  <c r="E748" i="4"/>
  <c r="F748" i="4"/>
  <c r="G748" i="4"/>
  <c r="H748" i="4"/>
  <c r="J748" i="4"/>
  <c r="K748" i="4"/>
  <c r="C749" i="4"/>
  <c r="D749" i="4"/>
  <c r="E749" i="4"/>
  <c r="F749" i="4"/>
  <c r="G749" i="4"/>
  <c r="H749" i="4"/>
  <c r="J749" i="4"/>
  <c r="K749" i="4"/>
  <c r="C750" i="4"/>
  <c r="D750" i="4"/>
  <c r="E750" i="4"/>
  <c r="F750" i="4"/>
  <c r="G750" i="4"/>
  <c r="H750" i="4"/>
  <c r="J750" i="4"/>
  <c r="K750" i="4"/>
  <c r="C751" i="4"/>
  <c r="D751" i="4"/>
  <c r="E751" i="4"/>
  <c r="F751" i="4"/>
  <c r="G751" i="4"/>
  <c r="H751" i="4"/>
  <c r="J751" i="4"/>
  <c r="K751" i="4"/>
  <c r="C752" i="4"/>
  <c r="D752" i="4"/>
  <c r="E752" i="4"/>
  <c r="F752" i="4"/>
  <c r="G752" i="4"/>
  <c r="H752" i="4"/>
  <c r="J752" i="4"/>
  <c r="K752" i="4"/>
  <c r="C753" i="4"/>
  <c r="D753" i="4"/>
  <c r="E753" i="4"/>
  <c r="F753" i="4"/>
  <c r="G753" i="4"/>
  <c r="H753" i="4"/>
  <c r="J753" i="4"/>
  <c r="K753" i="4"/>
  <c r="C754" i="4"/>
  <c r="D754" i="4"/>
  <c r="E754" i="4"/>
  <c r="F754" i="4"/>
  <c r="G754" i="4"/>
  <c r="H754" i="4"/>
  <c r="J754" i="4"/>
  <c r="K754" i="4"/>
  <c r="C755" i="4"/>
  <c r="D755" i="4"/>
  <c r="E755" i="4"/>
  <c r="F755" i="4"/>
  <c r="G755" i="4"/>
  <c r="H755" i="4"/>
  <c r="J755" i="4"/>
  <c r="K755" i="4"/>
  <c r="C756" i="4"/>
  <c r="D756" i="4"/>
  <c r="E756" i="4"/>
  <c r="F756" i="4"/>
  <c r="G756" i="4"/>
  <c r="H756" i="4"/>
  <c r="J756" i="4"/>
  <c r="K756" i="4"/>
  <c r="C757" i="4"/>
  <c r="D757" i="4"/>
  <c r="E757" i="4"/>
  <c r="F757" i="4"/>
  <c r="G757" i="4"/>
  <c r="H757" i="4"/>
  <c r="J757" i="4"/>
  <c r="K757" i="4"/>
  <c r="C758" i="4"/>
  <c r="D758" i="4"/>
  <c r="E758" i="4"/>
  <c r="F758" i="4"/>
  <c r="G758" i="4"/>
  <c r="H758" i="4"/>
  <c r="J758" i="4"/>
  <c r="K758" i="4"/>
  <c r="C759" i="4"/>
  <c r="D759" i="4"/>
  <c r="E759" i="4"/>
  <c r="F759" i="4"/>
  <c r="G759" i="4"/>
  <c r="H759" i="4"/>
  <c r="J759" i="4"/>
  <c r="K759" i="4"/>
  <c r="C760" i="4"/>
  <c r="D760" i="4"/>
  <c r="E760" i="4"/>
  <c r="F760" i="4"/>
  <c r="G760" i="4"/>
  <c r="H760" i="4"/>
  <c r="J760" i="4"/>
  <c r="K760" i="4"/>
  <c r="C761" i="4"/>
  <c r="D761" i="4"/>
  <c r="E761" i="4"/>
  <c r="F761" i="4"/>
  <c r="G761" i="4"/>
  <c r="H761" i="4"/>
  <c r="J761" i="4"/>
  <c r="K761" i="4"/>
  <c r="C762" i="4"/>
  <c r="D762" i="4"/>
  <c r="E762" i="4"/>
  <c r="F762" i="4"/>
  <c r="G762" i="4"/>
  <c r="H762" i="4"/>
  <c r="J762" i="4"/>
  <c r="K762" i="4"/>
  <c r="C763" i="4"/>
  <c r="D763" i="4"/>
  <c r="E763" i="4"/>
  <c r="F763" i="4"/>
  <c r="G763" i="4"/>
  <c r="H763" i="4"/>
  <c r="J763" i="4"/>
  <c r="K763" i="4"/>
  <c r="C764" i="4"/>
  <c r="D764" i="4"/>
  <c r="E764" i="4"/>
  <c r="F764" i="4"/>
  <c r="G764" i="4"/>
  <c r="H764" i="4"/>
  <c r="J764" i="4"/>
  <c r="K764" i="4"/>
  <c r="C765" i="4"/>
  <c r="D765" i="4"/>
  <c r="E765" i="4"/>
  <c r="F765" i="4"/>
  <c r="G765" i="4"/>
  <c r="H765" i="4"/>
  <c r="J765" i="4"/>
  <c r="K765" i="4"/>
  <c r="C766" i="4"/>
  <c r="D766" i="4"/>
  <c r="E766" i="4"/>
  <c r="F766" i="4"/>
  <c r="G766" i="4"/>
  <c r="H766" i="4"/>
  <c r="J766" i="4"/>
  <c r="K766" i="4"/>
  <c r="C767" i="4"/>
  <c r="D767" i="4"/>
  <c r="E767" i="4"/>
  <c r="F767" i="4"/>
  <c r="G767" i="4"/>
  <c r="H767" i="4"/>
  <c r="J767" i="4"/>
  <c r="K767" i="4"/>
  <c r="C768" i="4"/>
  <c r="D768" i="4"/>
  <c r="E768" i="4"/>
  <c r="F768" i="4"/>
  <c r="G768" i="4"/>
  <c r="H768" i="4"/>
  <c r="J768" i="4"/>
  <c r="K768" i="4"/>
  <c r="C769" i="4"/>
  <c r="D769" i="4"/>
  <c r="E769" i="4"/>
  <c r="F769" i="4"/>
  <c r="G769" i="4"/>
  <c r="H769" i="4"/>
  <c r="J769" i="4"/>
  <c r="K769" i="4"/>
  <c r="C770" i="4"/>
  <c r="D770" i="4"/>
  <c r="E770" i="4"/>
  <c r="F770" i="4"/>
  <c r="G770" i="4"/>
  <c r="H770" i="4"/>
  <c r="J770" i="4"/>
  <c r="K770" i="4"/>
  <c r="C771" i="4"/>
  <c r="D771" i="4"/>
  <c r="E771" i="4"/>
  <c r="F771" i="4"/>
  <c r="G771" i="4"/>
  <c r="H771" i="4"/>
  <c r="J771" i="4"/>
  <c r="K771" i="4"/>
  <c r="C772" i="4"/>
  <c r="D772" i="4"/>
  <c r="E772" i="4"/>
  <c r="F772" i="4"/>
  <c r="G772" i="4"/>
  <c r="H772" i="4"/>
  <c r="J772" i="4"/>
  <c r="K772" i="4"/>
  <c r="C773" i="4"/>
  <c r="D773" i="4"/>
  <c r="E773" i="4"/>
  <c r="F773" i="4"/>
  <c r="G773" i="4"/>
  <c r="H773" i="4"/>
  <c r="J773" i="4"/>
  <c r="K773" i="4"/>
  <c r="C774" i="4"/>
  <c r="D774" i="4"/>
  <c r="E774" i="4"/>
  <c r="F774" i="4"/>
  <c r="G774" i="4"/>
  <c r="H774" i="4"/>
  <c r="J774" i="4"/>
  <c r="K774" i="4"/>
  <c r="C775" i="4"/>
  <c r="D775" i="4"/>
  <c r="E775" i="4"/>
  <c r="F775" i="4"/>
  <c r="G775" i="4"/>
  <c r="H775" i="4"/>
  <c r="J775" i="4"/>
  <c r="K775" i="4"/>
  <c r="C776" i="4"/>
  <c r="D776" i="4"/>
  <c r="E776" i="4"/>
  <c r="F776" i="4"/>
  <c r="G776" i="4"/>
  <c r="H776" i="4"/>
  <c r="J776" i="4"/>
  <c r="K776" i="4"/>
  <c r="C777" i="4"/>
  <c r="D777" i="4"/>
  <c r="E777" i="4"/>
  <c r="F777" i="4"/>
  <c r="G777" i="4"/>
  <c r="H777" i="4"/>
  <c r="J777" i="4"/>
  <c r="K777" i="4"/>
  <c r="C778" i="4"/>
  <c r="D778" i="4"/>
  <c r="E778" i="4"/>
  <c r="F778" i="4"/>
  <c r="G778" i="4"/>
  <c r="H778" i="4"/>
  <c r="J778" i="4"/>
  <c r="K778" i="4"/>
  <c r="C779" i="4"/>
  <c r="D779" i="4"/>
  <c r="E779" i="4"/>
  <c r="F779" i="4"/>
  <c r="G779" i="4"/>
  <c r="H779" i="4"/>
  <c r="J779" i="4"/>
  <c r="K779" i="4"/>
  <c r="C780" i="4"/>
  <c r="D780" i="4"/>
  <c r="E780" i="4"/>
  <c r="F780" i="4"/>
  <c r="G780" i="4"/>
  <c r="H780" i="4"/>
  <c r="J780" i="4"/>
  <c r="K780" i="4"/>
  <c r="C781" i="4"/>
  <c r="D781" i="4"/>
  <c r="E781" i="4"/>
  <c r="F781" i="4"/>
  <c r="G781" i="4"/>
  <c r="H781" i="4"/>
  <c r="J781" i="4"/>
  <c r="K781" i="4"/>
  <c r="C782" i="4"/>
  <c r="D782" i="4"/>
  <c r="E782" i="4"/>
  <c r="F782" i="4"/>
  <c r="G782" i="4"/>
  <c r="H782" i="4"/>
  <c r="J782" i="4"/>
  <c r="K782" i="4"/>
  <c r="C783" i="4"/>
  <c r="D783" i="4"/>
  <c r="E783" i="4"/>
  <c r="F783" i="4"/>
  <c r="G783" i="4"/>
  <c r="H783" i="4"/>
  <c r="J783" i="4"/>
  <c r="K783" i="4"/>
  <c r="C784" i="4"/>
  <c r="D784" i="4"/>
  <c r="E784" i="4"/>
  <c r="F784" i="4"/>
  <c r="G784" i="4"/>
  <c r="H784" i="4"/>
  <c r="J784" i="4"/>
  <c r="K784" i="4"/>
  <c r="C785" i="4"/>
  <c r="D785" i="4"/>
  <c r="E785" i="4"/>
  <c r="F785" i="4"/>
  <c r="G785" i="4"/>
  <c r="H785" i="4"/>
  <c r="J785" i="4"/>
  <c r="K785" i="4"/>
  <c r="C786" i="4"/>
  <c r="D786" i="4"/>
  <c r="E786" i="4"/>
  <c r="F786" i="4"/>
  <c r="G786" i="4"/>
  <c r="H786" i="4"/>
  <c r="J786" i="4"/>
  <c r="K786" i="4"/>
  <c r="C787" i="4"/>
  <c r="D787" i="4"/>
  <c r="E787" i="4"/>
  <c r="F787" i="4"/>
  <c r="G787" i="4"/>
  <c r="H787" i="4"/>
  <c r="J787" i="4"/>
  <c r="K787" i="4"/>
  <c r="C788" i="4"/>
  <c r="D788" i="4"/>
  <c r="E788" i="4"/>
  <c r="F788" i="4"/>
  <c r="G788" i="4"/>
  <c r="H788" i="4"/>
  <c r="J788" i="4"/>
  <c r="K788" i="4"/>
  <c r="C789" i="4"/>
  <c r="D789" i="4"/>
  <c r="E789" i="4"/>
  <c r="F789" i="4"/>
  <c r="G789" i="4"/>
  <c r="H789" i="4"/>
  <c r="J789" i="4"/>
  <c r="K789" i="4"/>
  <c r="C790" i="4"/>
  <c r="D790" i="4"/>
  <c r="E790" i="4"/>
  <c r="F790" i="4"/>
  <c r="G790" i="4"/>
  <c r="H790" i="4"/>
  <c r="J790" i="4"/>
  <c r="K790" i="4"/>
  <c r="C791" i="4"/>
  <c r="D791" i="4"/>
  <c r="E791" i="4"/>
  <c r="F791" i="4"/>
  <c r="G791" i="4"/>
  <c r="H791" i="4"/>
  <c r="J791" i="4"/>
  <c r="K791" i="4"/>
  <c r="C792" i="4"/>
  <c r="D792" i="4"/>
  <c r="E792" i="4"/>
  <c r="F792" i="4"/>
  <c r="G792" i="4"/>
  <c r="H792" i="4"/>
  <c r="J792" i="4"/>
  <c r="K792" i="4"/>
  <c r="C793" i="4"/>
  <c r="D793" i="4"/>
  <c r="E793" i="4"/>
  <c r="F793" i="4"/>
  <c r="G793" i="4"/>
  <c r="H793" i="4"/>
  <c r="J793" i="4"/>
  <c r="K793" i="4"/>
  <c r="C794" i="4"/>
  <c r="D794" i="4"/>
  <c r="E794" i="4"/>
  <c r="F794" i="4"/>
  <c r="G794" i="4"/>
  <c r="H794" i="4"/>
  <c r="J794" i="4"/>
  <c r="K794" i="4"/>
  <c r="C795" i="4"/>
  <c r="D795" i="4"/>
  <c r="E795" i="4"/>
  <c r="F795" i="4"/>
  <c r="G795" i="4"/>
  <c r="H795" i="4"/>
  <c r="J795" i="4"/>
  <c r="K795" i="4"/>
  <c r="C796" i="4"/>
  <c r="D796" i="4"/>
  <c r="E796" i="4"/>
  <c r="F796" i="4"/>
  <c r="G796" i="4"/>
  <c r="H796" i="4"/>
  <c r="J796" i="4"/>
  <c r="K796" i="4"/>
  <c r="C797" i="4"/>
  <c r="D797" i="4"/>
  <c r="E797" i="4"/>
  <c r="F797" i="4"/>
  <c r="G797" i="4"/>
  <c r="H797" i="4"/>
  <c r="J797" i="4"/>
  <c r="K797" i="4"/>
  <c r="C798" i="4"/>
  <c r="D798" i="4"/>
  <c r="E798" i="4"/>
  <c r="F798" i="4"/>
  <c r="G798" i="4"/>
  <c r="H798" i="4"/>
  <c r="J798" i="4"/>
  <c r="K798" i="4"/>
  <c r="C799" i="4"/>
  <c r="D799" i="4"/>
  <c r="E799" i="4"/>
  <c r="F799" i="4"/>
  <c r="G799" i="4"/>
  <c r="H799" i="4"/>
  <c r="J799" i="4"/>
  <c r="K799" i="4"/>
  <c r="C800" i="4"/>
  <c r="D800" i="4"/>
  <c r="E800" i="4"/>
  <c r="F800" i="4"/>
  <c r="G800" i="4"/>
  <c r="H800" i="4"/>
  <c r="J800" i="4"/>
  <c r="K800" i="4"/>
  <c r="C801" i="4"/>
  <c r="D801" i="4"/>
  <c r="E801" i="4"/>
  <c r="F801" i="4"/>
  <c r="G801" i="4"/>
  <c r="H801" i="4"/>
  <c r="J801" i="4"/>
  <c r="K801" i="4"/>
  <c r="C802" i="4"/>
  <c r="D802" i="4"/>
  <c r="E802" i="4"/>
  <c r="F802" i="4"/>
  <c r="G802" i="4"/>
  <c r="H802" i="4"/>
  <c r="J802" i="4"/>
  <c r="K802" i="4"/>
  <c r="C803" i="4"/>
  <c r="D803" i="4"/>
  <c r="E803" i="4"/>
  <c r="F803" i="4"/>
  <c r="G803" i="4"/>
  <c r="H803" i="4"/>
  <c r="J803" i="4"/>
  <c r="K803" i="4"/>
  <c r="C804" i="4"/>
  <c r="D804" i="4"/>
  <c r="E804" i="4"/>
  <c r="F804" i="4"/>
  <c r="G804" i="4"/>
  <c r="H804" i="4"/>
  <c r="J804" i="4"/>
  <c r="K804" i="4"/>
  <c r="C805" i="4"/>
  <c r="D805" i="4"/>
  <c r="E805" i="4"/>
  <c r="F805" i="4"/>
  <c r="G805" i="4"/>
  <c r="H805" i="4"/>
  <c r="J805" i="4"/>
  <c r="K805" i="4"/>
  <c r="C806" i="4"/>
  <c r="D806" i="4"/>
  <c r="E806" i="4"/>
  <c r="F806" i="4"/>
  <c r="G806" i="4"/>
  <c r="H806" i="4"/>
  <c r="J806" i="4"/>
  <c r="K806" i="4"/>
  <c r="C807" i="4"/>
  <c r="D807" i="4"/>
  <c r="E807" i="4"/>
  <c r="F807" i="4"/>
  <c r="G807" i="4"/>
  <c r="H807" i="4"/>
  <c r="J807" i="4"/>
  <c r="K807" i="4"/>
  <c r="C808" i="4"/>
  <c r="D808" i="4"/>
  <c r="E808" i="4"/>
  <c r="F808" i="4"/>
  <c r="G808" i="4"/>
  <c r="H808" i="4"/>
  <c r="J808" i="4"/>
  <c r="K808" i="4"/>
  <c r="C809" i="4"/>
  <c r="D809" i="4"/>
  <c r="E809" i="4"/>
  <c r="F809" i="4"/>
  <c r="G809" i="4"/>
  <c r="H809" i="4"/>
  <c r="J809" i="4"/>
  <c r="K809" i="4"/>
  <c r="C810" i="4"/>
  <c r="D810" i="4"/>
  <c r="E810" i="4"/>
  <c r="F810" i="4"/>
  <c r="G810" i="4"/>
  <c r="H810" i="4"/>
  <c r="J810" i="4"/>
  <c r="K810" i="4"/>
  <c r="C811" i="4"/>
  <c r="D811" i="4"/>
  <c r="E811" i="4"/>
  <c r="F811" i="4"/>
  <c r="G811" i="4"/>
  <c r="H811" i="4"/>
  <c r="J811" i="4"/>
  <c r="K811" i="4"/>
  <c r="C812" i="4"/>
  <c r="D812" i="4"/>
  <c r="E812" i="4"/>
  <c r="F812" i="4"/>
  <c r="G812" i="4"/>
  <c r="H812" i="4"/>
  <c r="J812" i="4"/>
  <c r="K812" i="4"/>
  <c r="C813" i="4"/>
  <c r="D813" i="4"/>
  <c r="E813" i="4"/>
  <c r="F813" i="4"/>
  <c r="G813" i="4"/>
  <c r="H813" i="4"/>
  <c r="J813" i="4"/>
  <c r="K813" i="4"/>
  <c r="C814" i="4"/>
  <c r="D814" i="4"/>
  <c r="E814" i="4"/>
  <c r="F814" i="4"/>
  <c r="G814" i="4"/>
  <c r="H814" i="4"/>
  <c r="J814" i="4"/>
  <c r="K814" i="4"/>
  <c r="C815" i="4"/>
  <c r="D815" i="4"/>
  <c r="E815" i="4"/>
  <c r="F815" i="4"/>
  <c r="G815" i="4"/>
  <c r="H815" i="4"/>
  <c r="J815" i="4"/>
  <c r="K815" i="4"/>
  <c r="C816" i="4"/>
  <c r="D816" i="4"/>
  <c r="E816" i="4"/>
  <c r="F816" i="4"/>
  <c r="G816" i="4"/>
  <c r="H816" i="4"/>
  <c r="J816" i="4"/>
  <c r="K816" i="4"/>
  <c r="C817" i="4"/>
  <c r="D817" i="4"/>
  <c r="E817" i="4"/>
  <c r="F817" i="4"/>
  <c r="G817" i="4"/>
  <c r="H817" i="4"/>
  <c r="J817" i="4"/>
  <c r="K817" i="4"/>
  <c r="C818" i="4"/>
  <c r="D818" i="4"/>
  <c r="E818" i="4"/>
  <c r="F818" i="4"/>
  <c r="G818" i="4"/>
  <c r="H818" i="4"/>
  <c r="J818" i="4"/>
  <c r="K818" i="4"/>
  <c r="C819" i="4"/>
  <c r="D819" i="4"/>
  <c r="E819" i="4"/>
  <c r="F819" i="4"/>
  <c r="G819" i="4"/>
  <c r="H819" i="4"/>
  <c r="J819" i="4"/>
  <c r="K819" i="4"/>
  <c r="C820" i="4"/>
  <c r="D820" i="4"/>
  <c r="E820" i="4"/>
  <c r="F820" i="4"/>
  <c r="G820" i="4"/>
  <c r="H820" i="4"/>
  <c r="J820" i="4"/>
  <c r="K820" i="4"/>
  <c r="C821" i="4"/>
  <c r="D821" i="4"/>
  <c r="E821" i="4"/>
  <c r="F821" i="4"/>
  <c r="G821" i="4"/>
  <c r="H821" i="4"/>
  <c r="J821" i="4"/>
  <c r="K821" i="4"/>
  <c r="C822" i="4"/>
  <c r="D822" i="4"/>
  <c r="E822" i="4"/>
  <c r="F822" i="4"/>
  <c r="G822" i="4"/>
  <c r="H822" i="4"/>
  <c r="J822" i="4"/>
  <c r="K822" i="4"/>
  <c r="C823" i="4"/>
  <c r="D823" i="4"/>
  <c r="E823" i="4"/>
  <c r="F823" i="4"/>
  <c r="G823" i="4"/>
  <c r="H823" i="4"/>
  <c r="J823" i="4"/>
  <c r="K823" i="4"/>
  <c r="C824" i="4"/>
  <c r="D824" i="4"/>
  <c r="E824" i="4"/>
  <c r="F824" i="4"/>
  <c r="G824" i="4"/>
  <c r="H824" i="4"/>
  <c r="J824" i="4"/>
  <c r="K824" i="4"/>
  <c r="C825" i="4"/>
  <c r="D825" i="4"/>
  <c r="E825" i="4"/>
  <c r="F825" i="4"/>
  <c r="G825" i="4"/>
  <c r="H825" i="4"/>
  <c r="J825" i="4"/>
  <c r="K825" i="4"/>
  <c r="C826" i="4"/>
  <c r="D826" i="4"/>
  <c r="E826" i="4"/>
  <c r="F826" i="4"/>
  <c r="G826" i="4"/>
  <c r="H826" i="4"/>
  <c r="J826" i="4"/>
  <c r="K826" i="4"/>
  <c r="C827" i="4"/>
  <c r="D827" i="4"/>
  <c r="E827" i="4"/>
  <c r="F827" i="4"/>
  <c r="G827" i="4"/>
  <c r="H827" i="4"/>
  <c r="J827" i="4"/>
  <c r="K827" i="4"/>
  <c r="C828" i="4"/>
  <c r="D828" i="4"/>
  <c r="E828" i="4"/>
  <c r="F828" i="4"/>
  <c r="G828" i="4"/>
  <c r="H828" i="4"/>
  <c r="J828" i="4"/>
  <c r="K828" i="4"/>
  <c r="C829" i="4"/>
  <c r="D829" i="4"/>
  <c r="E829" i="4"/>
  <c r="F829" i="4"/>
  <c r="G829" i="4"/>
  <c r="H829" i="4"/>
  <c r="J829" i="4"/>
  <c r="K829" i="4"/>
  <c r="C830" i="4"/>
  <c r="D830" i="4"/>
  <c r="E830" i="4"/>
  <c r="F830" i="4"/>
  <c r="G830" i="4"/>
  <c r="H830" i="4"/>
  <c r="J830" i="4"/>
  <c r="K830" i="4"/>
  <c r="C831" i="4"/>
  <c r="D831" i="4"/>
  <c r="E831" i="4"/>
  <c r="F831" i="4"/>
  <c r="G831" i="4"/>
  <c r="H831" i="4"/>
  <c r="J831" i="4"/>
  <c r="K831" i="4"/>
  <c r="C832" i="4"/>
  <c r="D832" i="4"/>
  <c r="E832" i="4"/>
  <c r="F832" i="4"/>
  <c r="G832" i="4"/>
  <c r="H832" i="4"/>
  <c r="J832" i="4"/>
  <c r="K832" i="4"/>
  <c r="C833" i="4"/>
  <c r="D833" i="4"/>
  <c r="E833" i="4"/>
  <c r="F833" i="4"/>
  <c r="G833" i="4"/>
  <c r="H833" i="4"/>
  <c r="J833" i="4"/>
  <c r="K833" i="4"/>
  <c r="C834" i="4"/>
  <c r="D834" i="4"/>
  <c r="E834" i="4"/>
  <c r="F834" i="4"/>
  <c r="G834" i="4"/>
  <c r="H834" i="4"/>
  <c r="J834" i="4"/>
  <c r="K834" i="4"/>
  <c r="C835" i="4"/>
  <c r="D835" i="4"/>
  <c r="E835" i="4"/>
  <c r="F835" i="4"/>
  <c r="G835" i="4"/>
  <c r="H835" i="4"/>
  <c r="J835" i="4"/>
  <c r="K835" i="4"/>
  <c r="C836" i="4"/>
  <c r="D836" i="4"/>
  <c r="E836" i="4"/>
  <c r="F836" i="4"/>
  <c r="G836" i="4"/>
  <c r="H836" i="4"/>
  <c r="J836" i="4"/>
  <c r="K836" i="4"/>
  <c r="C837" i="4"/>
  <c r="D837" i="4"/>
  <c r="E837" i="4"/>
  <c r="F837" i="4"/>
  <c r="G837" i="4"/>
  <c r="H837" i="4"/>
  <c r="J837" i="4"/>
  <c r="K837" i="4"/>
  <c r="C838" i="4"/>
  <c r="D838" i="4"/>
  <c r="E838" i="4"/>
  <c r="F838" i="4"/>
  <c r="G838" i="4"/>
  <c r="H838" i="4"/>
  <c r="J838" i="4"/>
  <c r="K838" i="4"/>
  <c r="C839" i="4"/>
  <c r="D839" i="4"/>
  <c r="E839" i="4"/>
  <c r="F839" i="4"/>
  <c r="G839" i="4"/>
  <c r="H839" i="4"/>
  <c r="J839" i="4"/>
  <c r="K839" i="4"/>
  <c r="C840" i="4"/>
  <c r="D840" i="4"/>
  <c r="E840" i="4"/>
  <c r="F840" i="4"/>
  <c r="G840" i="4"/>
  <c r="H840" i="4"/>
  <c r="J840" i="4"/>
  <c r="K840" i="4"/>
  <c r="C841" i="4"/>
  <c r="D841" i="4"/>
  <c r="E841" i="4"/>
  <c r="F841" i="4"/>
  <c r="G841" i="4"/>
  <c r="H841" i="4"/>
  <c r="J841" i="4"/>
  <c r="K841" i="4"/>
  <c r="C842" i="4"/>
  <c r="D842" i="4"/>
  <c r="E842" i="4"/>
  <c r="F842" i="4"/>
  <c r="G842" i="4"/>
  <c r="H842" i="4"/>
  <c r="J842" i="4"/>
  <c r="K842" i="4"/>
  <c r="C843" i="4"/>
  <c r="D843" i="4"/>
  <c r="E843" i="4"/>
  <c r="F843" i="4"/>
  <c r="G843" i="4"/>
  <c r="H843" i="4"/>
  <c r="J843" i="4"/>
  <c r="K843" i="4"/>
  <c r="C844" i="4"/>
  <c r="D844" i="4"/>
  <c r="E844" i="4"/>
  <c r="F844" i="4"/>
  <c r="G844" i="4"/>
  <c r="H844" i="4"/>
  <c r="J844" i="4"/>
  <c r="K844" i="4"/>
  <c r="C845" i="4"/>
  <c r="D845" i="4"/>
  <c r="E845" i="4"/>
  <c r="F845" i="4"/>
  <c r="G845" i="4"/>
  <c r="H845" i="4"/>
  <c r="J845" i="4"/>
  <c r="K845" i="4"/>
  <c r="C846" i="4"/>
  <c r="D846" i="4"/>
  <c r="E846" i="4"/>
  <c r="F846" i="4"/>
  <c r="G846" i="4"/>
  <c r="H846" i="4"/>
  <c r="J846" i="4"/>
  <c r="K846" i="4"/>
  <c r="C847" i="4"/>
  <c r="D847" i="4"/>
  <c r="E847" i="4"/>
  <c r="F847" i="4"/>
  <c r="G847" i="4"/>
  <c r="H847" i="4"/>
  <c r="J847" i="4"/>
  <c r="K847" i="4"/>
  <c r="C848" i="4"/>
  <c r="D848" i="4"/>
  <c r="E848" i="4"/>
  <c r="F848" i="4"/>
  <c r="G848" i="4"/>
  <c r="H848" i="4"/>
  <c r="J848" i="4"/>
  <c r="K848" i="4"/>
  <c r="C849" i="4"/>
  <c r="D849" i="4"/>
  <c r="E849" i="4"/>
  <c r="F849" i="4"/>
  <c r="G849" i="4"/>
  <c r="H849" i="4"/>
  <c r="J849" i="4"/>
  <c r="K849" i="4"/>
  <c r="C850" i="4"/>
  <c r="D850" i="4"/>
  <c r="E850" i="4"/>
  <c r="F850" i="4"/>
  <c r="G850" i="4"/>
  <c r="H850" i="4"/>
  <c r="J850" i="4"/>
  <c r="K850" i="4"/>
  <c r="C851" i="4"/>
  <c r="D851" i="4"/>
  <c r="E851" i="4"/>
  <c r="F851" i="4"/>
  <c r="G851" i="4"/>
  <c r="H851" i="4"/>
  <c r="J851" i="4"/>
  <c r="K851" i="4"/>
  <c r="C852" i="4"/>
  <c r="D852" i="4"/>
  <c r="E852" i="4"/>
  <c r="F852" i="4"/>
  <c r="G852" i="4"/>
  <c r="H852" i="4"/>
  <c r="J852" i="4"/>
  <c r="K852" i="4"/>
  <c r="C853" i="4"/>
  <c r="D853" i="4"/>
  <c r="E853" i="4"/>
  <c r="F853" i="4"/>
  <c r="G853" i="4"/>
  <c r="H853" i="4"/>
  <c r="J853" i="4"/>
  <c r="K853" i="4"/>
  <c r="C854" i="4"/>
  <c r="D854" i="4"/>
  <c r="E854" i="4"/>
  <c r="F854" i="4"/>
  <c r="G854" i="4"/>
  <c r="H854" i="4"/>
  <c r="J854" i="4"/>
  <c r="K854" i="4"/>
  <c r="C855" i="4"/>
  <c r="D855" i="4"/>
  <c r="E855" i="4"/>
  <c r="F855" i="4"/>
  <c r="G855" i="4"/>
  <c r="H855" i="4"/>
  <c r="J855" i="4"/>
  <c r="K855" i="4"/>
  <c r="C856" i="4"/>
  <c r="D856" i="4"/>
  <c r="E856" i="4"/>
  <c r="F856" i="4"/>
  <c r="G856" i="4"/>
  <c r="H856" i="4"/>
  <c r="J856" i="4"/>
  <c r="K856" i="4"/>
  <c r="C857" i="4"/>
  <c r="D857" i="4"/>
  <c r="E857" i="4"/>
  <c r="F857" i="4"/>
  <c r="G857" i="4"/>
  <c r="H857" i="4"/>
  <c r="J857" i="4"/>
  <c r="K857" i="4"/>
  <c r="C858" i="4"/>
  <c r="D858" i="4"/>
  <c r="E858" i="4"/>
  <c r="F858" i="4"/>
  <c r="G858" i="4"/>
  <c r="H858" i="4"/>
  <c r="J858" i="4"/>
  <c r="K858" i="4"/>
  <c r="C859" i="4"/>
  <c r="D859" i="4"/>
  <c r="E859" i="4"/>
  <c r="F859" i="4"/>
  <c r="G859" i="4"/>
  <c r="H859" i="4"/>
  <c r="J859" i="4"/>
  <c r="K859" i="4"/>
  <c r="C860" i="4"/>
  <c r="D860" i="4"/>
  <c r="E860" i="4"/>
  <c r="F860" i="4"/>
  <c r="G860" i="4"/>
  <c r="H860" i="4"/>
  <c r="J860" i="4"/>
  <c r="K860" i="4"/>
  <c r="C861" i="4"/>
  <c r="D861" i="4"/>
  <c r="E861" i="4"/>
  <c r="F861" i="4"/>
  <c r="G861" i="4"/>
  <c r="H861" i="4"/>
  <c r="J861" i="4"/>
  <c r="K861" i="4"/>
  <c r="C862" i="4"/>
  <c r="D862" i="4"/>
  <c r="E862" i="4"/>
  <c r="F862" i="4"/>
  <c r="G862" i="4"/>
  <c r="H862" i="4"/>
  <c r="J862" i="4"/>
  <c r="K862" i="4"/>
  <c r="C863" i="4"/>
  <c r="D863" i="4"/>
  <c r="E863" i="4"/>
  <c r="F863" i="4"/>
  <c r="G863" i="4"/>
  <c r="H863" i="4"/>
  <c r="J863" i="4"/>
  <c r="K863" i="4"/>
  <c r="C864" i="4"/>
  <c r="D864" i="4"/>
  <c r="E864" i="4"/>
  <c r="F864" i="4"/>
  <c r="G864" i="4"/>
  <c r="H864" i="4"/>
  <c r="J864" i="4"/>
  <c r="K864" i="4"/>
  <c r="C865" i="4"/>
  <c r="D865" i="4"/>
  <c r="E865" i="4"/>
  <c r="F865" i="4"/>
  <c r="G865" i="4"/>
  <c r="H865" i="4"/>
  <c r="J865" i="4"/>
  <c r="K865" i="4"/>
  <c r="C866" i="4"/>
  <c r="D866" i="4"/>
  <c r="E866" i="4"/>
  <c r="F866" i="4"/>
  <c r="G866" i="4"/>
  <c r="H866" i="4"/>
  <c r="J866" i="4"/>
  <c r="K866" i="4"/>
  <c r="C867" i="4"/>
  <c r="D867" i="4"/>
  <c r="E867" i="4"/>
  <c r="F867" i="4"/>
  <c r="G867" i="4"/>
  <c r="H867" i="4"/>
  <c r="J867" i="4"/>
  <c r="K867" i="4"/>
  <c r="C868" i="4"/>
  <c r="D868" i="4"/>
  <c r="E868" i="4"/>
  <c r="F868" i="4"/>
  <c r="G868" i="4"/>
  <c r="H868" i="4"/>
  <c r="J868" i="4"/>
  <c r="K868" i="4"/>
  <c r="C869" i="4"/>
  <c r="D869" i="4"/>
  <c r="E869" i="4"/>
  <c r="F869" i="4"/>
  <c r="G869" i="4"/>
  <c r="H869" i="4"/>
  <c r="J869" i="4"/>
  <c r="K869" i="4"/>
  <c r="C870" i="4"/>
  <c r="D870" i="4"/>
  <c r="E870" i="4"/>
  <c r="F870" i="4"/>
  <c r="G870" i="4"/>
  <c r="H870" i="4"/>
  <c r="J870" i="4"/>
  <c r="K870" i="4"/>
  <c r="C871" i="4"/>
  <c r="D871" i="4"/>
  <c r="E871" i="4"/>
  <c r="F871" i="4"/>
  <c r="G871" i="4"/>
  <c r="H871" i="4"/>
  <c r="J871" i="4"/>
  <c r="K871" i="4"/>
  <c r="C872" i="4"/>
  <c r="D872" i="4"/>
  <c r="E872" i="4"/>
  <c r="F872" i="4"/>
  <c r="G872" i="4"/>
  <c r="H872" i="4"/>
  <c r="J872" i="4"/>
  <c r="K872" i="4"/>
  <c r="C873" i="4"/>
  <c r="D873" i="4"/>
  <c r="E873" i="4"/>
  <c r="F873" i="4"/>
  <c r="G873" i="4"/>
  <c r="H873" i="4"/>
  <c r="J873" i="4"/>
  <c r="K873" i="4"/>
  <c r="C874" i="4"/>
  <c r="D874" i="4"/>
  <c r="E874" i="4"/>
  <c r="F874" i="4"/>
  <c r="G874" i="4"/>
  <c r="H874" i="4"/>
  <c r="J874" i="4"/>
  <c r="K874" i="4"/>
  <c r="C875" i="4"/>
  <c r="D875" i="4"/>
  <c r="E875" i="4"/>
  <c r="F875" i="4"/>
  <c r="G875" i="4"/>
  <c r="H875" i="4"/>
  <c r="J875" i="4"/>
  <c r="K875" i="4"/>
  <c r="C876" i="4"/>
  <c r="D876" i="4"/>
  <c r="E876" i="4"/>
  <c r="F876" i="4"/>
  <c r="G876" i="4"/>
  <c r="H876" i="4"/>
  <c r="J876" i="4"/>
  <c r="K876" i="4"/>
  <c r="C877" i="4"/>
  <c r="D877" i="4"/>
  <c r="E877" i="4"/>
  <c r="F877" i="4"/>
  <c r="G877" i="4"/>
  <c r="H877" i="4"/>
  <c r="J877" i="4"/>
  <c r="K877" i="4"/>
  <c r="C878" i="4"/>
  <c r="D878" i="4"/>
  <c r="E878" i="4"/>
  <c r="F878" i="4"/>
  <c r="G878" i="4"/>
  <c r="H878" i="4"/>
  <c r="J878" i="4"/>
  <c r="K878" i="4"/>
  <c r="C879" i="4"/>
  <c r="D879" i="4"/>
  <c r="E879" i="4"/>
  <c r="F879" i="4"/>
  <c r="G879" i="4"/>
  <c r="H879" i="4"/>
  <c r="J879" i="4"/>
  <c r="K879" i="4"/>
  <c r="C880" i="4"/>
  <c r="D880" i="4"/>
  <c r="E880" i="4"/>
  <c r="F880" i="4"/>
  <c r="G880" i="4"/>
  <c r="H880" i="4"/>
  <c r="J880" i="4"/>
  <c r="K880" i="4"/>
  <c r="C881" i="4"/>
  <c r="D881" i="4"/>
  <c r="E881" i="4"/>
  <c r="F881" i="4"/>
  <c r="G881" i="4"/>
  <c r="H881" i="4"/>
  <c r="J881" i="4"/>
  <c r="K881" i="4"/>
  <c r="C882" i="4"/>
  <c r="D882" i="4"/>
  <c r="E882" i="4"/>
  <c r="F882" i="4"/>
  <c r="G882" i="4"/>
  <c r="H882" i="4"/>
  <c r="J882" i="4"/>
  <c r="K882" i="4"/>
  <c r="C883" i="4"/>
  <c r="D883" i="4"/>
  <c r="E883" i="4"/>
  <c r="F883" i="4"/>
  <c r="G883" i="4"/>
  <c r="H883" i="4"/>
  <c r="J883" i="4"/>
  <c r="K883" i="4"/>
  <c r="C884" i="4"/>
  <c r="D884" i="4"/>
  <c r="E884" i="4"/>
  <c r="F884" i="4"/>
  <c r="G884" i="4"/>
  <c r="H884" i="4"/>
  <c r="J884" i="4"/>
  <c r="K884" i="4"/>
  <c r="C885" i="4"/>
  <c r="D885" i="4"/>
  <c r="E885" i="4"/>
  <c r="F885" i="4"/>
  <c r="G885" i="4"/>
  <c r="H885" i="4"/>
  <c r="J885" i="4"/>
  <c r="K885" i="4"/>
  <c r="C886" i="4"/>
  <c r="D886" i="4"/>
  <c r="E886" i="4"/>
  <c r="F886" i="4"/>
  <c r="G886" i="4"/>
  <c r="H886" i="4"/>
  <c r="J886" i="4"/>
  <c r="K886" i="4"/>
  <c r="C887" i="4"/>
  <c r="D887" i="4"/>
  <c r="E887" i="4"/>
  <c r="F887" i="4"/>
  <c r="G887" i="4"/>
  <c r="H887" i="4"/>
  <c r="J887" i="4"/>
  <c r="K887" i="4"/>
  <c r="C888" i="4"/>
  <c r="D888" i="4"/>
  <c r="E888" i="4"/>
  <c r="F888" i="4"/>
  <c r="G888" i="4"/>
  <c r="H888" i="4"/>
  <c r="J888" i="4"/>
  <c r="K888" i="4"/>
  <c r="C889" i="4"/>
  <c r="D889" i="4"/>
  <c r="E889" i="4"/>
  <c r="F889" i="4"/>
  <c r="G889" i="4"/>
  <c r="H889" i="4"/>
  <c r="J889" i="4"/>
  <c r="K889" i="4"/>
  <c r="C890" i="4"/>
  <c r="D890" i="4"/>
  <c r="E890" i="4"/>
  <c r="F890" i="4"/>
  <c r="G890" i="4"/>
  <c r="H890" i="4"/>
  <c r="J890" i="4"/>
  <c r="K890" i="4"/>
  <c r="C891" i="4"/>
  <c r="D891" i="4"/>
  <c r="E891" i="4"/>
  <c r="F891" i="4"/>
  <c r="G891" i="4"/>
  <c r="H891" i="4"/>
  <c r="J891" i="4"/>
  <c r="K891" i="4"/>
  <c r="C892" i="4"/>
  <c r="D892" i="4"/>
  <c r="E892" i="4"/>
  <c r="F892" i="4"/>
  <c r="G892" i="4"/>
  <c r="H892" i="4"/>
  <c r="J892" i="4"/>
  <c r="K892" i="4"/>
  <c r="C893" i="4"/>
  <c r="D893" i="4"/>
  <c r="E893" i="4"/>
  <c r="F893" i="4"/>
  <c r="G893" i="4"/>
  <c r="H893" i="4"/>
  <c r="J893" i="4"/>
  <c r="K893" i="4"/>
  <c r="C894" i="4"/>
  <c r="D894" i="4"/>
  <c r="E894" i="4"/>
  <c r="F894" i="4"/>
  <c r="G894" i="4"/>
  <c r="H894" i="4"/>
  <c r="J894" i="4"/>
  <c r="K894" i="4"/>
  <c r="C895" i="4"/>
  <c r="D895" i="4"/>
  <c r="E895" i="4"/>
  <c r="F895" i="4"/>
  <c r="G895" i="4"/>
  <c r="H895" i="4"/>
  <c r="J895" i="4"/>
  <c r="K895" i="4"/>
  <c r="C896" i="4"/>
  <c r="D896" i="4"/>
  <c r="E896" i="4"/>
  <c r="F896" i="4"/>
  <c r="G896" i="4"/>
  <c r="H896" i="4"/>
  <c r="J896" i="4"/>
  <c r="K896" i="4"/>
  <c r="C897" i="4"/>
  <c r="D897" i="4"/>
  <c r="E897" i="4"/>
  <c r="F897" i="4"/>
  <c r="G897" i="4"/>
  <c r="H897" i="4"/>
  <c r="J897" i="4"/>
  <c r="K897" i="4"/>
  <c r="C898" i="4"/>
  <c r="D898" i="4"/>
  <c r="E898" i="4"/>
  <c r="F898" i="4"/>
  <c r="G898" i="4"/>
  <c r="H898" i="4"/>
  <c r="J898" i="4"/>
  <c r="K898" i="4"/>
  <c r="C899" i="4"/>
  <c r="D899" i="4"/>
  <c r="E899" i="4"/>
  <c r="F899" i="4"/>
  <c r="G899" i="4"/>
  <c r="H899" i="4"/>
  <c r="J899" i="4"/>
  <c r="K899" i="4"/>
  <c r="C900" i="4"/>
  <c r="D900" i="4"/>
  <c r="E900" i="4"/>
  <c r="F900" i="4"/>
  <c r="G900" i="4"/>
  <c r="H900" i="4"/>
  <c r="J900" i="4"/>
  <c r="K900" i="4"/>
  <c r="C901" i="4"/>
  <c r="D901" i="4"/>
  <c r="E901" i="4"/>
  <c r="F901" i="4"/>
  <c r="G901" i="4"/>
  <c r="H901" i="4"/>
  <c r="J901" i="4"/>
  <c r="K901" i="4"/>
  <c r="C902" i="4"/>
  <c r="D902" i="4"/>
  <c r="E902" i="4"/>
  <c r="F902" i="4"/>
  <c r="G902" i="4"/>
  <c r="H902" i="4"/>
  <c r="J902" i="4"/>
  <c r="K902" i="4"/>
  <c r="C903" i="4"/>
  <c r="D903" i="4"/>
  <c r="E903" i="4"/>
  <c r="F903" i="4"/>
  <c r="G903" i="4"/>
  <c r="H903" i="4"/>
  <c r="J903" i="4"/>
  <c r="K903" i="4"/>
  <c r="C904" i="4"/>
  <c r="D904" i="4"/>
  <c r="E904" i="4"/>
  <c r="F904" i="4"/>
  <c r="G904" i="4"/>
  <c r="H904" i="4"/>
  <c r="J904" i="4"/>
  <c r="K904" i="4"/>
  <c r="C905" i="4"/>
  <c r="D905" i="4"/>
  <c r="E905" i="4"/>
  <c r="F905" i="4"/>
  <c r="G905" i="4"/>
  <c r="H905" i="4"/>
  <c r="J905" i="4"/>
  <c r="K905" i="4"/>
  <c r="C906" i="4"/>
  <c r="D906" i="4"/>
  <c r="E906" i="4"/>
  <c r="F906" i="4"/>
  <c r="G906" i="4"/>
  <c r="H906" i="4"/>
  <c r="J906" i="4"/>
  <c r="K906" i="4"/>
  <c r="C907" i="4"/>
  <c r="D907" i="4"/>
  <c r="E907" i="4"/>
  <c r="F907" i="4"/>
  <c r="G907" i="4"/>
  <c r="H907" i="4"/>
  <c r="J907" i="4"/>
  <c r="K907" i="4"/>
  <c r="C908" i="4"/>
  <c r="D908" i="4"/>
  <c r="E908" i="4"/>
  <c r="F908" i="4"/>
  <c r="G908" i="4"/>
  <c r="H908" i="4"/>
  <c r="J908" i="4"/>
  <c r="K908" i="4"/>
  <c r="C909" i="4"/>
  <c r="D909" i="4"/>
  <c r="E909" i="4"/>
  <c r="F909" i="4"/>
  <c r="G909" i="4"/>
  <c r="H909" i="4"/>
  <c r="J909" i="4"/>
  <c r="K909" i="4"/>
  <c r="C910" i="4"/>
  <c r="D910" i="4"/>
  <c r="E910" i="4"/>
  <c r="F910" i="4"/>
  <c r="G910" i="4"/>
  <c r="H910" i="4"/>
  <c r="J910" i="4"/>
  <c r="K910" i="4"/>
  <c r="C911" i="4"/>
  <c r="D911" i="4"/>
  <c r="E911" i="4"/>
  <c r="F911" i="4"/>
  <c r="G911" i="4"/>
  <c r="H911" i="4"/>
  <c r="J911" i="4"/>
  <c r="K911" i="4"/>
  <c r="C912" i="4"/>
  <c r="D912" i="4"/>
  <c r="E912" i="4"/>
  <c r="F912" i="4"/>
  <c r="G912" i="4"/>
  <c r="H912" i="4"/>
  <c r="J912" i="4"/>
  <c r="K912" i="4"/>
  <c r="C913" i="4"/>
  <c r="D913" i="4"/>
  <c r="E913" i="4"/>
  <c r="F913" i="4"/>
  <c r="G913" i="4"/>
  <c r="H913" i="4"/>
  <c r="J913" i="4"/>
  <c r="K913" i="4"/>
  <c r="C914" i="4"/>
  <c r="D914" i="4"/>
  <c r="E914" i="4"/>
  <c r="F914" i="4"/>
  <c r="G914" i="4"/>
  <c r="H914" i="4"/>
  <c r="J914" i="4"/>
  <c r="K914" i="4"/>
  <c r="C915" i="4"/>
  <c r="D915" i="4"/>
  <c r="E915" i="4"/>
  <c r="F915" i="4"/>
  <c r="G915" i="4"/>
  <c r="H915" i="4"/>
  <c r="J915" i="4"/>
  <c r="K915" i="4"/>
  <c r="C916" i="4"/>
  <c r="D916" i="4"/>
  <c r="E916" i="4"/>
  <c r="F916" i="4"/>
  <c r="G916" i="4"/>
  <c r="H916" i="4"/>
  <c r="J916" i="4"/>
  <c r="K916" i="4"/>
  <c r="C917" i="4"/>
  <c r="D917" i="4"/>
  <c r="E917" i="4"/>
  <c r="F917" i="4"/>
  <c r="G917" i="4"/>
  <c r="H917" i="4"/>
  <c r="J917" i="4"/>
  <c r="K917" i="4"/>
  <c r="C918" i="4"/>
  <c r="D918" i="4"/>
  <c r="E918" i="4"/>
  <c r="F918" i="4"/>
  <c r="G918" i="4"/>
  <c r="H918" i="4"/>
  <c r="J918" i="4"/>
  <c r="K918" i="4"/>
  <c r="C919" i="4"/>
  <c r="D919" i="4"/>
  <c r="E919" i="4"/>
  <c r="F919" i="4"/>
  <c r="G919" i="4"/>
  <c r="H919" i="4"/>
  <c r="J919" i="4"/>
  <c r="K919" i="4"/>
  <c r="C920" i="4"/>
  <c r="D920" i="4"/>
  <c r="E920" i="4"/>
  <c r="F920" i="4"/>
  <c r="G920" i="4"/>
  <c r="H920" i="4"/>
  <c r="J920" i="4"/>
  <c r="K920" i="4"/>
  <c r="C921" i="4"/>
  <c r="D921" i="4"/>
  <c r="E921" i="4"/>
  <c r="F921" i="4"/>
  <c r="G921" i="4"/>
  <c r="H921" i="4"/>
  <c r="J921" i="4"/>
  <c r="K921" i="4"/>
  <c r="C922" i="4"/>
  <c r="D922" i="4"/>
  <c r="E922" i="4"/>
  <c r="F922" i="4"/>
  <c r="G922" i="4"/>
  <c r="H922" i="4"/>
  <c r="J922" i="4"/>
  <c r="K922" i="4"/>
  <c r="C923" i="4"/>
  <c r="D923" i="4"/>
  <c r="E923" i="4"/>
  <c r="F923" i="4"/>
  <c r="G923" i="4"/>
  <c r="H923" i="4"/>
  <c r="J923" i="4"/>
  <c r="K923" i="4"/>
  <c r="C924" i="4"/>
  <c r="D924" i="4"/>
  <c r="E924" i="4"/>
  <c r="F924" i="4"/>
  <c r="G924" i="4"/>
  <c r="H924" i="4"/>
  <c r="J924" i="4"/>
  <c r="K924" i="4"/>
  <c r="C925" i="4"/>
  <c r="D925" i="4"/>
  <c r="E925" i="4"/>
  <c r="F925" i="4"/>
  <c r="G925" i="4"/>
  <c r="H925" i="4"/>
  <c r="J925" i="4"/>
  <c r="K925" i="4"/>
  <c r="C926" i="4"/>
  <c r="D926" i="4"/>
  <c r="E926" i="4"/>
  <c r="F926" i="4"/>
  <c r="G926" i="4"/>
  <c r="H926" i="4"/>
  <c r="J926" i="4"/>
  <c r="K926" i="4"/>
  <c r="C927" i="4"/>
  <c r="D927" i="4"/>
  <c r="E927" i="4"/>
  <c r="F927" i="4"/>
  <c r="G927" i="4"/>
  <c r="H927" i="4"/>
  <c r="J927" i="4"/>
  <c r="K927" i="4"/>
  <c r="C928" i="4"/>
  <c r="D928" i="4"/>
  <c r="E928" i="4"/>
  <c r="F928" i="4"/>
  <c r="G928" i="4"/>
  <c r="H928" i="4"/>
  <c r="J928" i="4"/>
  <c r="K928" i="4"/>
  <c r="C929" i="4"/>
  <c r="D929" i="4"/>
  <c r="E929" i="4"/>
  <c r="F929" i="4"/>
  <c r="G929" i="4"/>
  <c r="H929" i="4"/>
  <c r="J929" i="4"/>
  <c r="K929" i="4"/>
  <c r="C930" i="4"/>
  <c r="D930" i="4"/>
  <c r="E930" i="4"/>
  <c r="F930" i="4"/>
  <c r="G930" i="4"/>
  <c r="H930" i="4"/>
  <c r="J930" i="4"/>
  <c r="K930" i="4"/>
  <c r="C931" i="4"/>
  <c r="D931" i="4"/>
  <c r="E931" i="4"/>
  <c r="F931" i="4"/>
  <c r="G931" i="4"/>
  <c r="H931" i="4"/>
  <c r="J931" i="4"/>
  <c r="K931" i="4"/>
  <c r="C932" i="4"/>
  <c r="D932" i="4"/>
  <c r="E932" i="4"/>
  <c r="F932" i="4"/>
  <c r="G932" i="4"/>
  <c r="H932" i="4"/>
  <c r="J932" i="4"/>
  <c r="K932" i="4"/>
  <c r="C933" i="4"/>
  <c r="D933" i="4"/>
  <c r="E933" i="4"/>
  <c r="F933" i="4"/>
  <c r="G933" i="4"/>
  <c r="H933" i="4"/>
  <c r="J933" i="4"/>
  <c r="K933" i="4"/>
  <c r="C934" i="4"/>
  <c r="D934" i="4"/>
  <c r="E934" i="4"/>
  <c r="F934" i="4"/>
  <c r="G934" i="4"/>
  <c r="H934" i="4"/>
  <c r="J934" i="4"/>
  <c r="K934" i="4"/>
  <c r="C935" i="4"/>
  <c r="D935" i="4"/>
  <c r="E935" i="4"/>
  <c r="F935" i="4"/>
  <c r="G935" i="4"/>
  <c r="H935" i="4"/>
  <c r="J935" i="4"/>
  <c r="K935" i="4"/>
  <c r="C936" i="4"/>
  <c r="D936" i="4"/>
  <c r="E936" i="4"/>
  <c r="F936" i="4"/>
  <c r="G936" i="4"/>
  <c r="H936" i="4"/>
  <c r="J936" i="4"/>
  <c r="K936" i="4"/>
  <c r="C937" i="4"/>
  <c r="D937" i="4"/>
  <c r="E937" i="4"/>
  <c r="F937" i="4"/>
  <c r="G937" i="4"/>
  <c r="H937" i="4"/>
  <c r="J937" i="4"/>
  <c r="K937" i="4"/>
  <c r="C938" i="4"/>
  <c r="D938" i="4"/>
  <c r="E938" i="4"/>
  <c r="F938" i="4"/>
  <c r="G938" i="4"/>
  <c r="H938" i="4"/>
  <c r="J938" i="4"/>
  <c r="K938" i="4"/>
  <c r="C939" i="4"/>
  <c r="D939" i="4"/>
  <c r="E939" i="4"/>
  <c r="F939" i="4"/>
  <c r="G939" i="4"/>
  <c r="H939" i="4"/>
  <c r="J939" i="4"/>
  <c r="K939" i="4"/>
  <c r="C940" i="4"/>
  <c r="D940" i="4"/>
  <c r="E940" i="4"/>
  <c r="F940" i="4"/>
  <c r="G940" i="4"/>
  <c r="H940" i="4"/>
  <c r="J940" i="4"/>
  <c r="K940" i="4"/>
  <c r="C941" i="4"/>
  <c r="D941" i="4"/>
  <c r="E941" i="4"/>
  <c r="F941" i="4"/>
  <c r="G941" i="4"/>
  <c r="H941" i="4"/>
  <c r="J941" i="4"/>
  <c r="K941" i="4"/>
  <c r="C942" i="4"/>
  <c r="D942" i="4"/>
  <c r="E942" i="4"/>
  <c r="F942" i="4"/>
  <c r="G942" i="4"/>
  <c r="H942" i="4"/>
  <c r="J942" i="4"/>
  <c r="K942" i="4"/>
  <c r="C943" i="4"/>
  <c r="D943" i="4"/>
  <c r="E943" i="4"/>
  <c r="F943" i="4"/>
  <c r="G943" i="4"/>
  <c r="H943" i="4"/>
  <c r="J943" i="4"/>
  <c r="K943" i="4"/>
  <c r="C944" i="4"/>
  <c r="D944" i="4"/>
  <c r="E944" i="4"/>
  <c r="F944" i="4"/>
  <c r="G944" i="4"/>
  <c r="H944" i="4"/>
  <c r="J944" i="4"/>
  <c r="K944" i="4"/>
  <c r="C945" i="4"/>
  <c r="D945" i="4"/>
  <c r="E945" i="4"/>
  <c r="F945" i="4"/>
  <c r="G945" i="4"/>
  <c r="H945" i="4"/>
  <c r="J945" i="4"/>
  <c r="K945" i="4"/>
  <c r="C946" i="4"/>
  <c r="D946" i="4"/>
  <c r="E946" i="4"/>
  <c r="F946" i="4"/>
  <c r="G946" i="4"/>
  <c r="H946" i="4"/>
  <c r="J946" i="4"/>
  <c r="K946" i="4"/>
  <c r="C947" i="4"/>
  <c r="D947" i="4"/>
  <c r="E947" i="4"/>
  <c r="F947" i="4"/>
  <c r="G947" i="4"/>
  <c r="H947" i="4"/>
  <c r="J947" i="4"/>
  <c r="K947" i="4"/>
  <c r="C948" i="4"/>
  <c r="D948" i="4"/>
  <c r="E948" i="4"/>
  <c r="F948" i="4"/>
  <c r="G948" i="4"/>
  <c r="H948" i="4"/>
  <c r="J948" i="4"/>
  <c r="K948" i="4"/>
  <c r="C949" i="4"/>
  <c r="D949" i="4"/>
  <c r="E949" i="4"/>
  <c r="F949" i="4"/>
  <c r="G949" i="4"/>
  <c r="H949" i="4"/>
  <c r="J949" i="4"/>
  <c r="K949" i="4"/>
  <c r="C950" i="4"/>
  <c r="D950" i="4"/>
  <c r="E950" i="4"/>
  <c r="F950" i="4"/>
  <c r="G950" i="4"/>
  <c r="H950" i="4"/>
  <c r="J950" i="4"/>
  <c r="K950" i="4"/>
  <c r="C951" i="4"/>
  <c r="D951" i="4"/>
  <c r="E951" i="4"/>
  <c r="F951" i="4"/>
  <c r="G951" i="4"/>
  <c r="H951" i="4"/>
  <c r="J951" i="4"/>
  <c r="K951" i="4"/>
  <c r="C952" i="4"/>
  <c r="D952" i="4"/>
  <c r="E952" i="4"/>
  <c r="F952" i="4"/>
  <c r="G952" i="4"/>
  <c r="H952" i="4"/>
  <c r="J952" i="4"/>
  <c r="K952" i="4"/>
  <c r="C953" i="4"/>
  <c r="D953" i="4"/>
  <c r="E953" i="4"/>
  <c r="F953" i="4"/>
  <c r="G953" i="4"/>
  <c r="H953" i="4"/>
  <c r="J953" i="4"/>
  <c r="K953" i="4"/>
  <c r="C954" i="4"/>
  <c r="D954" i="4"/>
  <c r="E954" i="4"/>
  <c r="F954" i="4"/>
  <c r="G954" i="4"/>
  <c r="H954" i="4"/>
  <c r="J954" i="4"/>
  <c r="K954" i="4"/>
  <c r="C955" i="4"/>
  <c r="D955" i="4"/>
  <c r="E955" i="4"/>
  <c r="F955" i="4"/>
  <c r="G955" i="4"/>
  <c r="H955" i="4"/>
  <c r="J955" i="4"/>
  <c r="K955" i="4"/>
  <c r="C956" i="4"/>
  <c r="D956" i="4"/>
  <c r="E956" i="4"/>
  <c r="F956" i="4"/>
  <c r="G956" i="4"/>
  <c r="H956" i="4"/>
  <c r="J956" i="4"/>
  <c r="K956" i="4"/>
  <c r="C957" i="4"/>
  <c r="D957" i="4"/>
  <c r="E957" i="4"/>
  <c r="F957" i="4"/>
  <c r="G957" i="4"/>
  <c r="H957" i="4"/>
  <c r="J957" i="4"/>
  <c r="K957" i="4"/>
  <c r="C958" i="4"/>
  <c r="D958" i="4"/>
  <c r="E958" i="4"/>
  <c r="F958" i="4"/>
  <c r="G958" i="4"/>
  <c r="H958" i="4"/>
  <c r="J958" i="4"/>
  <c r="K958" i="4"/>
  <c r="C959" i="4"/>
  <c r="D959" i="4"/>
  <c r="E959" i="4"/>
  <c r="F959" i="4"/>
  <c r="G959" i="4"/>
  <c r="H959" i="4"/>
  <c r="J959" i="4"/>
  <c r="K959" i="4"/>
  <c r="C960" i="4"/>
  <c r="D960" i="4"/>
  <c r="E960" i="4"/>
  <c r="F960" i="4"/>
  <c r="G960" i="4"/>
  <c r="H960" i="4"/>
  <c r="J960" i="4"/>
  <c r="K960" i="4"/>
  <c r="C961" i="4"/>
  <c r="D961" i="4"/>
  <c r="E961" i="4"/>
  <c r="F961" i="4"/>
  <c r="G961" i="4"/>
  <c r="H961" i="4"/>
  <c r="J961" i="4"/>
  <c r="K961" i="4"/>
  <c r="C962" i="4"/>
  <c r="D962" i="4"/>
  <c r="E962" i="4"/>
  <c r="F962" i="4"/>
  <c r="G962" i="4"/>
  <c r="H962" i="4"/>
  <c r="J962" i="4"/>
  <c r="K962" i="4"/>
  <c r="C963" i="4"/>
  <c r="D963" i="4"/>
  <c r="E963" i="4"/>
  <c r="F963" i="4"/>
  <c r="G963" i="4"/>
  <c r="H963" i="4"/>
  <c r="J963" i="4"/>
  <c r="K963" i="4"/>
  <c r="C964" i="4"/>
  <c r="D964" i="4"/>
  <c r="E964" i="4"/>
  <c r="F964" i="4"/>
  <c r="G964" i="4"/>
  <c r="H964" i="4"/>
  <c r="J964" i="4"/>
  <c r="K964" i="4"/>
  <c r="C965" i="4"/>
  <c r="D965" i="4"/>
  <c r="E965" i="4"/>
  <c r="F965" i="4"/>
  <c r="G965" i="4"/>
  <c r="H965" i="4"/>
  <c r="J965" i="4"/>
  <c r="K965" i="4"/>
  <c r="C966" i="4"/>
  <c r="D966" i="4"/>
  <c r="E966" i="4"/>
  <c r="F966" i="4"/>
  <c r="G966" i="4"/>
  <c r="H966" i="4"/>
  <c r="J966" i="4"/>
  <c r="K966" i="4"/>
  <c r="C967" i="4"/>
  <c r="D967" i="4"/>
  <c r="E967" i="4"/>
  <c r="F967" i="4"/>
  <c r="G967" i="4"/>
  <c r="H967" i="4"/>
  <c r="J967" i="4"/>
  <c r="K967" i="4"/>
  <c r="C968" i="4"/>
  <c r="D968" i="4"/>
  <c r="E968" i="4"/>
  <c r="F968" i="4"/>
  <c r="G968" i="4"/>
  <c r="H968" i="4"/>
  <c r="J968" i="4"/>
  <c r="K968" i="4"/>
  <c r="C969" i="4"/>
  <c r="D969" i="4"/>
  <c r="E969" i="4"/>
  <c r="F969" i="4"/>
  <c r="G969" i="4"/>
  <c r="H969" i="4"/>
  <c r="J969" i="4"/>
  <c r="K969" i="4"/>
  <c r="C970" i="4"/>
  <c r="D970" i="4"/>
  <c r="E970" i="4"/>
  <c r="F970" i="4"/>
  <c r="G970" i="4"/>
  <c r="H970" i="4"/>
  <c r="J970" i="4"/>
  <c r="K970" i="4"/>
  <c r="C971" i="4"/>
  <c r="D971" i="4"/>
  <c r="E971" i="4"/>
  <c r="F971" i="4"/>
  <c r="G971" i="4"/>
  <c r="H971" i="4"/>
  <c r="J971" i="4"/>
  <c r="K971" i="4"/>
  <c r="C972" i="4"/>
  <c r="D972" i="4"/>
  <c r="E972" i="4"/>
  <c r="F972" i="4"/>
  <c r="G972" i="4"/>
  <c r="H972" i="4"/>
  <c r="J972" i="4"/>
  <c r="K972" i="4"/>
  <c r="C973" i="4"/>
  <c r="D973" i="4"/>
  <c r="E973" i="4"/>
  <c r="F973" i="4"/>
  <c r="G973" i="4"/>
  <c r="H973" i="4"/>
  <c r="J973" i="4"/>
  <c r="K973" i="4"/>
  <c r="C974" i="4"/>
  <c r="D974" i="4"/>
  <c r="E974" i="4"/>
  <c r="F974" i="4"/>
  <c r="G974" i="4"/>
  <c r="H974" i="4"/>
  <c r="J974" i="4"/>
  <c r="K974" i="4"/>
  <c r="C975" i="4"/>
  <c r="D975" i="4"/>
  <c r="E975" i="4"/>
  <c r="F975" i="4"/>
  <c r="G975" i="4"/>
  <c r="H975" i="4"/>
  <c r="J975" i="4"/>
  <c r="K975" i="4"/>
  <c r="C976" i="4"/>
  <c r="D976" i="4"/>
  <c r="E976" i="4"/>
  <c r="F976" i="4"/>
  <c r="G976" i="4"/>
  <c r="H976" i="4"/>
  <c r="J976" i="4"/>
  <c r="K976" i="4"/>
  <c r="C977" i="4"/>
  <c r="D977" i="4"/>
  <c r="E977" i="4"/>
  <c r="F977" i="4"/>
  <c r="G977" i="4"/>
  <c r="H977" i="4"/>
  <c r="J977" i="4"/>
  <c r="K977" i="4"/>
  <c r="C978" i="4"/>
  <c r="D978" i="4"/>
  <c r="E978" i="4"/>
  <c r="F978" i="4"/>
  <c r="G978" i="4"/>
  <c r="H978" i="4"/>
  <c r="J978" i="4"/>
  <c r="K978" i="4"/>
  <c r="C979" i="4"/>
  <c r="D979" i="4"/>
  <c r="E979" i="4"/>
  <c r="F979" i="4"/>
  <c r="G979" i="4"/>
  <c r="H979" i="4"/>
  <c r="J979" i="4"/>
  <c r="K979" i="4"/>
  <c r="C980" i="4"/>
  <c r="D980" i="4"/>
  <c r="E980" i="4"/>
  <c r="F980" i="4"/>
  <c r="G980" i="4"/>
  <c r="H980" i="4"/>
  <c r="J980" i="4"/>
  <c r="K980" i="4"/>
  <c r="C981" i="4"/>
  <c r="D981" i="4"/>
  <c r="E981" i="4"/>
  <c r="F981" i="4"/>
  <c r="G981" i="4"/>
  <c r="H981" i="4"/>
  <c r="J981" i="4"/>
  <c r="K981" i="4"/>
  <c r="C982" i="4"/>
  <c r="D982" i="4"/>
  <c r="E982" i="4"/>
  <c r="F982" i="4"/>
  <c r="G982" i="4"/>
  <c r="H982" i="4"/>
  <c r="J982" i="4"/>
  <c r="K982" i="4"/>
  <c r="C983" i="4"/>
  <c r="D983" i="4"/>
  <c r="E983" i="4"/>
  <c r="F983" i="4"/>
  <c r="G983" i="4"/>
  <c r="H983" i="4"/>
  <c r="J983" i="4"/>
  <c r="K983" i="4"/>
  <c r="C984" i="4"/>
  <c r="D984" i="4"/>
  <c r="E984" i="4"/>
  <c r="F984" i="4"/>
  <c r="G984" i="4"/>
  <c r="H984" i="4"/>
  <c r="J984" i="4"/>
  <c r="K984" i="4"/>
  <c r="C985" i="4"/>
  <c r="D985" i="4"/>
  <c r="E985" i="4"/>
  <c r="F985" i="4"/>
  <c r="G985" i="4"/>
  <c r="H985" i="4"/>
  <c r="J985" i="4"/>
  <c r="K985" i="4"/>
  <c r="C986" i="4"/>
  <c r="D986" i="4"/>
  <c r="E986" i="4"/>
  <c r="F986" i="4"/>
  <c r="G986" i="4"/>
  <c r="H986" i="4"/>
  <c r="J986" i="4"/>
  <c r="K986" i="4"/>
  <c r="C987" i="4"/>
  <c r="D987" i="4"/>
  <c r="E987" i="4"/>
  <c r="F987" i="4"/>
  <c r="G987" i="4"/>
  <c r="H987" i="4"/>
  <c r="J987" i="4"/>
  <c r="K987" i="4"/>
  <c r="C988" i="4"/>
  <c r="D988" i="4"/>
  <c r="E988" i="4"/>
  <c r="F988" i="4"/>
  <c r="G988" i="4"/>
  <c r="H988" i="4"/>
  <c r="J988" i="4"/>
  <c r="K988" i="4"/>
  <c r="C989" i="4"/>
  <c r="D989" i="4"/>
  <c r="E989" i="4"/>
  <c r="F989" i="4"/>
  <c r="G989" i="4"/>
  <c r="H989" i="4"/>
  <c r="J989" i="4"/>
  <c r="K989" i="4"/>
  <c r="C990" i="4"/>
  <c r="D990" i="4"/>
  <c r="E990" i="4"/>
  <c r="F990" i="4"/>
  <c r="G990" i="4"/>
  <c r="H990" i="4"/>
  <c r="J990" i="4"/>
  <c r="K990" i="4"/>
  <c r="C991" i="4"/>
  <c r="D991" i="4"/>
  <c r="E991" i="4"/>
  <c r="F991" i="4"/>
  <c r="G991" i="4"/>
  <c r="H991" i="4"/>
  <c r="J991" i="4"/>
  <c r="K991" i="4"/>
  <c r="C992" i="4"/>
  <c r="D992" i="4"/>
  <c r="E992" i="4"/>
  <c r="F992" i="4"/>
  <c r="G992" i="4"/>
  <c r="H992" i="4"/>
  <c r="J992" i="4"/>
  <c r="K992" i="4"/>
  <c r="C993" i="4"/>
  <c r="D993" i="4"/>
  <c r="E993" i="4"/>
  <c r="F993" i="4"/>
  <c r="G993" i="4"/>
  <c r="H993" i="4"/>
  <c r="J993" i="4"/>
  <c r="K993" i="4"/>
  <c r="C994" i="4"/>
  <c r="D994" i="4"/>
  <c r="E994" i="4"/>
  <c r="F994" i="4"/>
  <c r="G994" i="4"/>
  <c r="H994" i="4"/>
  <c r="J994" i="4"/>
  <c r="K994" i="4"/>
  <c r="C995" i="4"/>
  <c r="D995" i="4"/>
  <c r="E995" i="4"/>
  <c r="F995" i="4"/>
  <c r="G995" i="4"/>
  <c r="H995" i="4"/>
  <c r="J995" i="4"/>
  <c r="K995" i="4"/>
  <c r="C996" i="4"/>
  <c r="D996" i="4"/>
  <c r="E996" i="4"/>
  <c r="F996" i="4"/>
  <c r="G996" i="4"/>
  <c r="H996" i="4"/>
  <c r="J996" i="4"/>
  <c r="K996" i="4"/>
  <c r="C997" i="4"/>
  <c r="D997" i="4"/>
  <c r="E997" i="4"/>
  <c r="F997" i="4"/>
  <c r="G997" i="4"/>
  <c r="H997" i="4"/>
  <c r="J997" i="4"/>
  <c r="K997" i="4"/>
  <c r="C998" i="4"/>
  <c r="D998" i="4"/>
  <c r="E998" i="4"/>
  <c r="F998" i="4"/>
  <c r="G998" i="4"/>
  <c r="H998" i="4"/>
  <c r="J998" i="4"/>
  <c r="K998" i="4"/>
  <c r="C999" i="4"/>
  <c r="D999" i="4"/>
  <c r="E999" i="4"/>
  <c r="F999" i="4"/>
  <c r="G999" i="4"/>
  <c r="H999" i="4"/>
  <c r="J999" i="4"/>
  <c r="K999" i="4"/>
  <c r="C1000" i="4"/>
  <c r="D1000" i="4"/>
  <c r="E1000" i="4"/>
  <c r="F1000" i="4"/>
  <c r="G1000" i="4"/>
  <c r="H1000" i="4"/>
  <c r="J1000" i="4"/>
  <c r="K1000" i="4"/>
  <c r="G2" i="4"/>
  <c r="F2" i="4"/>
  <c r="E2" i="4"/>
  <c r="D2" i="4"/>
  <c r="C2" i="4" s="1"/>
  <c r="H16" i="4" l="1"/>
  <c r="J16" i="4" s="1"/>
  <c r="H152" i="4"/>
  <c r="J152" i="4" s="1"/>
  <c r="J70" i="4"/>
  <c r="H48" i="4"/>
  <c r="J48" i="4" s="1"/>
  <c r="I36" i="4"/>
  <c r="H178" i="4"/>
  <c r="J178" i="4" s="1"/>
  <c r="H170" i="4"/>
  <c r="J170" i="4" s="1"/>
  <c r="I138" i="4"/>
  <c r="K138" i="4" s="1"/>
  <c r="I44" i="4"/>
  <c r="K44" i="4" s="1"/>
  <c r="I35" i="4"/>
  <c r="I148" i="4"/>
  <c r="K148" i="4" s="1"/>
  <c r="I140" i="4"/>
  <c r="K140" i="4" s="1"/>
  <c r="I116" i="4"/>
  <c r="K116" i="4" s="1"/>
  <c r="I183" i="4"/>
  <c r="I181" i="4"/>
  <c r="K181" i="4" s="1"/>
  <c r="I175" i="4"/>
  <c r="K175" i="4" s="1"/>
  <c r="J126" i="4"/>
  <c r="J110" i="4"/>
  <c r="I108" i="4"/>
  <c r="K108" i="4" s="1"/>
  <c r="J102" i="4"/>
  <c r="I100" i="4"/>
  <c r="K100" i="4" s="1"/>
  <c r="I92" i="4"/>
  <c r="I90" i="4"/>
  <c r="K90" i="4" s="1"/>
  <c r="I29" i="4"/>
  <c r="K29" i="4" s="1"/>
  <c r="I27" i="4"/>
  <c r="K27" i="4" s="1"/>
  <c r="H25" i="4"/>
  <c r="J25" i="4" s="1"/>
  <c r="I60" i="4"/>
  <c r="K60" i="4" s="1"/>
  <c r="I15" i="4"/>
  <c r="K15" i="4" s="1"/>
  <c r="I9" i="4"/>
  <c r="K9" i="4" s="1"/>
  <c r="J176" i="4"/>
  <c r="I149" i="4"/>
  <c r="K149" i="4" s="1"/>
  <c r="I147" i="4"/>
  <c r="K147" i="4" s="1"/>
  <c r="J54" i="4"/>
  <c r="J113" i="4"/>
  <c r="J105" i="4"/>
  <c r="J89" i="4"/>
  <c r="H160" i="4"/>
  <c r="J160" i="4" s="1"/>
  <c r="I71" i="4"/>
  <c r="I69" i="4"/>
  <c r="K69" i="4" s="1"/>
  <c r="I63" i="4"/>
  <c r="K63" i="4" s="1"/>
  <c r="I59" i="4"/>
  <c r="K59" i="4" s="1"/>
  <c r="J98" i="4"/>
  <c r="J94" i="4"/>
  <c r="J86" i="4"/>
  <c r="I84" i="4"/>
  <c r="K84" i="4" s="1"/>
  <c r="J66" i="4"/>
  <c r="I172" i="4"/>
  <c r="K172" i="4" s="1"/>
  <c r="I115" i="4"/>
  <c r="K115" i="4" s="1"/>
  <c r="I111" i="4"/>
  <c r="K111" i="4" s="1"/>
  <c r="I3" i="4"/>
  <c r="K3" i="4" s="1"/>
  <c r="I52" i="4"/>
  <c r="K52" i="4" s="1"/>
  <c r="I42" i="4"/>
  <c r="K42" i="4" s="1"/>
  <c r="I143" i="4"/>
  <c r="K143" i="4" s="1"/>
  <c r="I124" i="4"/>
  <c r="K124" i="4" s="1"/>
  <c r="J122" i="4"/>
  <c r="H166" i="4"/>
  <c r="J166" i="4" s="1"/>
  <c r="I164" i="4"/>
  <c r="K164" i="4" s="1"/>
  <c r="J57" i="4"/>
  <c r="J6" i="4"/>
  <c r="I4" i="4"/>
  <c r="K4" i="4" s="1"/>
  <c r="I61" i="4"/>
  <c r="K61" i="4" s="1"/>
  <c r="I171" i="4"/>
  <c r="K171" i="4" s="1"/>
  <c r="I156" i="4"/>
  <c r="K156" i="4" s="1"/>
  <c r="J118" i="4"/>
  <c r="I103" i="4"/>
  <c r="K103" i="4" s="1"/>
  <c r="J5" i="4"/>
  <c r="J154" i="4"/>
  <c r="I99" i="4"/>
  <c r="I51" i="4"/>
  <c r="K51" i="4" s="1"/>
  <c r="I49" i="4"/>
  <c r="K49" i="4" s="1"/>
  <c r="I45" i="4"/>
  <c r="K45" i="4" s="1"/>
  <c r="I169" i="4"/>
  <c r="K169" i="4" s="1"/>
  <c r="I137" i="4"/>
  <c r="K137" i="4" s="1"/>
  <c r="K131" i="4"/>
  <c r="I68" i="4"/>
  <c r="K68" i="4" s="1"/>
  <c r="I41" i="4"/>
  <c r="K41" i="4" s="1"/>
  <c r="I20" i="4"/>
  <c r="K20" i="4" s="1"/>
  <c r="H174" i="4"/>
  <c r="J174" i="4" s="1"/>
  <c r="I165" i="4"/>
  <c r="K165" i="4" s="1"/>
  <c r="I146" i="4"/>
  <c r="K146" i="4" s="1"/>
  <c r="J144" i="4"/>
  <c r="I106" i="4"/>
  <c r="K106" i="4" s="1"/>
  <c r="I85" i="4"/>
  <c r="K85" i="4" s="1"/>
  <c r="I83" i="4"/>
  <c r="K83" i="4" s="1"/>
  <c r="H15" i="4"/>
  <c r="J15" i="4" s="1"/>
  <c r="I159" i="4"/>
  <c r="K159" i="4" s="1"/>
  <c r="I155" i="4"/>
  <c r="K155" i="4" s="1"/>
  <c r="J142" i="4"/>
  <c r="J121" i="4"/>
  <c r="I119" i="4"/>
  <c r="K119" i="4" s="1"/>
  <c r="I75" i="4"/>
  <c r="K75" i="4" s="1"/>
  <c r="I121" i="4"/>
  <c r="K121" i="4" s="1"/>
  <c r="I162" i="4"/>
  <c r="K162" i="4" s="1"/>
  <c r="H162" i="4"/>
  <c r="J162" i="4" s="1"/>
  <c r="I163" i="4"/>
  <c r="K163" i="4" s="1"/>
  <c r="H163" i="4"/>
  <c r="J163" i="4" s="1"/>
  <c r="I81" i="4"/>
  <c r="K81" i="4" s="1"/>
  <c r="H81" i="4"/>
  <c r="J81" i="4" s="1"/>
  <c r="H137" i="4"/>
  <c r="J137" i="4" s="1"/>
  <c r="I109" i="4"/>
  <c r="K109" i="4" s="1"/>
  <c r="I113" i="4"/>
  <c r="K113" i="4" s="1"/>
  <c r="I179" i="4"/>
  <c r="K179" i="4" s="1"/>
  <c r="I157" i="4"/>
  <c r="K157" i="4" s="1"/>
  <c r="H150" i="4"/>
  <c r="J150" i="4" s="1"/>
  <c r="I141" i="4"/>
  <c r="K141" i="4" s="1"/>
  <c r="I134" i="4"/>
  <c r="K134" i="4" s="1"/>
  <c r="I125" i="4"/>
  <c r="K125" i="4" s="1"/>
  <c r="I114" i="4"/>
  <c r="K114" i="4" s="1"/>
  <c r="I107" i="4"/>
  <c r="K107" i="4" s="1"/>
  <c r="J78" i="4"/>
  <c r="I76" i="4"/>
  <c r="K76" i="4" s="1"/>
  <c r="I74" i="4"/>
  <c r="K74" i="4" s="1"/>
  <c r="I67" i="4"/>
  <c r="K67" i="4" s="1"/>
  <c r="J56" i="4"/>
  <c r="I43" i="4"/>
  <c r="J30" i="4"/>
  <c r="I28" i="4"/>
  <c r="K28" i="4" s="1"/>
  <c r="I21" i="4"/>
  <c r="I19" i="4"/>
  <c r="K19" i="4" s="1"/>
  <c r="J8" i="4"/>
  <c r="I105" i="4"/>
  <c r="K105" i="4" s="1"/>
  <c r="I167" i="4"/>
  <c r="K167" i="4" s="1"/>
  <c r="H140" i="4"/>
  <c r="J140" i="4" s="1"/>
  <c r="H73" i="4"/>
  <c r="J73" i="4" s="1"/>
  <c r="I39" i="4"/>
  <c r="K39" i="4" s="1"/>
  <c r="I37" i="4"/>
  <c r="K37" i="4" s="1"/>
  <c r="I89" i="4"/>
  <c r="K89" i="4" s="1"/>
  <c r="H131" i="4"/>
  <c r="J131" i="4" s="1"/>
  <c r="I11" i="4"/>
  <c r="K11" i="4" s="1"/>
  <c r="I173" i="4"/>
  <c r="K173" i="4" s="1"/>
  <c r="H169" i="4"/>
  <c r="J169" i="4" s="1"/>
  <c r="I151" i="4"/>
  <c r="K151" i="4" s="1"/>
  <c r="I117" i="4"/>
  <c r="K117" i="4" s="1"/>
  <c r="I101" i="4"/>
  <c r="K101" i="4" s="1"/>
  <c r="I2" i="4"/>
  <c r="K2" i="4" s="1"/>
  <c r="I82" i="4"/>
  <c r="K82" i="4" s="1"/>
  <c r="I53" i="4"/>
  <c r="K53" i="4" s="1"/>
  <c r="H145" i="4"/>
  <c r="J145" i="4" s="1"/>
  <c r="I145" i="4"/>
  <c r="K145" i="4" s="1"/>
  <c r="I129" i="4"/>
  <c r="K129" i="4" s="1"/>
  <c r="H129" i="4"/>
  <c r="J129" i="4" s="1"/>
  <c r="H120" i="4"/>
  <c r="J120" i="4" s="1"/>
  <c r="I120" i="4"/>
  <c r="K120" i="4" s="1"/>
  <c r="H104" i="4"/>
  <c r="J104" i="4" s="1"/>
  <c r="I104" i="4"/>
  <c r="K104" i="4" s="1"/>
  <c r="H58" i="4"/>
  <c r="J58" i="4" s="1"/>
  <c r="I58" i="4"/>
  <c r="K58" i="4" s="1"/>
  <c r="H14" i="4"/>
  <c r="J14" i="4" s="1"/>
  <c r="I14" i="4"/>
  <c r="K14" i="4" s="1"/>
  <c r="H10" i="4"/>
  <c r="J10" i="4" s="1"/>
  <c r="I10" i="4"/>
  <c r="K10" i="4" s="1"/>
  <c r="H32" i="4"/>
  <c r="J32" i="4" s="1"/>
  <c r="I32" i="4"/>
  <c r="K32" i="4" s="1"/>
  <c r="H136" i="4"/>
  <c r="J136" i="4" s="1"/>
  <c r="I136" i="4"/>
  <c r="K136" i="4" s="1"/>
  <c r="H26" i="4"/>
  <c r="J26" i="4" s="1"/>
  <c r="I26" i="4"/>
  <c r="K26" i="4" s="1"/>
  <c r="H17" i="4"/>
  <c r="J17" i="4" s="1"/>
  <c r="I17" i="4"/>
  <c r="K17" i="4" s="1"/>
  <c r="H177" i="4"/>
  <c r="J177" i="4" s="1"/>
  <c r="I177" i="4"/>
  <c r="K177" i="4" s="1"/>
  <c r="I132" i="4"/>
  <c r="K132" i="4" s="1"/>
  <c r="H132" i="4"/>
  <c r="J132" i="4" s="1"/>
  <c r="H96" i="4"/>
  <c r="J96" i="4" s="1"/>
  <c r="I96" i="4"/>
  <c r="K96" i="4" s="1"/>
  <c r="I65" i="4"/>
  <c r="K65" i="4" s="1"/>
  <c r="H65" i="4"/>
  <c r="J65" i="4" s="1"/>
  <c r="I153" i="4"/>
  <c r="K153" i="4" s="1"/>
  <c r="H153" i="4"/>
  <c r="J153" i="4" s="1"/>
  <c r="I139" i="4"/>
  <c r="K139" i="4" s="1"/>
  <c r="H139" i="4"/>
  <c r="J139" i="4" s="1"/>
  <c r="H112" i="4"/>
  <c r="J112" i="4" s="1"/>
  <c r="I112" i="4"/>
  <c r="K112" i="4" s="1"/>
  <c r="H72" i="4"/>
  <c r="J72" i="4" s="1"/>
  <c r="I72" i="4"/>
  <c r="K72" i="4" s="1"/>
  <c r="H50" i="4"/>
  <c r="J50" i="4" s="1"/>
  <c r="I50" i="4"/>
  <c r="K50" i="4" s="1"/>
  <c r="H13" i="4"/>
  <c r="J13" i="4" s="1"/>
  <c r="I13" i="4"/>
  <c r="K13" i="4" s="1"/>
  <c r="H161" i="4"/>
  <c r="J161" i="4" s="1"/>
  <c r="I161" i="4"/>
  <c r="K161" i="4" s="1"/>
  <c r="H182" i="4"/>
  <c r="J182" i="4" s="1"/>
  <c r="I182" i="4"/>
  <c r="K182" i="4" s="1"/>
  <c r="I180" i="4"/>
  <c r="K180" i="4" s="1"/>
  <c r="H180" i="4"/>
  <c r="J180" i="4" s="1"/>
  <c r="H46" i="4"/>
  <c r="J46" i="4" s="1"/>
  <c r="I46" i="4"/>
  <c r="K46" i="4" s="1"/>
  <c r="H33" i="4"/>
  <c r="J33" i="4" s="1"/>
  <c r="I33" i="4"/>
  <c r="K33" i="4" s="1"/>
  <c r="H158" i="4"/>
  <c r="J158" i="4" s="1"/>
  <c r="I158" i="4"/>
  <c r="K158" i="4" s="1"/>
  <c r="H88" i="4"/>
  <c r="J88" i="4" s="1"/>
  <c r="I88" i="4"/>
  <c r="K88" i="4" s="1"/>
  <c r="I18" i="4"/>
  <c r="K18" i="4" s="1"/>
  <c r="H18" i="4"/>
  <c r="J18" i="4" s="1"/>
  <c r="H80" i="4"/>
  <c r="J80" i="4" s="1"/>
  <c r="I80" i="4"/>
  <c r="K80" i="4" s="1"/>
  <c r="I97" i="4"/>
  <c r="K97" i="4" s="1"/>
  <c r="H97" i="4"/>
  <c r="J97" i="4" s="1"/>
  <c r="H64" i="4"/>
  <c r="J64" i="4" s="1"/>
  <c r="I64" i="4"/>
  <c r="K64" i="4" s="1"/>
  <c r="H62" i="4"/>
  <c r="J62" i="4" s="1"/>
  <c r="I62" i="4"/>
  <c r="K62" i="4" s="1"/>
  <c r="H40" i="4"/>
  <c r="J40" i="4" s="1"/>
  <c r="I40" i="4"/>
  <c r="K40" i="4" s="1"/>
  <c r="H38" i="4"/>
  <c r="J38" i="4" s="1"/>
  <c r="I38" i="4"/>
  <c r="K38" i="4" s="1"/>
  <c r="J130" i="4"/>
  <c r="I178" i="4"/>
  <c r="K178" i="4" s="1"/>
  <c r="I170" i="4"/>
  <c r="K170" i="4" s="1"/>
  <c r="I154" i="4"/>
  <c r="K154" i="4" s="1"/>
  <c r="I130" i="4"/>
  <c r="K130" i="4" s="1"/>
  <c r="I122" i="4"/>
  <c r="K122" i="4" s="1"/>
  <c r="I98" i="4"/>
  <c r="K98" i="4" s="1"/>
  <c r="I66" i="4"/>
  <c r="K66" i="4" s="1"/>
  <c r="I34" i="4"/>
  <c r="K34" i="4" s="1"/>
  <c r="I176" i="4"/>
  <c r="K176" i="4" s="1"/>
  <c r="I168" i="4"/>
  <c r="K168" i="4" s="1"/>
  <c r="I160" i="4"/>
  <c r="K160" i="4" s="1"/>
  <c r="I152" i="4"/>
  <c r="K152" i="4" s="1"/>
  <c r="I144" i="4"/>
  <c r="K144" i="4" s="1"/>
  <c r="I128" i="4"/>
  <c r="K128" i="4" s="1"/>
  <c r="I56" i="4"/>
  <c r="K56" i="4" s="1"/>
  <c r="I48" i="4"/>
  <c r="K48" i="4" s="1"/>
  <c r="I24" i="4"/>
  <c r="K24" i="4" s="1"/>
  <c r="I16" i="4"/>
  <c r="K16" i="4" s="1"/>
  <c r="I8" i="4"/>
  <c r="K8" i="4" s="1"/>
  <c r="I25" i="4"/>
  <c r="K25" i="4" s="1"/>
  <c r="H171" i="4"/>
  <c r="J171" i="4" s="1"/>
  <c r="H147" i="4"/>
  <c r="J147" i="4" s="1"/>
  <c r="H111" i="4"/>
  <c r="J111" i="4" s="1"/>
  <c r="H103" i="4"/>
  <c r="J103" i="4" s="1"/>
  <c r="I127" i="4"/>
  <c r="K127" i="4" s="1"/>
  <c r="I95" i="4"/>
  <c r="K95" i="4" s="1"/>
  <c r="I87" i="4"/>
  <c r="K87" i="4" s="1"/>
  <c r="I79" i="4"/>
  <c r="K79" i="4" s="1"/>
  <c r="I55" i="4"/>
  <c r="K55" i="4" s="1"/>
  <c r="I47" i="4"/>
  <c r="K47" i="4" s="1"/>
  <c r="I31" i="4"/>
  <c r="K31" i="4" s="1"/>
  <c r="I23" i="4"/>
  <c r="K23" i="4" s="1"/>
  <c r="I7" i="4"/>
  <c r="K7" i="4" s="1"/>
  <c r="I57" i="4"/>
  <c r="K57" i="4" s="1"/>
  <c r="H179" i="4"/>
  <c r="J179" i="4" s="1"/>
  <c r="H172" i="4"/>
  <c r="J172" i="4" s="1"/>
  <c r="J168" i="4"/>
  <c r="H164" i="4"/>
  <c r="J164" i="4" s="1"/>
  <c r="H155" i="4"/>
  <c r="J155" i="4" s="1"/>
  <c r="H148" i="4"/>
  <c r="J148" i="4" s="1"/>
  <c r="J128" i="4"/>
  <c r="H87" i="4"/>
  <c r="J87" i="4" s="1"/>
  <c r="H79" i="4"/>
  <c r="J79" i="4" s="1"/>
  <c r="H9" i="4"/>
  <c r="J9" i="4" s="1"/>
  <c r="I174" i="4"/>
  <c r="K174" i="4" s="1"/>
  <c r="I166" i="4"/>
  <c r="K166" i="4" s="1"/>
  <c r="I150" i="4"/>
  <c r="K150" i="4" s="1"/>
  <c r="I142" i="4"/>
  <c r="K142" i="4" s="1"/>
  <c r="I126" i="4"/>
  <c r="K126" i="4" s="1"/>
  <c r="I118" i="4"/>
  <c r="K118" i="4" s="1"/>
  <c r="I110" i="4"/>
  <c r="K110" i="4" s="1"/>
  <c r="I102" i="4"/>
  <c r="K102" i="4" s="1"/>
  <c r="I94" i="4"/>
  <c r="K94" i="4" s="1"/>
  <c r="I86" i="4"/>
  <c r="K86" i="4" s="1"/>
  <c r="I78" i="4"/>
  <c r="K78" i="4" s="1"/>
  <c r="I70" i="4"/>
  <c r="K70" i="4" s="1"/>
  <c r="I54" i="4"/>
  <c r="K54" i="4" s="1"/>
  <c r="I30" i="4"/>
  <c r="K30" i="4" s="1"/>
  <c r="I22" i="4"/>
  <c r="K22" i="4" s="1"/>
  <c r="I6" i="4"/>
  <c r="K6" i="4" s="1"/>
  <c r="H63" i="4"/>
  <c r="J63" i="4" s="1"/>
  <c r="I5" i="4"/>
  <c r="K5" i="4" s="1"/>
  <c r="K71" i="4"/>
  <c r="J23" i="4"/>
  <c r="I123" i="4"/>
  <c r="K123" i="4" s="1"/>
  <c r="K73" i="4"/>
  <c r="H2" i="4"/>
  <c r="H138" i="4"/>
  <c r="J138" i="4" s="1"/>
  <c r="H135" i="4"/>
  <c r="J135" i="4" s="1"/>
  <c r="K135" i="4"/>
  <c r="H175" i="4"/>
  <c r="J175" i="4" s="1"/>
  <c r="H165" i="4"/>
  <c r="J165" i="4" s="1"/>
  <c r="H151" i="4"/>
  <c r="J151" i="4" s="1"/>
  <c r="H167" i="4"/>
  <c r="J167" i="4" s="1"/>
  <c r="H183" i="4"/>
  <c r="J183" i="4" s="1"/>
  <c r="K183" i="4"/>
  <c r="H173" i="4"/>
  <c r="J173" i="4" s="1"/>
  <c r="H156" i="4"/>
  <c r="J156" i="4" s="1"/>
  <c r="H149" i="4"/>
  <c r="J149" i="4" s="1"/>
  <c r="H181" i="4"/>
  <c r="J181" i="4" s="1"/>
  <c r="H134" i="4"/>
  <c r="J134" i="4" s="1"/>
  <c r="H146" i="4"/>
  <c r="J146" i="4" s="1"/>
  <c r="H143" i="4"/>
  <c r="J143" i="4" s="1"/>
  <c r="H159" i="4"/>
  <c r="J159" i="4" s="1"/>
  <c r="H141" i="4"/>
  <c r="J141" i="4" s="1"/>
  <c r="H157" i="4"/>
  <c r="J157" i="4" s="1"/>
  <c r="H69" i="4"/>
  <c r="J69" i="4" s="1"/>
  <c r="H123" i="4"/>
  <c r="J123" i="4" s="1"/>
  <c r="H71" i="4"/>
  <c r="J71" i="4" s="1"/>
  <c r="H55" i="4"/>
  <c r="J55" i="4" s="1"/>
  <c r="H31" i="4"/>
  <c r="J31" i="4" s="1"/>
  <c r="H124" i="4"/>
  <c r="J124" i="4" s="1"/>
  <c r="H29" i="4"/>
  <c r="J29" i="4" s="1"/>
  <c r="H127" i="4"/>
  <c r="J127" i="4" s="1"/>
  <c r="H125" i="4"/>
  <c r="J125" i="4" s="1"/>
  <c r="H119" i="4"/>
  <c r="J119" i="4" s="1"/>
  <c r="H117" i="4"/>
  <c r="J117" i="4" s="1"/>
  <c r="H108" i="4"/>
  <c r="J108" i="4" s="1"/>
  <c r="H106" i="4"/>
  <c r="J106" i="4" s="1"/>
  <c r="H93" i="4"/>
  <c r="J93" i="4" s="1"/>
  <c r="K93" i="4"/>
  <c r="H84" i="4"/>
  <c r="J84" i="4" s="1"/>
  <c r="H82" i="4"/>
  <c r="J82" i="4" s="1"/>
  <c r="H67" i="4"/>
  <c r="J67" i="4" s="1"/>
  <c r="H60" i="4"/>
  <c r="J60" i="4" s="1"/>
  <c r="H51" i="4"/>
  <c r="J51" i="4" s="1"/>
  <c r="H45" i="4"/>
  <c r="J45" i="4" s="1"/>
  <c r="H37" i="4"/>
  <c r="J37" i="4" s="1"/>
  <c r="H27" i="4"/>
  <c r="J27" i="4" s="1"/>
  <c r="H4" i="4"/>
  <c r="J4" i="4" s="1"/>
  <c r="H75" i="4"/>
  <c r="J75" i="4" s="1"/>
  <c r="H44" i="4"/>
  <c r="J44" i="4" s="1"/>
  <c r="H95" i="4"/>
  <c r="J95" i="4" s="1"/>
  <c r="H47" i="4"/>
  <c r="J47" i="4" s="1"/>
  <c r="H39" i="4"/>
  <c r="J39" i="4" s="1"/>
  <c r="K12" i="4"/>
  <c r="H12" i="4"/>
  <c r="J12" i="4" s="1"/>
  <c r="H99" i="4"/>
  <c r="J99" i="4" s="1"/>
  <c r="K99" i="4"/>
  <c r="H115" i="4"/>
  <c r="J115" i="4" s="1"/>
  <c r="H109" i="4"/>
  <c r="J109" i="4" s="1"/>
  <c r="H100" i="4"/>
  <c r="J100" i="4" s="1"/>
  <c r="H91" i="4"/>
  <c r="J91" i="4" s="1"/>
  <c r="K91" i="4"/>
  <c r="H85" i="4"/>
  <c r="J85" i="4" s="1"/>
  <c r="H76" i="4"/>
  <c r="J76" i="4" s="1"/>
  <c r="H74" i="4"/>
  <c r="J74" i="4" s="1"/>
  <c r="H61" i="4"/>
  <c r="J61" i="4" s="1"/>
  <c r="H43" i="4"/>
  <c r="J43" i="4" s="1"/>
  <c r="K43" i="4"/>
  <c r="H35" i="4"/>
  <c r="J35" i="4" s="1"/>
  <c r="K35" i="4"/>
  <c r="H20" i="4"/>
  <c r="J20" i="4" s="1"/>
  <c r="H7" i="4"/>
  <c r="J7" i="4" s="1"/>
  <c r="H90" i="4"/>
  <c r="J90" i="4" s="1"/>
  <c r="H19" i="4"/>
  <c r="J19" i="4" s="1"/>
  <c r="H49" i="4"/>
  <c r="J49" i="4" s="1"/>
  <c r="H41" i="4"/>
  <c r="J41" i="4" s="1"/>
  <c r="H116" i="4"/>
  <c r="J116" i="4" s="1"/>
  <c r="H53" i="4"/>
  <c r="J53" i="4" s="1"/>
  <c r="K36" i="4"/>
  <c r="H36" i="4"/>
  <c r="J36" i="4" s="1"/>
  <c r="H133" i="4"/>
  <c r="J133" i="4" s="1"/>
  <c r="K133" i="4"/>
  <c r="H107" i="4"/>
  <c r="J107" i="4" s="1"/>
  <c r="H101" i="4"/>
  <c r="J101" i="4" s="1"/>
  <c r="H83" i="4"/>
  <c r="J83" i="4" s="1"/>
  <c r="H77" i="4"/>
  <c r="J77" i="4" s="1"/>
  <c r="K77" i="4"/>
  <c r="H68" i="4"/>
  <c r="J68" i="4" s="1"/>
  <c r="H59" i="4"/>
  <c r="J59" i="4" s="1"/>
  <c r="H52" i="4"/>
  <c r="J52" i="4" s="1"/>
  <c r="H28" i="4"/>
  <c r="J28" i="4" s="1"/>
  <c r="H21" i="4"/>
  <c r="J21" i="4" s="1"/>
  <c r="K21" i="4"/>
  <c r="H3" i="4"/>
  <c r="J3" i="4" s="1"/>
  <c r="H114" i="4"/>
  <c r="J114" i="4" s="1"/>
  <c r="K92" i="4"/>
  <c r="H92" i="4"/>
  <c r="J92" i="4" s="1"/>
  <c r="H42" i="4"/>
  <c r="J42" i="4" s="1"/>
  <c r="H11" i="4"/>
  <c r="J11" i="4" s="1"/>
  <c r="J2" i="4" l="1"/>
</calcChain>
</file>

<file path=xl/sharedStrings.xml><?xml version="1.0" encoding="utf-8"?>
<sst xmlns="http://schemas.openxmlformats.org/spreadsheetml/2006/main" count="20" uniqueCount="15">
  <si>
    <t>Transaction Type</t>
  </si>
  <si>
    <t>Currency 1</t>
  </si>
  <si>
    <t>Currency 2</t>
  </si>
  <si>
    <t>Currency 2 Quantity</t>
  </si>
  <si>
    <t>Currency 1 Quantity</t>
  </si>
  <si>
    <t>Sent Currency</t>
  </si>
  <si>
    <t>Received Currency</t>
  </si>
  <si>
    <t>Sent Quantity</t>
  </si>
  <si>
    <t>Received Quantity</t>
  </si>
  <si>
    <t>Date and Time</t>
  </si>
  <si>
    <t>Sending Source</t>
  </si>
  <si>
    <t>Exchange Transaction ID</t>
  </si>
  <si>
    <t>Blockchain Transaction Hash</t>
  </si>
  <si>
    <t>Receiving Destination</t>
  </si>
  <si>
    <t>Paste Bittrex Data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</si>
</sst>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Thh:mm:ss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22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22" fontId="0" fillId="0" borderId="0" xfId="0" applyNumberFormat="1"/>
    <xf numFmtId="0" fontId="16" fillId="33" borderId="10" xfId="0" applyFont="1" applyFill="1" applyBorder="1" applyAlignment="1">
      <alignment horizontal="center"/>
    </xf>
    <xf numFmtId="2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19" fillId="34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215900</xdr:colOff>
          <xdr:row>1</xdr:row>
          <xdr:rowOff>12700</xdr:rowOff>
        </xdr:from>
        <xdr:to>
          <xdr:col>12</xdr:col>
          <xdr:colOff>101600</xdr:colOff>
          <xdr:row>3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Transformed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/Library/Containers/com.microsoft.Excel/Data/Documents/C:\Users\austi\Downloads\CSVuploadExample%20(4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83"/>
  <sheetViews>
    <sheetView tabSelected="1" workbookViewId="0"/>
  </sheetViews>
  <sheetFormatPr baseColWidth="10" defaultColWidth="8.83203125" defaultRowHeight="15" x14ac:dyDescent="0.2"/>
  <cols>
    <col min="1" max="1" width="38" customWidth="1"/>
    <col min="8" max="9" width="15.33203125" bestFit="1" customWidth="1"/>
  </cols>
  <sheetData>
    <row r="1" spans="1:9" ht="29" x14ac:dyDescent="0.35">
      <c r="A1" s="6" t="s">
        <v>14</v>
      </c>
    </row>
    <row r="2" spans="1:9" x14ac:dyDescent="0.2">
      <c r="H2" s="1"/>
      <c r="I2" s="1"/>
    </row>
    <row r="3" spans="1:9" x14ac:dyDescent="0.2">
      <c r="H3" s="1"/>
      <c r="I3" s="1"/>
    </row>
    <row r="4" spans="1:9" x14ac:dyDescent="0.2">
      <c r="H4" s="1"/>
      <c r="I4" s="1"/>
    </row>
    <row r="5" spans="1:9" x14ac:dyDescent="0.2">
      <c r="H5" s="1"/>
      <c r="I5" s="1"/>
    </row>
    <row r="6" spans="1:9" x14ac:dyDescent="0.2">
      <c r="H6" s="1"/>
      <c r="I6" s="1"/>
    </row>
    <row r="7" spans="1:9" x14ac:dyDescent="0.2">
      <c r="H7" s="1"/>
      <c r="I7" s="1"/>
    </row>
    <row r="8" spans="1:9" x14ac:dyDescent="0.2">
      <c r="H8" s="1"/>
      <c r="I8" s="1"/>
    </row>
    <row r="9" spans="1:9" x14ac:dyDescent="0.2">
      <c r="H9" s="1"/>
      <c r="I9" s="1"/>
    </row>
    <row r="10" spans="1:9" x14ac:dyDescent="0.2">
      <c r="H10" s="1"/>
      <c r="I10" s="1"/>
    </row>
    <row r="11" spans="1:9" x14ac:dyDescent="0.2">
      <c r="H11" s="1"/>
      <c r="I11" s="1"/>
    </row>
    <row r="12" spans="1:9" x14ac:dyDescent="0.2">
      <c r="H12" s="1"/>
      <c r="I12" s="1"/>
    </row>
    <row r="13" spans="1:9" x14ac:dyDescent="0.2">
      <c r="H13" s="1"/>
      <c r="I13" s="1"/>
    </row>
    <row r="14" spans="1:9" x14ac:dyDescent="0.2">
      <c r="H14" s="1"/>
      <c r="I14" s="1"/>
    </row>
    <row r="15" spans="1:9" x14ac:dyDescent="0.2">
      <c r="H15" s="1"/>
      <c r="I15" s="1"/>
    </row>
    <row r="16" spans="1:9" x14ac:dyDescent="0.2">
      <c r="H16" s="1"/>
      <c r="I16" s="1"/>
    </row>
    <row r="17" spans="8:9" x14ac:dyDescent="0.2">
      <c r="H17" s="1"/>
      <c r="I17" s="1"/>
    </row>
    <row r="18" spans="8:9" x14ac:dyDescent="0.2">
      <c r="H18" s="1"/>
      <c r="I18" s="1"/>
    </row>
    <row r="19" spans="8:9" x14ac:dyDescent="0.2">
      <c r="H19" s="1"/>
      <c r="I19" s="1"/>
    </row>
    <row r="20" spans="8:9" x14ac:dyDescent="0.2">
      <c r="H20" s="1"/>
      <c r="I20" s="1"/>
    </row>
    <row r="21" spans="8:9" x14ac:dyDescent="0.2">
      <c r="H21" s="1"/>
      <c r="I21" s="1"/>
    </row>
    <row r="22" spans="8:9" x14ac:dyDescent="0.2">
      <c r="H22" s="1"/>
      <c r="I22" s="1"/>
    </row>
    <row r="23" spans="8:9" x14ac:dyDescent="0.2">
      <c r="H23" s="1"/>
      <c r="I23" s="1"/>
    </row>
    <row r="24" spans="8:9" x14ac:dyDescent="0.2">
      <c r="H24" s="1"/>
      <c r="I24" s="1"/>
    </row>
    <row r="25" spans="8:9" x14ac:dyDescent="0.2">
      <c r="H25" s="1"/>
      <c r="I25" s="1"/>
    </row>
    <row r="26" spans="8:9" x14ac:dyDescent="0.2">
      <c r="H26" s="1"/>
      <c r="I26" s="1"/>
    </row>
    <row r="27" spans="8:9" x14ac:dyDescent="0.2">
      <c r="H27" s="1"/>
      <c r="I27" s="1"/>
    </row>
    <row r="28" spans="8:9" x14ac:dyDescent="0.2">
      <c r="H28" s="1"/>
      <c r="I28" s="1"/>
    </row>
    <row r="29" spans="8:9" x14ac:dyDescent="0.2">
      <c r="H29" s="1"/>
      <c r="I29" s="1"/>
    </row>
    <row r="30" spans="8:9" x14ac:dyDescent="0.2">
      <c r="H30" s="1"/>
      <c r="I30" s="1"/>
    </row>
    <row r="31" spans="8:9" x14ac:dyDescent="0.2">
      <c r="H31" s="1"/>
      <c r="I31" s="1"/>
    </row>
    <row r="32" spans="8:9" x14ac:dyDescent="0.2">
      <c r="H32" s="1"/>
      <c r="I32" s="1"/>
    </row>
    <row r="33" spans="8:9" x14ac:dyDescent="0.2">
      <c r="H33" s="1"/>
      <c r="I33" s="1"/>
    </row>
    <row r="34" spans="8:9" x14ac:dyDescent="0.2">
      <c r="H34" s="1"/>
      <c r="I34" s="1"/>
    </row>
    <row r="35" spans="8:9" x14ac:dyDescent="0.2">
      <c r="H35" s="1"/>
      <c r="I35" s="1"/>
    </row>
    <row r="36" spans="8:9" x14ac:dyDescent="0.2">
      <c r="H36" s="1"/>
      <c r="I36" s="1"/>
    </row>
    <row r="37" spans="8:9" x14ac:dyDescent="0.2">
      <c r="H37" s="1"/>
      <c r="I37" s="1"/>
    </row>
    <row r="38" spans="8:9" x14ac:dyDescent="0.2">
      <c r="H38" s="1"/>
      <c r="I38" s="1"/>
    </row>
    <row r="39" spans="8:9" x14ac:dyDescent="0.2">
      <c r="H39" s="1"/>
      <c r="I39" s="1"/>
    </row>
    <row r="40" spans="8:9" x14ac:dyDescent="0.2">
      <c r="H40" s="1"/>
      <c r="I40" s="1"/>
    </row>
    <row r="41" spans="8:9" x14ac:dyDescent="0.2">
      <c r="H41" s="1"/>
      <c r="I41" s="1"/>
    </row>
    <row r="42" spans="8:9" x14ac:dyDescent="0.2">
      <c r="H42" s="1"/>
      <c r="I42" s="1"/>
    </row>
    <row r="43" spans="8:9" x14ac:dyDescent="0.2">
      <c r="H43" s="1"/>
      <c r="I43" s="1"/>
    </row>
    <row r="44" spans="8:9" x14ac:dyDescent="0.2">
      <c r="H44" s="1"/>
      <c r="I44" s="1"/>
    </row>
    <row r="45" spans="8:9" x14ac:dyDescent="0.2">
      <c r="H45" s="1"/>
      <c r="I45" s="1"/>
    </row>
    <row r="46" spans="8:9" x14ac:dyDescent="0.2">
      <c r="H46" s="1"/>
      <c r="I46" s="1"/>
    </row>
    <row r="47" spans="8:9" x14ac:dyDescent="0.2">
      <c r="H47" s="1"/>
      <c r="I47" s="1"/>
    </row>
    <row r="48" spans="8:9" x14ac:dyDescent="0.2">
      <c r="H48" s="1"/>
      <c r="I48" s="1"/>
    </row>
    <row r="49" spans="8:9" x14ac:dyDescent="0.2">
      <c r="H49" s="1"/>
      <c r="I49" s="1"/>
    </row>
    <row r="50" spans="8:9" x14ac:dyDescent="0.2">
      <c r="H50" s="1"/>
      <c r="I50" s="1"/>
    </row>
    <row r="51" spans="8:9" x14ac:dyDescent="0.2">
      <c r="H51" s="1"/>
      <c r="I51" s="1"/>
    </row>
    <row r="52" spans="8:9" x14ac:dyDescent="0.2">
      <c r="H52" s="1"/>
      <c r="I52" s="1"/>
    </row>
    <row r="53" spans="8:9" x14ac:dyDescent="0.2">
      <c r="H53" s="1"/>
      <c r="I53" s="1"/>
    </row>
    <row r="54" spans="8:9" x14ac:dyDescent="0.2">
      <c r="H54" s="1"/>
      <c r="I54" s="1"/>
    </row>
    <row r="55" spans="8:9" x14ac:dyDescent="0.2">
      <c r="H55" s="1"/>
      <c r="I55" s="1"/>
    </row>
    <row r="56" spans="8:9" x14ac:dyDescent="0.2">
      <c r="H56" s="1"/>
      <c r="I56" s="1"/>
    </row>
    <row r="57" spans="8:9" x14ac:dyDescent="0.2">
      <c r="H57" s="1"/>
      <c r="I57" s="1"/>
    </row>
    <row r="58" spans="8:9" x14ac:dyDescent="0.2">
      <c r="H58" s="1"/>
      <c r="I58" s="1"/>
    </row>
    <row r="59" spans="8:9" x14ac:dyDescent="0.2">
      <c r="H59" s="1"/>
      <c r="I59" s="1"/>
    </row>
    <row r="60" spans="8:9" x14ac:dyDescent="0.2">
      <c r="H60" s="1"/>
      <c r="I60" s="1"/>
    </row>
    <row r="61" spans="8:9" x14ac:dyDescent="0.2">
      <c r="H61" s="1"/>
      <c r="I61" s="1"/>
    </row>
    <row r="62" spans="8:9" x14ac:dyDescent="0.2">
      <c r="H62" s="1"/>
      <c r="I62" s="1"/>
    </row>
    <row r="63" spans="8:9" x14ac:dyDescent="0.2">
      <c r="H63" s="1"/>
      <c r="I63" s="1"/>
    </row>
    <row r="64" spans="8:9" x14ac:dyDescent="0.2">
      <c r="H64" s="1"/>
      <c r="I64" s="1"/>
    </row>
    <row r="65" spans="8:9" x14ac:dyDescent="0.2">
      <c r="H65" s="1"/>
      <c r="I65" s="1"/>
    </row>
    <row r="66" spans="8:9" x14ac:dyDescent="0.2">
      <c r="H66" s="1"/>
      <c r="I66" s="1"/>
    </row>
    <row r="67" spans="8:9" x14ac:dyDescent="0.2">
      <c r="H67" s="1"/>
      <c r="I67" s="1"/>
    </row>
    <row r="68" spans="8:9" x14ac:dyDescent="0.2">
      <c r="H68" s="1"/>
      <c r="I68" s="1"/>
    </row>
    <row r="69" spans="8:9" x14ac:dyDescent="0.2">
      <c r="H69" s="1"/>
      <c r="I69" s="1"/>
    </row>
    <row r="70" spans="8:9" x14ac:dyDescent="0.2">
      <c r="H70" s="1"/>
      <c r="I70" s="1"/>
    </row>
    <row r="71" spans="8:9" x14ac:dyDescent="0.2">
      <c r="H71" s="1"/>
      <c r="I71" s="1"/>
    </row>
    <row r="72" spans="8:9" x14ac:dyDescent="0.2">
      <c r="H72" s="1"/>
      <c r="I72" s="1"/>
    </row>
    <row r="73" spans="8:9" x14ac:dyDescent="0.2">
      <c r="H73" s="1"/>
      <c r="I73" s="1"/>
    </row>
    <row r="74" spans="8:9" x14ac:dyDescent="0.2">
      <c r="H74" s="1"/>
      <c r="I74" s="1"/>
    </row>
    <row r="75" spans="8:9" x14ac:dyDescent="0.2">
      <c r="H75" s="1"/>
      <c r="I75" s="1"/>
    </row>
    <row r="76" spans="8:9" x14ac:dyDescent="0.2">
      <c r="H76" s="1"/>
      <c r="I76" s="1"/>
    </row>
    <row r="77" spans="8:9" x14ac:dyDescent="0.2">
      <c r="H77" s="1"/>
      <c r="I77" s="1"/>
    </row>
    <row r="78" spans="8:9" x14ac:dyDescent="0.2">
      <c r="H78" s="1"/>
      <c r="I78" s="1"/>
    </row>
    <row r="79" spans="8:9" x14ac:dyDescent="0.2">
      <c r="H79" s="1"/>
      <c r="I79" s="1"/>
    </row>
    <row r="80" spans="8:9" x14ac:dyDescent="0.2">
      <c r="H80" s="1"/>
      <c r="I80" s="1"/>
    </row>
    <row r="81" spans="8:9" x14ac:dyDescent="0.2">
      <c r="H81" s="1"/>
      <c r="I81" s="1"/>
    </row>
    <row r="82" spans="8:9" x14ac:dyDescent="0.2">
      <c r="H82" s="1"/>
      <c r="I82" s="1"/>
    </row>
    <row r="83" spans="8:9" x14ac:dyDescent="0.2">
      <c r="H83" s="1"/>
      <c r="I83" s="1"/>
    </row>
    <row r="84" spans="8:9" x14ac:dyDescent="0.2">
      <c r="H84" s="1"/>
      <c r="I84" s="1"/>
    </row>
    <row r="85" spans="8:9" x14ac:dyDescent="0.2">
      <c r="H85" s="1"/>
      <c r="I85" s="1"/>
    </row>
    <row r="86" spans="8:9" x14ac:dyDescent="0.2">
      <c r="H86" s="1"/>
      <c r="I86" s="1"/>
    </row>
    <row r="87" spans="8:9" x14ac:dyDescent="0.2">
      <c r="H87" s="1"/>
      <c r="I87" s="1"/>
    </row>
    <row r="88" spans="8:9" x14ac:dyDescent="0.2">
      <c r="H88" s="1"/>
      <c r="I88" s="1"/>
    </row>
    <row r="89" spans="8:9" x14ac:dyDescent="0.2">
      <c r="H89" s="1"/>
      <c r="I89" s="1"/>
    </row>
    <row r="90" spans="8:9" x14ac:dyDescent="0.2">
      <c r="H90" s="1"/>
      <c r="I90" s="1"/>
    </row>
    <row r="91" spans="8:9" x14ac:dyDescent="0.2">
      <c r="H91" s="1"/>
      <c r="I91" s="1"/>
    </row>
    <row r="92" spans="8:9" x14ac:dyDescent="0.2">
      <c r="H92" s="1"/>
      <c r="I92" s="1"/>
    </row>
    <row r="93" spans="8:9" x14ac:dyDescent="0.2">
      <c r="H93" s="1"/>
      <c r="I93" s="1"/>
    </row>
    <row r="94" spans="8:9" x14ac:dyDescent="0.2">
      <c r="H94" s="1"/>
      <c r="I94" s="1"/>
    </row>
    <row r="95" spans="8:9" x14ac:dyDescent="0.2">
      <c r="H95" s="1"/>
      <c r="I95" s="1"/>
    </row>
    <row r="96" spans="8:9" x14ac:dyDescent="0.2">
      <c r="H96" s="1"/>
      <c r="I96" s="1"/>
    </row>
    <row r="97" spans="8:9" x14ac:dyDescent="0.2">
      <c r="H97" s="1"/>
      <c r="I97" s="1"/>
    </row>
    <row r="98" spans="8:9" x14ac:dyDescent="0.2">
      <c r="H98" s="1"/>
      <c r="I98" s="1"/>
    </row>
    <row r="99" spans="8:9" x14ac:dyDescent="0.2">
      <c r="H99" s="1"/>
      <c r="I99" s="1"/>
    </row>
    <row r="100" spans="8:9" x14ac:dyDescent="0.2">
      <c r="H100" s="1"/>
      <c r="I100" s="1"/>
    </row>
    <row r="101" spans="8:9" x14ac:dyDescent="0.2">
      <c r="H101" s="1"/>
      <c r="I101" s="1"/>
    </row>
    <row r="102" spans="8:9" x14ac:dyDescent="0.2">
      <c r="H102" s="1"/>
      <c r="I102" s="1"/>
    </row>
    <row r="103" spans="8:9" x14ac:dyDescent="0.2">
      <c r="H103" s="1"/>
      <c r="I103" s="1"/>
    </row>
    <row r="104" spans="8:9" x14ac:dyDescent="0.2">
      <c r="H104" s="1"/>
      <c r="I104" s="1"/>
    </row>
    <row r="105" spans="8:9" x14ac:dyDescent="0.2">
      <c r="H105" s="1"/>
      <c r="I105" s="1"/>
    </row>
    <row r="106" spans="8:9" x14ac:dyDescent="0.2">
      <c r="H106" s="1"/>
      <c r="I106" s="1"/>
    </row>
    <row r="107" spans="8:9" x14ac:dyDescent="0.2">
      <c r="H107" s="1"/>
      <c r="I107" s="1"/>
    </row>
    <row r="108" spans="8:9" x14ac:dyDescent="0.2">
      <c r="H108" s="1"/>
      <c r="I108" s="1"/>
    </row>
    <row r="109" spans="8:9" x14ac:dyDescent="0.2">
      <c r="H109" s="1"/>
      <c r="I109" s="1"/>
    </row>
    <row r="110" spans="8:9" x14ac:dyDescent="0.2">
      <c r="H110" s="1"/>
      <c r="I110" s="1"/>
    </row>
    <row r="111" spans="8:9" x14ac:dyDescent="0.2">
      <c r="H111" s="1"/>
      <c r="I111" s="1"/>
    </row>
    <row r="112" spans="8:9" x14ac:dyDescent="0.2">
      <c r="H112" s="1"/>
      <c r="I112" s="1"/>
    </row>
    <row r="113" spans="8:9" x14ac:dyDescent="0.2">
      <c r="H113" s="1"/>
      <c r="I113" s="1"/>
    </row>
    <row r="114" spans="8:9" x14ac:dyDescent="0.2">
      <c r="H114" s="1"/>
      <c r="I114" s="1"/>
    </row>
    <row r="115" spans="8:9" x14ac:dyDescent="0.2">
      <c r="H115" s="1"/>
      <c r="I115" s="1"/>
    </row>
    <row r="116" spans="8:9" x14ac:dyDescent="0.2">
      <c r="H116" s="1"/>
      <c r="I116" s="1"/>
    </row>
    <row r="117" spans="8:9" x14ac:dyDescent="0.2">
      <c r="H117" s="1"/>
      <c r="I117" s="1"/>
    </row>
    <row r="118" spans="8:9" x14ac:dyDescent="0.2">
      <c r="H118" s="1"/>
      <c r="I118" s="1"/>
    </row>
    <row r="119" spans="8:9" x14ac:dyDescent="0.2">
      <c r="H119" s="1"/>
      <c r="I119" s="1"/>
    </row>
    <row r="120" spans="8:9" x14ac:dyDescent="0.2">
      <c r="H120" s="1"/>
      <c r="I120" s="1"/>
    </row>
    <row r="121" spans="8:9" x14ac:dyDescent="0.2">
      <c r="H121" s="1"/>
      <c r="I121" s="1"/>
    </row>
    <row r="122" spans="8:9" x14ac:dyDescent="0.2">
      <c r="H122" s="1"/>
      <c r="I122" s="1"/>
    </row>
    <row r="123" spans="8:9" x14ac:dyDescent="0.2">
      <c r="H123" s="1"/>
      <c r="I123" s="1"/>
    </row>
    <row r="124" spans="8:9" x14ac:dyDescent="0.2">
      <c r="H124" s="1"/>
      <c r="I124" s="1"/>
    </row>
    <row r="125" spans="8:9" x14ac:dyDescent="0.2">
      <c r="H125" s="1"/>
      <c r="I125" s="1"/>
    </row>
    <row r="126" spans="8:9" x14ac:dyDescent="0.2">
      <c r="H126" s="1"/>
      <c r="I126" s="1"/>
    </row>
    <row r="127" spans="8:9" x14ac:dyDescent="0.2">
      <c r="H127" s="1"/>
      <c r="I127" s="1"/>
    </row>
    <row r="128" spans="8:9" x14ac:dyDescent="0.2">
      <c r="H128" s="1"/>
      <c r="I128" s="1"/>
    </row>
    <row r="129" spans="8:9" x14ac:dyDescent="0.2">
      <c r="H129" s="1"/>
      <c r="I129" s="1"/>
    </row>
    <row r="130" spans="8:9" x14ac:dyDescent="0.2">
      <c r="H130" s="1"/>
      <c r="I130" s="1"/>
    </row>
    <row r="131" spans="8:9" x14ac:dyDescent="0.2">
      <c r="H131" s="1"/>
      <c r="I131" s="1"/>
    </row>
    <row r="132" spans="8:9" x14ac:dyDescent="0.2">
      <c r="H132" s="1"/>
      <c r="I132" s="1"/>
    </row>
    <row r="133" spans="8:9" x14ac:dyDescent="0.2">
      <c r="H133" s="1"/>
      <c r="I133" s="1"/>
    </row>
    <row r="134" spans="8:9" x14ac:dyDescent="0.2">
      <c r="H134" s="1"/>
      <c r="I134" s="1"/>
    </row>
    <row r="135" spans="8:9" x14ac:dyDescent="0.2">
      <c r="H135" s="1"/>
      <c r="I135" s="1"/>
    </row>
    <row r="136" spans="8:9" x14ac:dyDescent="0.2">
      <c r="H136" s="1"/>
      <c r="I136" s="1"/>
    </row>
    <row r="137" spans="8:9" x14ac:dyDescent="0.2">
      <c r="H137" s="1"/>
      <c r="I137" s="1"/>
    </row>
    <row r="138" spans="8:9" x14ac:dyDescent="0.2">
      <c r="H138" s="1"/>
      <c r="I138" s="1"/>
    </row>
    <row r="139" spans="8:9" x14ac:dyDescent="0.2">
      <c r="H139" s="1"/>
      <c r="I139" s="1"/>
    </row>
    <row r="140" spans="8:9" x14ac:dyDescent="0.2">
      <c r="H140" s="1"/>
      <c r="I140" s="1"/>
    </row>
    <row r="141" spans="8:9" x14ac:dyDescent="0.2">
      <c r="H141" s="1"/>
      <c r="I141" s="1"/>
    </row>
    <row r="142" spans="8:9" x14ac:dyDescent="0.2">
      <c r="H142" s="1"/>
      <c r="I142" s="1"/>
    </row>
    <row r="143" spans="8:9" x14ac:dyDescent="0.2">
      <c r="H143" s="1"/>
      <c r="I143" s="1"/>
    </row>
    <row r="144" spans="8:9" x14ac:dyDescent="0.2">
      <c r="H144" s="1"/>
      <c r="I144" s="1"/>
    </row>
    <row r="145" spans="8:9" x14ac:dyDescent="0.2">
      <c r="H145" s="1"/>
      <c r="I145" s="1"/>
    </row>
    <row r="146" spans="8:9" x14ac:dyDescent="0.2">
      <c r="H146" s="1"/>
      <c r="I146" s="1"/>
    </row>
    <row r="147" spans="8:9" x14ac:dyDescent="0.2">
      <c r="H147" s="1"/>
      <c r="I147" s="1"/>
    </row>
    <row r="148" spans="8:9" x14ac:dyDescent="0.2">
      <c r="H148" s="1"/>
      <c r="I148" s="1"/>
    </row>
    <row r="149" spans="8:9" x14ac:dyDescent="0.2">
      <c r="H149" s="1"/>
      <c r="I149" s="1"/>
    </row>
    <row r="150" spans="8:9" x14ac:dyDescent="0.2">
      <c r="H150" s="1"/>
      <c r="I150" s="1"/>
    </row>
    <row r="151" spans="8:9" x14ac:dyDescent="0.2">
      <c r="H151" s="1"/>
      <c r="I151" s="1"/>
    </row>
    <row r="152" spans="8:9" x14ac:dyDescent="0.2">
      <c r="H152" s="1"/>
      <c r="I152" s="1"/>
    </row>
    <row r="153" spans="8:9" x14ac:dyDescent="0.2">
      <c r="H153" s="1"/>
      <c r="I153" s="1"/>
    </row>
    <row r="154" spans="8:9" x14ac:dyDescent="0.2">
      <c r="H154" s="1"/>
      <c r="I154" s="1"/>
    </row>
    <row r="155" spans="8:9" x14ac:dyDescent="0.2">
      <c r="H155" s="1"/>
      <c r="I155" s="1"/>
    </row>
    <row r="156" spans="8:9" x14ac:dyDescent="0.2">
      <c r="H156" s="1"/>
      <c r="I156" s="1"/>
    </row>
    <row r="157" spans="8:9" x14ac:dyDescent="0.2">
      <c r="H157" s="1"/>
      <c r="I157" s="1"/>
    </row>
    <row r="158" spans="8:9" x14ac:dyDescent="0.2">
      <c r="H158" s="1"/>
      <c r="I158" s="1"/>
    </row>
    <row r="159" spans="8:9" x14ac:dyDescent="0.2">
      <c r="H159" s="1"/>
      <c r="I159" s="1"/>
    </row>
    <row r="160" spans="8:9" x14ac:dyDescent="0.2">
      <c r="H160" s="1"/>
      <c r="I160" s="1"/>
    </row>
    <row r="161" spans="1:9" x14ac:dyDescent="0.2">
      <c r="H161" s="1"/>
      <c r="I161" s="1"/>
    </row>
    <row r="162" spans="1:9" x14ac:dyDescent="0.2">
      <c r="H162" s="1"/>
      <c r="I162" s="1"/>
    </row>
    <row r="163" spans="1:9" x14ac:dyDescent="0.2">
      <c r="H163" s="1"/>
      <c r="I163" s="1"/>
    </row>
    <row r="164" spans="1:9" x14ac:dyDescent="0.2">
      <c r="H164" s="1"/>
      <c r="I164" s="1"/>
    </row>
    <row r="165" spans="1:9" x14ac:dyDescent="0.2">
      <c r="H165" s="1"/>
      <c r="I165" s="1"/>
    </row>
    <row r="166" spans="1:9" x14ac:dyDescent="0.2">
      <c r="H166" s="1"/>
      <c r="I166" s="1"/>
    </row>
    <row r="167" spans="1:9" x14ac:dyDescent="0.2">
      <c r="H167" s="1"/>
      <c r="I167" s="1"/>
    </row>
    <row r="168" spans="1:9" x14ac:dyDescent="0.2">
      <c r="H168" s="1"/>
      <c r="I168" s="1"/>
    </row>
    <row r="169" spans="1:9" x14ac:dyDescent="0.2">
      <c r="H169" s="1"/>
      <c r="I169" s="1"/>
    </row>
    <row r="170" spans="1:9" x14ac:dyDescent="0.2">
      <c r="H170" s="1"/>
      <c r="I170" s="1"/>
    </row>
    <row r="171" spans="1:9" x14ac:dyDescent="0.2">
      <c r="H171" s="1"/>
      <c r="I171" s="1"/>
    </row>
    <row r="172" spans="1:9" x14ac:dyDescent="0.2">
      <c r="A172" s="5"/>
      <c r="H172" s="1"/>
      <c r="I172" s="1"/>
    </row>
    <row r="173" spans="1:9" x14ac:dyDescent="0.2">
      <c r="H173" s="1"/>
      <c r="I173" s="1"/>
    </row>
    <row r="174" spans="1:9" x14ac:dyDescent="0.2">
      <c r="H174" s="1"/>
      <c r="I174" s="1"/>
    </row>
    <row r="175" spans="1:9" x14ac:dyDescent="0.2">
      <c r="H175" s="1"/>
      <c r="I175" s="1"/>
    </row>
    <row r="176" spans="1:9" x14ac:dyDescent="0.2">
      <c r="H176" s="1"/>
      <c r="I176" s="1"/>
    </row>
    <row r="177" spans="1:9" x14ac:dyDescent="0.2">
      <c r="H177" s="1"/>
      <c r="I177" s="1"/>
    </row>
    <row r="178" spans="1:9" x14ac:dyDescent="0.2">
      <c r="H178" s="1"/>
      <c r="I178" s="1"/>
    </row>
    <row r="179" spans="1:9" x14ac:dyDescent="0.2">
      <c r="H179" s="1"/>
      <c r="I179" s="1"/>
    </row>
    <row r="180" spans="1:9" x14ac:dyDescent="0.2">
      <c r="H180" s="1"/>
      <c r="I180" s="1"/>
    </row>
    <row r="181" spans="1:9" x14ac:dyDescent="0.2">
      <c r="A181" s="5"/>
      <c r="H181" s="1"/>
      <c r="I181" s="1"/>
    </row>
    <row r="182" spans="1:9" x14ac:dyDescent="0.2">
      <c r="H182" s="1"/>
      <c r="I182" s="1"/>
    </row>
    <row r="183" spans="1:9" x14ac:dyDescent="0.2">
      <c r="H183" s="1"/>
      <c r="I183" s="1"/>
    </row>
  </sheetData>
  <protectedRanges>
    <protectedRange algorithmName="SHA-512" hashValue="rFPwjVZS9NAkB/l+lAiVuA9GQLOnF1wAtrl43lPmC55dL64RBDbDmK8q88EcRlXta8Hp/DCEEzQ+bY0c4NuYyw==" saltValue="WdwILfDemoh8ifYXcRaqKA==" spinCount="100000" sqref="A2:I1009" name="Editable Range"/>
  </protectedRange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ittrex">
                <anchor moveWithCells="1" sizeWithCells="1">
                  <from>
                    <xdr:col>9</xdr:col>
                    <xdr:colOff>215900</xdr:colOff>
                    <xdr:row>1</xdr:row>
                    <xdr:rowOff>12700</xdr:rowOff>
                  </from>
                  <to>
                    <xdr:col>12</xdr:col>
                    <xdr:colOff>101600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/>
  </sheetPr>
  <dimension ref="A1:J1024"/>
  <sheetViews>
    <sheetView workbookViewId="0">
      <selection activeCell="H3" sqref="H3"/>
    </sheetView>
  </sheetViews>
  <sheetFormatPr baseColWidth="10" defaultColWidth="8.83203125" defaultRowHeight="15" x14ac:dyDescent="0.2"/>
  <cols>
    <col min="1" max="1" width="18" style="4" bestFit="1" customWidth="1"/>
    <col min="2" max="2" width="16.1640625" customWidth="1"/>
    <col min="3" max="3" width="13.1640625" customWidth="1"/>
    <col min="4" max="4" width="12.6640625" customWidth="1"/>
    <col min="5" max="5" width="14" customWidth="1"/>
    <col min="6" max="6" width="17.33203125" customWidth="1"/>
    <col min="7" max="7" width="16.33203125" customWidth="1"/>
    <col min="8" max="8" width="19.33203125" customWidth="1"/>
    <col min="9" max="9" width="35.33203125" bestFit="1" customWidth="1"/>
    <col min="10" max="10" width="25.33203125" customWidth="1"/>
  </cols>
  <sheetData>
    <row r="1" spans="1:10" x14ac:dyDescent="0.2">
      <c r="A1" s="4" t="s">
        <v>9</v>
      </c>
      <c r="B1" t="s">
        <v>0</v>
      </c>
      <c r="C1" s="3" t="s">
        <v>7</v>
      </c>
      <c r="D1" t="s">
        <v>5</v>
      </c>
      <c r="E1" t="s">
        <v>10</v>
      </c>
      <c r="F1" t="s">
        <v>8</v>
      </c>
      <c r="G1" t="s">
        <v>6</v>
      </c>
      <c r="H1" t="s">
        <v>13</v>
      </c>
      <c r="I1" t="s">
        <v>11</v>
      </c>
      <c r="J1" t="s">
        <v>12</v>
      </c>
    </row>
    <row r="2" spans="1:10" x14ac:dyDescent="0.2">
      <c r="E2" t="str">
        <f t="shared" ref="E2:E13" si="0">IF(D2="","","Bittrex")</f>
        <v/>
      </c>
      <c r="H2" t="str">
        <f t="shared" ref="H2:H16" si="1">IF(G2="","","Bittrex")</f>
        <v/>
      </c>
    </row>
    <row r="3" spans="1:10" x14ac:dyDescent="0.2">
      <c r="E3" t="str">
        <f t="shared" si="0"/>
        <v/>
      </c>
      <c r="H3" t="str">
        <f t="shared" si="1"/>
        <v/>
      </c>
    </row>
    <row r="4" spans="1:10" x14ac:dyDescent="0.2">
      <c r="E4" t="str">
        <f t="shared" si="0"/>
        <v/>
      </c>
      <c r="H4" t="str">
        <f t="shared" si="1"/>
        <v/>
      </c>
    </row>
    <row r="5" spans="1:10" x14ac:dyDescent="0.2">
      <c r="E5" t="str">
        <f t="shared" si="0"/>
        <v/>
      </c>
      <c r="H5" t="str">
        <f t="shared" si="1"/>
        <v/>
      </c>
    </row>
    <row r="6" spans="1:10" x14ac:dyDescent="0.2">
      <c r="E6" t="str">
        <f t="shared" si="0"/>
        <v/>
      </c>
      <c r="H6" t="str">
        <f t="shared" si="1"/>
        <v/>
      </c>
    </row>
    <row r="7" spans="1:10" x14ac:dyDescent="0.2">
      <c r="E7" t="str">
        <f t="shared" si="0"/>
        <v/>
      </c>
      <c r="H7" t="str">
        <f t="shared" si="1"/>
        <v/>
      </c>
    </row>
    <row r="8" spans="1:10" x14ac:dyDescent="0.2">
      <c r="E8" t="str">
        <f t="shared" si="0"/>
        <v/>
      </c>
      <c r="H8" t="str">
        <f t="shared" si="1"/>
        <v/>
      </c>
    </row>
    <row r="9" spans="1:10" x14ac:dyDescent="0.2">
      <c r="E9" t="str">
        <f t="shared" si="0"/>
        <v/>
      </c>
      <c r="H9" t="str">
        <f t="shared" si="1"/>
        <v/>
      </c>
    </row>
    <row r="10" spans="1:10" x14ac:dyDescent="0.2">
      <c r="E10" t="str">
        <f t="shared" si="0"/>
        <v/>
      </c>
      <c r="H10" t="str">
        <f t="shared" si="1"/>
        <v/>
      </c>
    </row>
    <row r="11" spans="1:10" x14ac:dyDescent="0.2">
      <c r="E11" t="str">
        <f t="shared" si="0"/>
        <v/>
      </c>
      <c r="H11" t="str">
        <f t="shared" si="1"/>
        <v/>
      </c>
    </row>
    <row r="12" spans="1:10" x14ac:dyDescent="0.2">
      <c r="E12" t="str">
        <f t="shared" si="0"/>
        <v/>
      </c>
      <c r="H12" t="str">
        <f t="shared" si="1"/>
        <v/>
      </c>
    </row>
    <row r="13" spans="1:10" x14ac:dyDescent="0.2">
      <c r="E13" t="str">
        <f t="shared" si="0"/>
        <v/>
      </c>
      <c r="H13" t="str">
        <f t="shared" si="1"/>
        <v/>
      </c>
    </row>
    <row r="14" spans="1:10" x14ac:dyDescent="0.2">
      <c r="E14" t="str">
        <f t="shared" ref="E14:E21" si="2">IF(D14="","","Bittrex")</f>
        <v/>
      </c>
      <c r="H14" t="str">
        <f t="shared" si="1"/>
        <v/>
      </c>
    </row>
    <row r="15" spans="1:10" x14ac:dyDescent="0.2">
      <c r="E15" t="str">
        <f t="shared" si="2"/>
        <v/>
      </c>
      <c r="H15" t="str">
        <f t="shared" si="1"/>
        <v/>
      </c>
    </row>
    <row r="16" spans="1:10" x14ac:dyDescent="0.2">
      <c r="E16" t="str">
        <f t="shared" si="2"/>
        <v/>
      </c>
      <c r="H16" t="str">
        <f t="shared" si="1"/>
        <v/>
      </c>
    </row>
    <row r="17" spans="5:8" x14ac:dyDescent="0.2">
      <c r="E17" t="str">
        <f t="shared" si="2"/>
        <v/>
      </c>
      <c r="H17" t="str">
        <f t="shared" ref="H17:H18" si="3">IF(G17="","","Bittrex")</f>
        <v/>
      </c>
    </row>
    <row r="18" spans="5:8" x14ac:dyDescent="0.2">
      <c r="E18" t="str">
        <f t="shared" si="2"/>
        <v/>
      </c>
      <c r="H18" t="str">
        <f t="shared" si="3"/>
        <v/>
      </c>
    </row>
    <row r="19" spans="5:8" x14ac:dyDescent="0.2">
      <c r="E19" t="str">
        <f t="shared" si="2"/>
        <v/>
      </c>
      <c r="H19" t="str">
        <f t="shared" ref="H19:H71" si="4">IF(G19="","","Bittrex")</f>
        <v/>
      </c>
    </row>
    <row r="20" spans="5:8" x14ac:dyDescent="0.2">
      <c r="E20" t="str">
        <f t="shared" si="2"/>
        <v/>
      </c>
      <c r="H20" t="str">
        <f t="shared" si="4"/>
        <v/>
      </c>
    </row>
    <row r="21" spans="5:8" x14ac:dyDescent="0.2">
      <c r="E21" t="str">
        <f t="shared" si="2"/>
        <v/>
      </c>
      <c r="H21" t="str">
        <f t="shared" si="4"/>
        <v/>
      </c>
    </row>
    <row r="22" spans="5:8" x14ac:dyDescent="0.2">
      <c r="E22" t="str">
        <f t="shared" ref="E22:E71" si="5">IF(D22="","","Bittrex")</f>
        <v/>
      </c>
      <c r="H22" t="str">
        <f t="shared" si="4"/>
        <v/>
      </c>
    </row>
    <row r="23" spans="5:8" x14ac:dyDescent="0.2">
      <c r="E23" t="str">
        <f t="shared" si="5"/>
        <v/>
      </c>
      <c r="H23" t="str">
        <f t="shared" si="4"/>
        <v/>
      </c>
    </row>
    <row r="24" spans="5:8" x14ac:dyDescent="0.2">
      <c r="E24" t="str">
        <f t="shared" si="5"/>
        <v/>
      </c>
      <c r="H24" t="str">
        <f t="shared" si="4"/>
        <v/>
      </c>
    </row>
    <row r="25" spans="5:8" x14ac:dyDescent="0.2">
      <c r="E25" t="str">
        <f t="shared" si="5"/>
        <v/>
      </c>
      <c r="H25" t="str">
        <f t="shared" si="4"/>
        <v/>
      </c>
    </row>
    <row r="26" spans="5:8" x14ac:dyDescent="0.2">
      <c r="E26" t="str">
        <f t="shared" si="5"/>
        <v/>
      </c>
      <c r="H26" t="str">
        <f t="shared" si="4"/>
        <v/>
      </c>
    </row>
    <row r="27" spans="5:8" x14ac:dyDescent="0.2">
      <c r="E27" t="str">
        <f t="shared" si="5"/>
        <v/>
      </c>
      <c r="H27" t="str">
        <f t="shared" si="4"/>
        <v/>
      </c>
    </row>
    <row r="28" spans="5:8" x14ac:dyDescent="0.2">
      <c r="E28" t="str">
        <f t="shared" si="5"/>
        <v/>
      </c>
      <c r="H28" t="str">
        <f t="shared" si="4"/>
        <v/>
      </c>
    </row>
    <row r="29" spans="5:8" x14ac:dyDescent="0.2">
      <c r="E29" t="str">
        <f t="shared" si="5"/>
        <v/>
      </c>
      <c r="H29" t="str">
        <f t="shared" si="4"/>
        <v/>
      </c>
    </row>
    <row r="30" spans="5:8" x14ac:dyDescent="0.2">
      <c r="E30" t="str">
        <f t="shared" si="5"/>
        <v/>
      </c>
      <c r="H30" t="str">
        <f t="shared" si="4"/>
        <v/>
      </c>
    </row>
    <row r="31" spans="5:8" x14ac:dyDescent="0.2">
      <c r="E31" t="str">
        <f t="shared" si="5"/>
        <v/>
      </c>
      <c r="H31" t="str">
        <f t="shared" si="4"/>
        <v/>
      </c>
    </row>
    <row r="32" spans="5:8" x14ac:dyDescent="0.2">
      <c r="E32" t="str">
        <f t="shared" si="5"/>
        <v/>
      </c>
      <c r="H32" t="str">
        <f t="shared" si="4"/>
        <v/>
      </c>
    </row>
    <row r="33" spans="5:8" x14ac:dyDescent="0.2">
      <c r="E33" t="str">
        <f t="shared" si="5"/>
        <v/>
      </c>
      <c r="H33" t="str">
        <f t="shared" si="4"/>
        <v/>
      </c>
    </row>
    <row r="34" spans="5:8" x14ac:dyDescent="0.2">
      <c r="E34" t="str">
        <f t="shared" si="5"/>
        <v/>
      </c>
      <c r="H34" t="str">
        <f t="shared" si="4"/>
        <v/>
      </c>
    </row>
    <row r="35" spans="5:8" x14ac:dyDescent="0.2">
      <c r="E35" t="str">
        <f t="shared" si="5"/>
        <v/>
      </c>
      <c r="H35" t="str">
        <f t="shared" si="4"/>
        <v/>
      </c>
    </row>
    <row r="36" spans="5:8" x14ac:dyDescent="0.2">
      <c r="E36" t="str">
        <f t="shared" si="5"/>
        <v/>
      </c>
      <c r="H36" t="str">
        <f t="shared" si="4"/>
        <v/>
      </c>
    </row>
    <row r="37" spans="5:8" x14ac:dyDescent="0.2">
      <c r="E37" t="str">
        <f t="shared" si="5"/>
        <v/>
      </c>
      <c r="H37" t="str">
        <f t="shared" si="4"/>
        <v/>
      </c>
    </row>
    <row r="38" spans="5:8" x14ac:dyDescent="0.2">
      <c r="E38" t="str">
        <f t="shared" si="5"/>
        <v/>
      </c>
      <c r="H38" t="str">
        <f t="shared" si="4"/>
        <v/>
      </c>
    </row>
    <row r="39" spans="5:8" x14ac:dyDescent="0.2">
      <c r="E39" t="str">
        <f t="shared" si="5"/>
        <v/>
      </c>
      <c r="H39" t="str">
        <f t="shared" si="4"/>
        <v/>
      </c>
    </row>
    <row r="40" spans="5:8" x14ac:dyDescent="0.2">
      <c r="E40" t="str">
        <f t="shared" si="5"/>
        <v/>
      </c>
      <c r="H40" t="str">
        <f t="shared" si="4"/>
        <v/>
      </c>
    </row>
    <row r="41" spans="5:8" x14ac:dyDescent="0.2">
      <c r="E41" t="str">
        <f t="shared" si="5"/>
        <v/>
      </c>
      <c r="H41" t="str">
        <f t="shared" si="4"/>
        <v/>
      </c>
    </row>
    <row r="42" spans="5:8" x14ac:dyDescent="0.2">
      <c r="E42" t="str">
        <f t="shared" si="5"/>
        <v/>
      </c>
      <c r="H42" t="str">
        <f t="shared" si="4"/>
        <v/>
      </c>
    </row>
    <row r="43" spans="5:8" x14ac:dyDescent="0.2">
      <c r="E43" t="str">
        <f t="shared" si="5"/>
        <v/>
      </c>
      <c r="H43" t="str">
        <f t="shared" si="4"/>
        <v/>
      </c>
    </row>
    <row r="44" spans="5:8" x14ac:dyDescent="0.2">
      <c r="E44" t="str">
        <f t="shared" si="5"/>
        <v/>
      </c>
      <c r="H44" t="str">
        <f t="shared" si="4"/>
        <v/>
      </c>
    </row>
    <row r="45" spans="5:8" x14ac:dyDescent="0.2">
      <c r="E45" t="str">
        <f t="shared" si="5"/>
        <v/>
      </c>
      <c r="H45" t="str">
        <f t="shared" si="4"/>
        <v/>
      </c>
    </row>
    <row r="46" spans="5:8" x14ac:dyDescent="0.2">
      <c r="E46" t="str">
        <f t="shared" si="5"/>
        <v/>
      </c>
      <c r="H46" t="str">
        <f t="shared" si="4"/>
        <v/>
      </c>
    </row>
    <row r="47" spans="5:8" x14ac:dyDescent="0.2">
      <c r="E47" t="str">
        <f t="shared" si="5"/>
        <v/>
      </c>
      <c r="H47" t="str">
        <f t="shared" si="4"/>
        <v/>
      </c>
    </row>
    <row r="48" spans="5:8" x14ac:dyDescent="0.2">
      <c r="E48" t="str">
        <f t="shared" si="5"/>
        <v/>
      </c>
      <c r="H48" t="str">
        <f t="shared" si="4"/>
        <v/>
      </c>
    </row>
    <row r="49" spans="5:8" x14ac:dyDescent="0.2">
      <c r="E49" t="str">
        <f t="shared" si="5"/>
        <v/>
      </c>
      <c r="H49" t="str">
        <f t="shared" si="4"/>
        <v/>
      </c>
    </row>
    <row r="50" spans="5:8" x14ac:dyDescent="0.2">
      <c r="E50" t="str">
        <f t="shared" si="5"/>
        <v/>
      </c>
      <c r="H50" t="str">
        <f t="shared" si="4"/>
        <v/>
      </c>
    </row>
    <row r="51" spans="5:8" x14ac:dyDescent="0.2">
      <c r="E51" t="str">
        <f t="shared" si="5"/>
        <v/>
      </c>
      <c r="H51" t="str">
        <f t="shared" si="4"/>
        <v/>
      </c>
    </row>
    <row r="52" spans="5:8" x14ac:dyDescent="0.2">
      <c r="E52" t="str">
        <f t="shared" si="5"/>
        <v/>
      </c>
      <c r="H52" t="str">
        <f t="shared" si="4"/>
        <v/>
      </c>
    </row>
    <row r="53" spans="5:8" x14ac:dyDescent="0.2">
      <c r="E53" t="str">
        <f t="shared" si="5"/>
        <v/>
      </c>
      <c r="H53" t="str">
        <f t="shared" si="4"/>
        <v/>
      </c>
    </row>
    <row r="54" spans="5:8" x14ac:dyDescent="0.2">
      <c r="E54" t="str">
        <f t="shared" si="5"/>
        <v/>
      </c>
      <c r="H54" t="str">
        <f t="shared" si="4"/>
        <v/>
      </c>
    </row>
    <row r="55" spans="5:8" x14ac:dyDescent="0.2">
      <c r="E55" t="str">
        <f t="shared" si="5"/>
        <v/>
      </c>
      <c r="H55" t="str">
        <f t="shared" si="4"/>
        <v/>
      </c>
    </row>
    <row r="56" spans="5:8" x14ac:dyDescent="0.2">
      <c r="E56" t="str">
        <f t="shared" si="5"/>
        <v/>
      </c>
      <c r="H56" t="str">
        <f t="shared" si="4"/>
        <v/>
      </c>
    </row>
    <row r="57" spans="5:8" x14ac:dyDescent="0.2">
      <c r="E57" t="str">
        <f t="shared" si="5"/>
        <v/>
      </c>
      <c r="H57" t="str">
        <f t="shared" si="4"/>
        <v/>
      </c>
    </row>
    <row r="58" spans="5:8" x14ac:dyDescent="0.2">
      <c r="E58" t="str">
        <f t="shared" si="5"/>
        <v/>
      </c>
      <c r="H58" t="str">
        <f t="shared" si="4"/>
        <v/>
      </c>
    </row>
    <row r="59" spans="5:8" x14ac:dyDescent="0.2">
      <c r="E59" t="str">
        <f t="shared" si="5"/>
        <v/>
      </c>
      <c r="H59" t="str">
        <f t="shared" si="4"/>
        <v/>
      </c>
    </row>
    <row r="60" spans="5:8" x14ac:dyDescent="0.2">
      <c r="E60" t="str">
        <f t="shared" si="5"/>
        <v/>
      </c>
      <c r="H60" t="str">
        <f t="shared" si="4"/>
        <v/>
      </c>
    </row>
    <row r="61" spans="5:8" x14ac:dyDescent="0.2">
      <c r="E61" t="str">
        <f t="shared" si="5"/>
        <v/>
      </c>
      <c r="H61" t="str">
        <f t="shared" si="4"/>
        <v/>
      </c>
    </row>
    <row r="62" spans="5:8" x14ac:dyDescent="0.2">
      <c r="E62" t="str">
        <f t="shared" si="5"/>
        <v/>
      </c>
      <c r="H62" t="str">
        <f t="shared" si="4"/>
        <v/>
      </c>
    </row>
    <row r="63" spans="5:8" x14ac:dyDescent="0.2">
      <c r="E63" t="str">
        <f t="shared" si="5"/>
        <v/>
      </c>
      <c r="H63" t="str">
        <f t="shared" si="4"/>
        <v/>
      </c>
    </row>
    <row r="64" spans="5:8" x14ac:dyDescent="0.2">
      <c r="E64" t="str">
        <f t="shared" si="5"/>
        <v/>
      </c>
      <c r="H64" t="str">
        <f t="shared" si="4"/>
        <v/>
      </c>
    </row>
    <row r="65" spans="5:8" x14ac:dyDescent="0.2">
      <c r="E65" t="str">
        <f t="shared" si="5"/>
        <v/>
      </c>
      <c r="H65" t="str">
        <f t="shared" si="4"/>
        <v/>
      </c>
    </row>
    <row r="66" spans="5:8" x14ac:dyDescent="0.2">
      <c r="E66" t="str">
        <f t="shared" si="5"/>
        <v/>
      </c>
      <c r="H66" t="str">
        <f t="shared" si="4"/>
        <v/>
      </c>
    </row>
    <row r="67" spans="5:8" x14ac:dyDescent="0.2">
      <c r="E67" t="str">
        <f t="shared" si="5"/>
        <v/>
      </c>
      <c r="H67" t="str">
        <f t="shared" si="4"/>
        <v/>
      </c>
    </row>
    <row r="68" spans="5:8" x14ac:dyDescent="0.2">
      <c r="E68" t="str">
        <f t="shared" si="5"/>
        <v/>
      </c>
      <c r="H68" t="str">
        <f t="shared" si="4"/>
        <v/>
      </c>
    </row>
    <row r="69" spans="5:8" x14ac:dyDescent="0.2">
      <c r="E69" t="str">
        <f t="shared" si="5"/>
        <v/>
      </c>
      <c r="H69" t="str">
        <f t="shared" si="4"/>
        <v/>
      </c>
    </row>
    <row r="70" spans="5:8" x14ac:dyDescent="0.2">
      <c r="E70" t="str">
        <f t="shared" si="5"/>
        <v/>
      </c>
      <c r="H70" t="str">
        <f t="shared" si="4"/>
        <v/>
      </c>
    </row>
    <row r="71" spans="5:8" x14ac:dyDescent="0.2">
      <c r="E71" t="str">
        <f t="shared" si="5"/>
        <v/>
      </c>
      <c r="H71" t="str">
        <f t="shared" si="4"/>
        <v/>
      </c>
    </row>
    <row r="72" spans="5:8" x14ac:dyDescent="0.2">
      <c r="E72" t="str">
        <f t="shared" ref="E72:E135" si="6">IF(D72="","","Bittrex")</f>
        <v/>
      </c>
      <c r="H72" t="str">
        <f t="shared" ref="H72:H135" si="7">IF(G72="","","Bittrex")</f>
        <v/>
      </c>
    </row>
    <row r="73" spans="5:8" x14ac:dyDescent="0.2">
      <c r="E73" t="str">
        <f t="shared" si="6"/>
        <v/>
      </c>
      <c r="H73" t="str">
        <f t="shared" si="7"/>
        <v/>
      </c>
    </row>
    <row r="74" spans="5:8" x14ac:dyDescent="0.2">
      <c r="E74" t="str">
        <f t="shared" si="6"/>
        <v/>
      </c>
      <c r="H74" t="str">
        <f t="shared" si="7"/>
        <v/>
      </c>
    </row>
    <row r="75" spans="5:8" x14ac:dyDescent="0.2">
      <c r="E75" t="str">
        <f t="shared" si="6"/>
        <v/>
      </c>
      <c r="H75" t="str">
        <f t="shared" si="7"/>
        <v/>
      </c>
    </row>
    <row r="76" spans="5:8" x14ac:dyDescent="0.2">
      <c r="E76" t="str">
        <f t="shared" si="6"/>
        <v/>
      </c>
      <c r="H76" t="str">
        <f t="shared" si="7"/>
        <v/>
      </c>
    </row>
    <row r="77" spans="5:8" x14ac:dyDescent="0.2">
      <c r="E77" t="str">
        <f t="shared" si="6"/>
        <v/>
      </c>
      <c r="H77" t="str">
        <f t="shared" si="7"/>
        <v/>
      </c>
    </row>
    <row r="78" spans="5:8" x14ac:dyDescent="0.2">
      <c r="E78" t="str">
        <f t="shared" si="6"/>
        <v/>
      </c>
      <c r="H78" t="str">
        <f t="shared" si="7"/>
        <v/>
      </c>
    </row>
    <row r="79" spans="5:8" x14ac:dyDescent="0.2">
      <c r="E79" t="str">
        <f t="shared" si="6"/>
        <v/>
      </c>
      <c r="H79" t="str">
        <f t="shared" si="7"/>
        <v/>
      </c>
    </row>
    <row r="80" spans="5:8" x14ac:dyDescent="0.2">
      <c r="E80" t="str">
        <f t="shared" si="6"/>
        <v/>
      </c>
      <c r="H80" t="str">
        <f t="shared" si="7"/>
        <v/>
      </c>
    </row>
    <row r="81" spans="5:8" x14ac:dyDescent="0.2">
      <c r="E81" t="str">
        <f t="shared" si="6"/>
        <v/>
      </c>
      <c r="H81" t="str">
        <f t="shared" si="7"/>
        <v/>
      </c>
    </row>
    <row r="82" spans="5:8" x14ac:dyDescent="0.2">
      <c r="E82" t="str">
        <f t="shared" si="6"/>
        <v/>
      </c>
      <c r="H82" t="str">
        <f t="shared" si="7"/>
        <v/>
      </c>
    </row>
    <row r="83" spans="5:8" x14ac:dyDescent="0.2">
      <c r="E83" t="str">
        <f t="shared" si="6"/>
        <v/>
      </c>
      <c r="H83" t="str">
        <f t="shared" si="7"/>
        <v/>
      </c>
    </row>
    <row r="84" spans="5:8" x14ac:dyDescent="0.2">
      <c r="E84" t="str">
        <f t="shared" si="6"/>
        <v/>
      </c>
      <c r="H84" t="str">
        <f t="shared" si="7"/>
        <v/>
      </c>
    </row>
    <row r="85" spans="5:8" x14ac:dyDescent="0.2">
      <c r="E85" t="str">
        <f t="shared" si="6"/>
        <v/>
      </c>
      <c r="H85" t="str">
        <f t="shared" si="7"/>
        <v/>
      </c>
    </row>
    <row r="86" spans="5:8" x14ac:dyDescent="0.2">
      <c r="E86" t="str">
        <f t="shared" si="6"/>
        <v/>
      </c>
      <c r="H86" t="str">
        <f t="shared" si="7"/>
        <v/>
      </c>
    </row>
    <row r="87" spans="5:8" x14ac:dyDescent="0.2">
      <c r="E87" t="str">
        <f t="shared" si="6"/>
        <v/>
      </c>
      <c r="H87" t="str">
        <f t="shared" si="7"/>
        <v/>
      </c>
    </row>
    <row r="88" spans="5:8" x14ac:dyDescent="0.2">
      <c r="E88" t="str">
        <f t="shared" si="6"/>
        <v/>
      </c>
      <c r="H88" t="str">
        <f t="shared" si="7"/>
        <v/>
      </c>
    </row>
    <row r="89" spans="5:8" x14ac:dyDescent="0.2">
      <c r="E89" t="str">
        <f t="shared" si="6"/>
        <v/>
      </c>
      <c r="H89" t="str">
        <f t="shared" si="7"/>
        <v/>
      </c>
    </row>
    <row r="90" spans="5:8" x14ac:dyDescent="0.2">
      <c r="E90" t="str">
        <f t="shared" si="6"/>
        <v/>
      </c>
      <c r="H90" t="str">
        <f t="shared" si="7"/>
        <v/>
      </c>
    </row>
    <row r="91" spans="5:8" x14ac:dyDescent="0.2">
      <c r="E91" t="str">
        <f t="shared" si="6"/>
        <v/>
      </c>
      <c r="H91" t="str">
        <f t="shared" si="7"/>
        <v/>
      </c>
    </row>
    <row r="92" spans="5:8" x14ac:dyDescent="0.2">
      <c r="E92" t="str">
        <f t="shared" si="6"/>
        <v/>
      </c>
      <c r="H92" t="str">
        <f t="shared" si="7"/>
        <v/>
      </c>
    </row>
    <row r="93" spans="5:8" x14ac:dyDescent="0.2">
      <c r="E93" t="str">
        <f t="shared" si="6"/>
        <v/>
      </c>
      <c r="H93" t="str">
        <f t="shared" si="7"/>
        <v/>
      </c>
    </row>
    <row r="94" spans="5:8" x14ac:dyDescent="0.2">
      <c r="E94" t="str">
        <f t="shared" si="6"/>
        <v/>
      </c>
      <c r="H94" t="str">
        <f t="shared" si="7"/>
        <v/>
      </c>
    </row>
    <row r="95" spans="5:8" x14ac:dyDescent="0.2">
      <c r="E95" t="str">
        <f t="shared" si="6"/>
        <v/>
      </c>
      <c r="H95" t="str">
        <f t="shared" si="7"/>
        <v/>
      </c>
    </row>
    <row r="96" spans="5:8" x14ac:dyDescent="0.2">
      <c r="E96" t="str">
        <f t="shared" si="6"/>
        <v/>
      </c>
      <c r="H96" t="str">
        <f t="shared" si="7"/>
        <v/>
      </c>
    </row>
    <row r="97" spans="5:8" x14ac:dyDescent="0.2">
      <c r="E97" t="str">
        <f t="shared" si="6"/>
        <v/>
      </c>
      <c r="H97" t="str">
        <f t="shared" si="7"/>
        <v/>
      </c>
    </row>
    <row r="98" spans="5:8" x14ac:dyDescent="0.2">
      <c r="E98" t="str">
        <f t="shared" si="6"/>
        <v/>
      </c>
      <c r="H98" t="str">
        <f t="shared" si="7"/>
        <v/>
      </c>
    </row>
    <row r="99" spans="5:8" x14ac:dyDescent="0.2">
      <c r="E99" t="str">
        <f t="shared" si="6"/>
        <v/>
      </c>
      <c r="H99" t="str">
        <f t="shared" si="7"/>
        <v/>
      </c>
    </row>
    <row r="100" spans="5:8" x14ac:dyDescent="0.2">
      <c r="E100" t="str">
        <f t="shared" si="6"/>
        <v/>
      </c>
      <c r="H100" t="str">
        <f t="shared" si="7"/>
        <v/>
      </c>
    </row>
    <row r="101" spans="5:8" x14ac:dyDescent="0.2">
      <c r="E101" t="str">
        <f t="shared" si="6"/>
        <v/>
      </c>
      <c r="H101" t="str">
        <f t="shared" si="7"/>
        <v/>
      </c>
    </row>
    <row r="102" spans="5:8" x14ac:dyDescent="0.2">
      <c r="E102" t="str">
        <f t="shared" si="6"/>
        <v/>
      </c>
      <c r="H102" t="str">
        <f t="shared" si="7"/>
        <v/>
      </c>
    </row>
    <row r="103" spans="5:8" x14ac:dyDescent="0.2">
      <c r="E103" t="str">
        <f t="shared" si="6"/>
        <v/>
      </c>
      <c r="H103" t="str">
        <f t="shared" si="7"/>
        <v/>
      </c>
    </row>
    <row r="104" spans="5:8" x14ac:dyDescent="0.2">
      <c r="E104" t="str">
        <f t="shared" si="6"/>
        <v/>
      </c>
      <c r="H104" t="str">
        <f t="shared" si="7"/>
        <v/>
      </c>
    </row>
    <row r="105" spans="5:8" x14ac:dyDescent="0.2">
      <c r="E105" t="str">
        <f t="shared" si="6"/>
        <v/>
      </c>
      <c r="H105" t="str">
        <f t="shared" si="7"/>
        <v/>
      </c>
    </row>
    <row r="106" spans="5:8" x14ac:dyDescent="0.2">
      <c r="E106" t="str">
        <f t="shared" si="6"/>
        <v/>
      </c>
      <c r="H106" t="str">
        <f t="shared" si="7"/>
        <v/>
      </c>
    </row>
    <row r="107" spans="5:8" x14ac:dyDescent="0.2">
      <c r="E107" t="str">
        <f t="shared" si="6"/>
        <v/>
      </c>
      <c r="H107" t="str">
        <f t="shared" si="7"/>
        <v/>
      </c>
    </row>
    <row r="108" spans="5:8" x14ac:dyDescent="0.2">
      <c r="E108" t="str">
        <f t="shared" si="6"/>
        <v/>
      </c>
      <c r="H108" t="str">
        <f t="shared" si="7"/>
        <v/>
      </c>
    </row>
    <row r="109" spans="5:8" x14ac:dyDescent="0.2">
      <c r="E109" t="str">
        <f t="shared" si="6"/>
        <v/>
      </c>
      <c r="H109" t="str">
        <f t="shared" si="7"/>
        <v/>
      </c>
    </row>
    <row r="110" spans="5:8" x14ac:dyDescent="0.2">
      <c r="E110" t="str">
        <f t="shared" si="6"/>
        <v/>
      </c>
      <c r="H110" t="str">
        <f t="shared" si="7"/>
        <v/>
      </c>
    </row>
    <row r="111" spans="5:8" x14ac:dyDescent="0.2">
      <c r="E111" t="str">
        <f t="shared" si="6"/>
        <v/>
      </c>
      <c r="H111" t="str">
        <f t="shared" si="7"/>
        <v/>
      </c>
    </row>
    <row r="112" spans="5:8" x14ac:dyDescent="0.2">
      <c r="E112" t="str">
        <f t="shared" si="6"/>
        <v/>
      </c>
      <c r="H112" t="str">
        <f t="shared" si="7"/>
        <v/>
      </c>
    </row>
    <row r="113" spans="5:8" x14ac:dyDescent="0.2">
      <c r="E113" t="str">
        <f t="shared" si="6"/>
        <v/>
      </c>
      <c r="H113" t="str">
        <f t="shared" si="7"/>
        <v/>
      </c>
    </row>
    <row r="114" spans="5:8" x14ac:dyDescent="0.2">
      <c r="E114" t="str">
        <f t="shared" si="6"/>
        <v/>
      </c>
      <c r="H114" t="str">
        <f t="shared" si="7"/>
        <v/>
      </c>
    </row>
    <row r="115" spans="5:8" x14ac:dyDescent="0.2">
      <c r="E115" t="str">
        <f t="shared" si="6"/>
        <v/>
      </c>
      <c r="H115" t="str">
        <f t="shared" si="7"/>
        <v/>
      </c>
    </row>
    <row r="116" spans="5:8" x14ac:dyDescent="0.2">
      <c r="E116" t="str">
        <f t="shared" si="6"/>
        <v/>
      </c>
      <c r="H116" t="str">
        <f t="shared" si="7"/>
        <v/>
      </c>
    </row>
    <row r="117" spans="5:8" x14ac:dyDescent="0.2">
      <c r="E117" t="str">
        <f t="shared" si="6"/>
        <v/>
      </c>
      <c r="H117" t="str">
        <f t="shared" si="7"/>
        <v/>
      </c>
    </row>
    <row r="118" spans="5:8" x14ac:dyDescent="0.2">
      <c r="E118" t="str">
        <f t="shared" si="6"/>
        <v/>
      </c>
      <c r="H118" t="str">
        <f t="shared" si="7"/>
        <v/>
      </c>
    </row>
    <row r="119" spans="5:8" x14ac:dyDescent="0.2">
      <c r="E119" t="str">
        <f t="shared" si="6"/>
        <v/>
      </c>
      <c r="H119" t="str">
        <f t="shared" si="7"/>
        <v/>
      </c>
    </row>
    <row r="120" spans="5:8" x14ac:dyDescent="0.2">
      <c r="E120" t="str">
        <f t="shared" si="6"/>
        <v/>
      </c>
      <c r="H120" t="str">
        <f t="shared" si="7"/>
        <v/>
      </c>
    </row>
    <row r="121" spans="5:8" x14ac:dyDescent="0.2">
      <c r="E121" t="str">
        <f t="shared" si="6"/>
        <v/>
      </c>
      <c r="H121" t="str">
        <f t="shared" si="7"/>
        <v/>
      </c>
    </row>
    <row r="122" spans="5:8" x14ac:dyDescent="0.2">
      <c r="E122" t="str">
        <f t="shared" si="6"/>
        <v/>
      </c>
      <c r="H122" t="str">
        <f t="shared" si="7"/>
        <v/>
      </c>
    </row>
    <row r="123" spans="5:8" x14ac:dyDescent="0.2">
      <c r="E123" t="str">
        <f t="shared" si="6"/>
        <v/>
      </c>
      <c r="H123" t="str">
        <f t="shared" si="7"/>
        <v/>
      </c>
    </row>
    <row r="124" spans="5:8" x14ac:dyDescent="0.2">
      <c r="E124" t="str">
        <f t="shared" si="6"/>
        <v/>
      </c>
      <c r="H124" t="str">
        <f t="shared" si="7"/>
        <v/>
      </c>
    </row>
    <row r="125" spans="5:8" x14ac:dyDescent="0.2">
      <c r="E125" t="str">
        <f t="shared" si="6"/>
        <v/>
      </c>
      <c r="H125" t="str">
        <f t="shared" si="7"/>
        <v/>
      </c>
    </row>
    <row r="126" spans="5:8" x14ac:dyDescent="0.2">
      <c r="E126" t="str">
        <f t="shared" si="6"/>
        <v/>
      </c>
      <c r="H126" t="str">
        <f t="shared" si="7"/>
        <v/>
      </c>
    </row>
    <row r="127" spans="5:8" x14ac:dyDescent="0.2">
      <c r="E127" t="str">
        <f t="shared" si="6"/>
        <v/>
      </c>
      <c r="H127" t="str">
        <f t="shared" si="7"/>
        <v/>
      </c>
    </row>
    <row r="128" spans="5:8" x14ac:dyDescent="0.2">
      <c r="E128" t="str">
        <f t="shared" si="6"/>
        <v/>
      </c>
      <c r="H128" t="str">
        <f t="shared" si="7"/>
        <v/>
      </c>
    </row>
    <row r="129" spans="5:8" x14ac:dyDescent="0.2">
      <c r="E129" t="str">
        <f t="shared" si="6"/>
        <v/>
      </c>
      <c r="H129" t="str">
        <f t="shared" si="7"/>
        <v/>
      </c>
    </row>
    <row r="130" spans="5:8" x14ac:dyDescent="0.2">
      <c r="E130" t="str">
        <f t="shared" si="6"/>
        <v/>
      </c>
      <c r="H130" t="str">
        <f t="shared" si="7"/>
        <v/>
      </c>
    </row>
    <row r="131" spans="5:8" x14ac:dyDescent="0.2">
      <c r="E131" t="str">
        <f t="shared" si="6"/>
        <v/>
      </c>
      <c r="H131" t="str">
        <f t="shared" si="7"/>
        <v/>
      </c>
    </row>
    <row r="132" spans="5:8" x14ac:dyDescent="0.2">
      <c r="E132" t="str">
        <f t="shared" si="6"/>
        <v/>
      </c>
      <c r="H132" t="str">
        <f t="shared" si="7"/>
        <v/>
      </c>
    </row>
    <row r="133" spans="5:8" x14ac:dyDescent="0.2">
      <c r="E133" t="str">
        <f t="shared" si="6"/>
        <v/>
      </c>
      <c r="H133" t="str">
        <f t="shared" si="7"/>
        <v/>
      </c>
    </row>
    <row r="134" spans="5:8" x14ac:dyDescent="0.2">
      <c r="E134" t="str">
        <f t="shared" si="6"/>
        <v/>
      </c>
      <c r="H134" t="str">
        <f t="shared" si="7"/>
        <v/>
      </c>
    </row>
    <row r="135" spans="5:8" x14ac:dyDescent="0.2">
      <c r="E135" t="str">
        <f t="shared" si="6"/>
        <v/>
      </c>
      <c r="H135" t="str">
        <f t="shared" si="7"/>
        <v/>
      </c>
    </row>
    <row r="136" spans="5:8" x14ac:dyDescent="0.2">
      <c r="E136" t="str">
        <f t="shared" ref="E136:E199" si="8">IF(D136="","","Bittrex")</f>
        <v/>
      </c>
      <c r="H136" t="str">
        <f t="shared" ref="H136:H199" si="9">IF(G136="","","Bittrex")</f>
        <v/>
      </c>
    </row>
    <row r="137" spans="5:8" x14ac:dyDescent="0.2">
      <c r="E137" t="str">
        <f t="shared" si="8"/>
        <v/>
      </c>
      <c r="H137" t="str">
        <f t="shared" si="9"/>
        <v/>
      </c>
    </row>
    <row r="138" spans="5:8" x14ac:dyDescent="0.2">
      <c r="E138" t="str">
        <f t="shared" si="8"/>
        <v/>
      </c>
      <c r="H138" t="str">
        <f t="shared" si="9"/>
        <v/>
      </c>
    </row>
    <row r="139" spans="5:8" x14ac:dyDescent="0.2">
      <c r="E139" t="str">
        <f t="shared" si="8"/>
        <v/>
      </c>
      <c r="H139" t="str">
        <f t="shared" si="9"/>
        <v/>
      </c>
    </row>
    <row r="140" spans="5:8" x14ac:dyDescent="0.2">
      <c r="E140" t="str">
        <f t="shared" si="8"/>
        <v/>
      </c>
      <c r="H140" t="str">
        <f t="shared" si="9"/>
        <v/>
      </c>
    </row>
    <row r="141" spans="5:8" x14ac:dyDescent="0.2">
      <c r="E141" t="str">
        <f t="shared" si="8"/>
        <v/>
      </c>
      <c r="H141" t="str">
        <f t="shared" si="9"/>
        <v/>
      </c>
    </row>
    <row r="142" spans="5:8" x14ac:dyDescent="0.2">
      <c r="E142" t="str">
        <f t="shared" si="8"/>
        <v/>
      </c>
      <c r="H142" t="str">
        <f t="shared" si="9"/>
        <v/>
      </c>
    </row>
    <row r="143" spans="5:8" x14ac:dyDescent="0.2">
      <c r="E143" t="str">
        <f t="shared" si="8"/>
        <v/>
      </c>
      <c r="H143" t="str">
        <f t="shared" si="9"/>
        <v/>
      </c>
    </row>
    <row r="144" spans="5:8" x14ac:dyDescent="0.2">
      <c r="E144" t="str">
        <f t="shared" si="8"/>
        <v/>
      </c>
      <c r="H144" t="str">
        <f t="shared" si="9"/>
        <v/>
      </c>
    </row>
    <row r="145" spans="5:8" x14ac:dyDescent="0.2">
      <c r="E145" t="str">
        <f t="shared" si="8"/>
        <v/>
      </c>
      <c r="H145" t="str">
        <f t="shared" si="9"/>
        <v/>
      </c>
    </row>
    <row r="146" spans="5:8" x14ac:dyDescent="0.2">
      <c r="E146" t="str">
        <f t="shared" si="8"/>
        <v/>
      </c>
      <c r="H146" t="str">
        <f t="shared" si="9"/>
        <v/>
      </c>
    </row>
    <row r="147" spans="5:8" x14ac:dyDescent="0.2">
      <c r="E147" t="str">
        <f t="shared" si="8"/>
        <v/>
      </c>
      <c r="H147" t="str">
        <f t="shared" si="9"/>
        <v/>
      </c>
    </row>
    <row r="148" spans="5:8" x14ac:dyDescent="0.2">
      <c r="E148" t="str">
        <f t="shared" si="8"/>
        <v/>
      </c>
      <c r="H148" t="str">
        <f t="shared" si="9"/>
        <v/>
      </c>
    </row>
    <row r="149" spans="5:8" x14ac:dyDescent="0.2">
      <c r="E149" t="str">
        <f t="shared" si="8"/>
        <v/>
      </c>
      <c r="H149" t="str">
        <f t="shared" si="9"/>
        <v/>
      </c>
    </row>
    <row r="150" spans="5:8" x14ac:dyDescent="0.2">
      <c r="E150" t="str">
        <f t="shared" si="8"/>
        <v/>
      </c>
      <c r="H150" t="str">
        <f t="shared" si="9"/>
        <v/>
      </c>
    </row>
    <row r="151" spans="5:8" x14ac:dyDescent="0.2">
      <c r="E151" t="str">
        <f t="shared" si="8"/>
        <v/>
      </c>
      <c r="H151" t="str">
        <f t="shared" si="9"/>
        <v/>
      </c>
    </row>
    <row r="152" spans="5:8" x14ac:dyDescent="0.2">
      <c r="E152" t="str">
        <f t="shared" si="8"/>
        <v/>
      </c>
      <c r="H152" t="str">
        <f t="shared" si="9"/>
        <v/>
      </c>
    </row>
    <row r="153" spans="5:8" x14ac:dyDescent="0.2">
      <c r="E153" t="str">
        <f t="shared" si="8"/>
        <v/>
      </c>
      <c r="H153" t="str">
        <f t="shared" si="9"/>
        <v/>
      </c>
    </row>
    <row r="154" spans="5:8" x14ac:dyDescent="0.2">
      <c r="E154" t="str">
        <f t="shared" si="8"/>
        <v/>
      </c>
      <c r="H154" t="str">
        <f t="shared" si="9"/>
        <v/>
      </c>
    </row>
    <row r="155" spans="5:8" x14ac:dyDescent="0.2">
      <c r="E155" t="str">
        <f t="shared" si="8"/>
        <v/>
      </c>
      <c r="H155" t="str">
        <f t="shared" si="9"/>
        <v/>
      </c>
    </row>
    <row r="156" spans="5:8" x14ac:dyDescent="0.2">
      <c r="E156" t="str">
        <f t="shared" si="8"/>
        <v/>
      </c>
      <c r="H156" t="str">
        <f t="shared" si="9"/>
        <v/>
      </c>
    </row>
    <row r="157" spans="5:8" x14ac:dyDescent="0.2">
      <c r="E157" t="str">
        <f t="shared" si="8"/>
        <v/>
      </c>
      <c r="H157" t="str">
        <f t="shared" si="9"/>
        <v/>
      </c>
    </row>
    <row r="158" spans="5:8" x14ac:dyDescent="0.2">
      <c r="E158" t="str">
        <f t="shared" si="8"/>
        <v/>
      </c>
      <c r="H158" t="str">
        <f t="shared" si="9"/>
        <v/>
      </c>
    </row>
    <row r="159" spans="5:8" x14ac:dyDescent="0.2">
      <c r="E159" t="str">
        <f t="shared" si="8"/>
        <v/>
      </c>
      <c r="H159" t="str">
        <f t="shared" si="9"/>
        <v/>
      </c>
    </row>
    <row r="160" spans="5:8" x14ac:dyDescent="0.2">
      <c r="E160" t="str">
        <f t="shared" si="8"/>
        <v/>
      </c>
      <c r="H160" t="str">
        <f t="shared" si="9"/>
        <v/>
      </c>
    </row>
    <row r="161" spans="5:8" x14ac:dyDescent="0.2">
      <c r="E161" t="str">
        <f t="shared" si="8"/>
        <v/>
      </c>
      <c r="H161" t="str">
        <f t="shared" si="9"/>
        <v/>
      </c>
    </row>
    <row r="162" spans="5:8" x14ac:dyDescent="0.2">
      <c r="E162" t="str">
        <f t="shared" si="8"/>
        <v/>
      </c>
      <c r="H162" t="str">
        <f t="shared" si="9"/>
        <v/>
      </c>
    </row>
    <row r="163" spans="5:8" x14ac:dyDescent="0.2">
      <c r="E163" t="str">
        <f t="shared" si="8"/>
        <v/>
      </c>
      <c r="H163" t="str">
        <f t="shared" si="9"/>
        <v/>
      </c>
    </row>
    <row r="164" spans="5:8" x14ac:dyDescent="0.2">
      <c r="E164" t="str">
        <f t="shared" si="8"/>
        <v/>
      </c>
      <c r="H164" t="str">
        <f t="shared" si="9"/>
        <v/>
      </c>
    </row>
    <row r="165" spans="5:8" x14ac:dyDescent="0.2">
      <c r="E165" t="str">
        <f t="shared" si="8"/>
        <v/>
      </c>
      <c r="H165" t="str">
        <f t="shared" si="9"/>
        <v/>
      </c>
    </row>
    <row r="166" spans="5:8" x14ac:dyDescent="0.2">
      <c r="E166" t="str">
        <f t="shared" si="8"/>
        <v/>
      </c>
      <c r="H166" t="str">
        <f t="shared" si="9"/>
        <v/>
      </c>
    </row>
    <row r="167" spans="5:8" x14ac:dyDescent="0.2">
      <c r="E167" t="str">
        <f t="shared" si="8"/>
        <v/>
      </c>
      <c r="H167" t="str">
        <f t="shared" si="9"/>
        <v/>
      </c>
    </row>
    <row r="168" spans="5:8" x14ac:dyDescent="0.2">
      <c r="E168" t="str">
        <f t="shared" si="8"/>
        <v/>
      </c>
      <c r="H168" t="str">
        <f t="shared" si="9"/>
        <v/>
      </c>
    </row>
    <row r="169" spans="5:8" x14ac:dyDescent="0.2">
      <c r="E169" t="str">
        <f t="shared" si="8"/>
        <v/>
      </c>
      <c r="H169" t="str">
        <f t="shared" si="9"/>
        <v/>
      </c>
    </row>
    <row r="170" spans="5:8" x14ac:dyDescent="0.2">
      <c r="E170" t="str">
        <f t="shared" si="8"/>
        <v/>
      </c>
      <c r="H170" t="str">
        <f t="shared" si="9"/>
        <v/>
      </c>
    </row>
    <row r="171" spans="5:8" x14ac:dyDescent="0.2">
      <c r="E171" t="str">
        <f t="shared" si="8"/>
        <v/>
      </c>
      <c r="H171" t="str">
        <f t="shared" si="9"/>
        <v/>
      </c>
    </row>
    <row r="172" spans="5:8" x14ac:dyDescent="0.2">
      <c r="E172" t="str">
        <f t="shared" si="8"/>
        <v/>
      </c>
      <c r="H172" t="str">
        <f t="shared" si="9"/>
        <v/>
      </c>
    </row>
    <row r="173" spans="5:8" x14ac:dyDescent="0.2">
      <c r="E173" t="str">
        <f t="shared" si="8"/>
        <v/>
      </c>
      <c r="H173" t="str">
        <f t="shared" si="9"/>
        <v/>
      </c>
    </row>
    <row r="174" spans="5:8" x14ac:dyDescent="0.2">
      <c r="E174" t="str">
        <f t="shared" si="8"/>
        <v/>
      </c>
      <c r="H174" t="str">
        <f t="shared" si="9"/>
        <v/>
      </c>
    </row>
    <row r="175" spans="5:8" x14ac:dyDescent="0.2">
      <c r="E175" t="str">
        <f t="shared" si="8"/>
        <v/>
      </c>
      <c r="H175" t="str">
        <f t="shared" si="9"/>
        <v/>
      </c>
    </row>
    <row r="176" spans="5:8" x14ac:dyDescent="0.2">
      <c r="E176" t="str">
        <f t="shared" si="8"/>
        <v/>
      </c>
      <c r="H176" t="str">
        <f t="shared" si="9"/>
        <v/>
      </c>
    </row>
    <row r="177" spans="5:8" x14ac:dyDescent="0.2">
      <c r="E177" t="str">
        <f t="shared" si="8"/>
        <v/>
      </c>
      <c r="H177" t="str">
        <f t="shared" si="9"/>
        <v/>
      </c>
    </row>
    <row r="178" spans="5:8" x14ac:dyDescent="0.2">
      <c r="E178" t="str">
        <f t="shared" si="8"/>
        <v/>
      </c>
      <c r="H178" t="str">
        <f t="shared" si="9"/>
        <v/>
      </c>
    </row>
    <row r="179" spans="5:8" x14ac:dyDescent="0.2">
      <c r="E179" t="str">
        <f t="shared" si="8"/>
        <v/>
      </c>
      <c r="H179" t="str">
        <f t="shared" si="9"/>
        <v/>
      </c>
    </row>
    <row r="180" spans="5:8" x14ac:dyDescent="0.2">
      <c r="E180" t="str">
        <f t="shared" si="8"/>
        <v/>
      </c>
      <c r="H180" t="str">
        <f t="shared" si="9"/>
        <v/>
      </c>
    </row>
    <row r="181" spans="5:8" x14ac:dyDescent="0.2">
      <c r="E181" t="str">
        <f t="shared" si="8"/>
        <v/>
      </c>
      <c r="H181" t="str">
        <f t="shared" si="9"/>
        <v/>
      </c>
    </row>
    <row r="182" spans="5:8" x14ac:dyDescent="0.2">
      <c r="E182" t="str">
        <f t="shared" si="8"/>
        <v/>
      </c>
      <c r="H182" t="str">
        <f t="shared" si="9"/>
        <v/>
      </c>
    </row>
    <row r="183" spans="5:8" x14ac:dyDescent="0.2">
      <c r="E183" t="str">
        <f t="shared" si="8"/>
        <v/>
      </c>
      <c r="H183" t="str">
        <f t="shared" si="9"/>
        <v/>
      </c>
    </row>
    <row r="184" spans="5:8" x14ac:dyDescent="0.2">
      <c r="E184" t="str">
        <f t="shared" si="8"/>
        <v/>
      </c>
      <c r="H184" t="str">
        <f t="shared" si="9"/>
        <v/>
      </c>
    </row>
    <row r="185" spans="5:8" x14ac:dyDescent="0.2">
      <c r="E185" t="str">
        <f t="shared" si="8"/>
        <v/>
      </c>
      <c r="H185" t="str">
        <f t="shared" si="9"/>
        <v/>
      </c>
    </row>
    <row r="186" spans="5:8" x14ac:dyDescent="0.2">
      <c r="E186" t="str">
        <f t="shared" si="8"/>
        <v/>
      </c>
      <c r="H186" t="str">
        <f t="shared" si="9"/>
        <v/>
      </c>
    </row>
    <row r="187" spans="5:8" x14ac:dyDescent="0.2">
      <c r="E187" t="str">
        <f t="shared" si="8"/>
        <v/>
      </c>
      <c r="H187" t="str">
        <f t="shared" si="9"/>
        <v/>
      </c>
    </row>
    <row r="188" spans="5:8" x14ac:dyDescent="0.2">
      <c r="E188" t="str">
        <f t="shared" si="8"/>
        <v/>
      </c>
      <c r="H188" t="str">
        <f t="shared" si="9"/>
        <v/>
      </c>
    </row>
    <row r="189" spans="5:8" x14ac:dyDescent="0.2">
      <c r="E189" t="str">
        <f t="shared" si="8"/>
        <v/>
      </c>
      <c r="H189" t="str">
        <f t="shared" si="9"/>
        <v/>
      </c>
    </row>
    <row r="190" spans="5:8" x14ac:dyDescent="0.2">
      <c r="E190" t="str">
        <f t="shared" si="8"/>
        <v/>
      </c>
      <c r="H190" t="str">
        <f t="shared" si="9"/>
        <v/>
      </c>
    </row>
    <row r="191" spans="5:8" x14ac:dyDescent="0.2">
      <c r="E191" t="str">
        <f t="shared" si="8"/>
        <v/>
      </c>
      <c r="H191" t="str">
        <f t="shared" si="9"/>
        <v/>
      </c>
    </row>
    <row r="192" spans="5:8" x14ac:dyDescent="0.2">
      <c r="E192" t="str">
        <f t="shared" si="8"/>
        <v/>
      </c>
      <c r="H192" t="str">
        <f t="shared" si="9"/>
        <v/>
      </c>
    </row>
    <row r="193" spans="5:8" x14ac:dyDescent="0.2">
      <c r="E193" t="str">
        <f t="shared" si="8"/>
        <v/>
      </c>
      <c r="H193" t="str">
        <f t="shared" si="9"/>
        <v/>
      </c>
    </row>
    <row r="194" spans="5:8" x14ac:dyDescent="0.2">
      <c r="E194" t="str">
        <f t="shared" si="8"/>
        <v/>
      </c>
      <c r="H194" t="str">
        <f t="shared" si="9"/>
        <v/>
      </c>
    </row>
    <row r="195" spans="5:8" x14ac:dyDescent="0.2">
      <c r="E195" t="str">
        <f t="shared" si="8"/>
        <v/>
      </c>
      <c r="H195" t="str">
        <f t="shared" si="9"/>
        <v/>
      </c>
    </row>
    <row r="196" spans="5:8" x14ac:dyDescent="0.2">
      <c r="E196" t="str">
        <f t="shared" si="8"/>
        <v/>
      </c>
      <c r="H196" t="str">
        <f t="shared" si="9"/>
        <v/>
      </c>
    </row>
    <row r="197" spans="5:8" x14ac:dyDescent="0.2">
      <c r="E197" t="str">
        <f t="shared" si="8"/>
        <v/>
      </c>
      <c r="H197" t="str">
        <f t="shared" si="9"/>
        <v/>
      </c>
    </row>
    <row r="198" spans="5:8" x14ac:dyDescent="0.2">
      <c r="E198" t="str">
        <f t="shared" si="8"/>
        <v/>
      </c>
      <c r="H198" t="str">
        <f t="shared" si="9"/>
        <v/>
      </c>
    </row>
    <row r="199" spans="5:8" x14ac:dyDescent="0.2">
      <c r="E199" t="str">
        <f t="shared" si="8"/>
        <v/>
      </c>
      <c r="H199" t="str">
        <f t="shared" si="9"/>
        <v/>
      </c>
    </row>
    <row r="200" spans="5:8" x14ac:dyDescent="0.2">
      <c r="E200" t="str">
        <f t="shared" ref="E200:E263" si="10">IF(D200="","","Bittrex")</f>
        <v/>
      </c>
      <c r="H200" t="str">
        <f t="shared" ref="H200:H263" si="11">IF(G200="","","Bittrex")</f>
        <v/>
      </c>
    </row>
    <row r="201" spans="5:8" x14ac:dyDescent="0.2">
      <c r="E201" t="str">
        <f t="shared" si="10"/>
        <v/>
      </c>
      <c r="H201" t="str">
        <f t="shared" si="11"/>
        <v/>
      </c>
    </row>
    <row r="202" spans="5:8" x14ac:dyDescent="0.2">
      <c r="E202" t="str">
        <f t="shared" si="10"/>
        <v/>
      </c>
      <c r="H202" t="str">
        <f t="shared" si="11"/>
        <v/>
      </c>
    </row>
    <row r="203" spans="5:8" x14ac:dyDescent="0.2">
      <c r="E203" t="str">
        <f t="shared" si="10"/>
        <v/>
      </c>
      <c r="H203" t="str">
        <f t="shared" si="11"/>
        <v/>
      </c>
    </row>
    <row r="204" spans="5:8" x14ac:dyDescent="0.2">
      <c r="E204" t="str">
        <f t="shared" si="10"/>
        <v/>
      </c>
      <c r="H204" t="str">
        <f t="shared" si="11"/>
        <v/>
      </c>
    </row>
    <row r="205" spans="5:8" x14ac:dyDescent="0.2">
      <c r="E205" t="str">
        <f t="shared" si="10"/>
        <v/>
      </c>
      <c r="H205" t="str">
        <f t="shared" si="11"/>
        <v/>
      </c>
    </row>
    <row r="206" spans="5:8" x14ac:dyDescent="0.2">
      <c r="E206" t="str">
        <f t="shared" si="10"/>
        <v/>
      </c>
      <c r="H206" t="str">
        <f t="shared" si="11"/>
        <v/>
      </c>
    </row>
    <row r="207" spans="5:8" x14ac:dyDescent="0.2">
      <c r="E207" t="str">
        <f t="shared" si="10"/>
        <v/>
      </c>
      <c r="H207" t="str">
        <f t="shared" si="11"/>
        <v/>
      </c>
    </row>
    <row r="208" spans="5:8" x14ac:dyDescent="0.2">
      <c r="E208" t="str">
        <f t="shared" si="10"/>
        <v/>
      </c>
      <c r="H208" t="str">
        <f t="shared" si="11"/>
        <v/>
      </c>
    </row>
    <row r="209" spans="5:8" x14ac:dyDescent="0.2">
      <c r="E209" t="str">
        <f t="shared" si="10"/>
        <v/>
      </c>
      <c r="H209" t="str">
        <f t="shared" si="11"/>
        <v/>
      </c>
    </row>
    <row r="210" spans="5:8" x14ac:dyDescent="0.2">
      <c r="E210" t="str">
        <f t="shared" si="10"/>
        <v/>
      </c>
      <c r="H210" t="str">
        <f t="shared" si="11"/>
        <v/>
      </c>
    </row>
    <row r="211" spans="5:8" x14ac:dyDescent="0.2">
      <c r="E211" t="str">
        <f t="shared" si="10"/>
        <v/>
      </c>
      <c r="H211" t="str">
        <f t="shared" si="11"/>
        <v/>
      </c>
    </row>
    <row r="212" spans="5:8" x14ac:dyDescent="0.2">
      <c r="E212" t="str">
        <f t="shared" si="10"/>
        <v/>
      </c>
      <c r="H212" t="str">
        <f t="shared" si="11"/>
        <v/>
      </c>
    </row>
    <row r="213" spans="5:8" x14ac:dyDescent="0.2">
      <c r="E213" t="str">
        <f t="shared" si="10"/>
        <v/>
      </c>
      <c r="H213" t="str">
        <f t="shared" si="11"/>
        <v/>
      </c>
    </row>
    <row r="214" spans="5:8" x14ac:dyDescent="0.2">
      <c r="E214" t="str">
        <f t="shared" si="10"/>
        <v/>
      </c>
      <c r="H214" t="str">
        <f t="shared" si="11"/>
        <v/>
      </c>
    </row>
    <row r="215" spans="5:8" x14ac:dyDescent="0.2">
      <c r="E215" t="str">
        <f t="shared" si="10"/>
        <v/>
      </c>
      <c r="H215" t="str">
        <f t="shared" si="11"/>
        <v/>
      </c>
    </row>
    <row r="216" spans="5:8" x14ac:dyDescent="0.2">
      <c r="E216" t="str">
        <f t="shared" si="10"/>
        <v/>
      </c>
      <c r="H216" t="str">
        <f t="shared" si="11"/>
        <v/>
      </c>
    </row>
    <row r="217" spans="5:8" x14ac:dyDescent="0.2">
      <c r="E217" t="str">
        <f t="shared" si="10"/>
        <v/>
      </c>
      <c r="H217" t="str">
        <f t="shared" si="11"/>
        <v/>
      </c>
    </row>
    <row r="218" spans="5:8" x14ac:dyDescent="0.2">
      <c r="E218" t="str">
        <f t="shared" si="10"/>
        <v/>
      </c>
      <c r="H218" t="str">
        <f t="shared" si="11"/>
        <v/>
      </c>
    </row>
    <row r="219" spans="5:8" x14ac:dyDescent="0.2">
      <c r="E219" t="str">
        <f t="shared" si="10"/>
        <v/>
      </c>
      <c r="H219" t="str">
        <f t="shared" si="11"/>
        <v/>
      </c>
    </row>
    <row r="220" spans="5:8" x14ac:dyDescent="0.2">
      <c r="E220" t="str">
        <f t="shared" si="10"/>
        <v/>
      </c>
      <c r="H220" t="str">
        <f t="shared" si="11"/>
        <v/>
      </c>
    </row>
    <row r="221" spans="5:8" x14ac:dyDescent="0.2">
      <c r="E221" t="str">
        <f t="shared" si="10"/>
        <v/>
      </c>
      <c r="H221" t="str">
        <f t="shared" si="11"/>
        <v/>
      </c>
    </row>
    <row r="222" spans="5:8" x14ac:dyDescent="0.2">
      <c r="E222" t="str">
        <f t="shared" si="10"/>
        <v/>
      </c>
      <c r="H222" t="str">
        <f t="shared" si="11"/>
        <v/>
      </c>
    </row>
    <row r="223" spans="5:8" x14ac:dyDescent="0.2">
      <c r="E223" t="str">
        <f t="shared" si="10"/>
        <v/>
      </c>
      <c r="H223" t="str">
        <f t="shared" si="11"/>
        <v/>
      </c>
    </row>
    <row r="224" spans="5:8" x14ac:dyDescent="0.2">
      <c r="E224" t="str">
        <f t="shared" si="10"/>
        <v/>
      </c>
      <c r="H224" t="str">
        <f t="shared" si="11"/>
        <v/>
      </c>
    </row>
    <row r="225" spans="5:8" x14ac:dyDescent="0.2">
      <c r="E225" t="str">
        <f t="shared" si="10"/>
        <v/>
      </c>
      <c r="H225" t="str">
        <f t="shared" si="11"/>
        <v/>
      </c>
    </row>
    <row r="226" spans="5:8" x14ac:dyDescent="0.2">
      <c r="E226" t="str">
        <f t="shared" si="10"/>
        <v/>
      </c>
      <c r="H226" t="str">
        <f t="shared" si="11"/>
        <v/>
      </c>
    </row>
    <row r="227" spans="5:8" x14ac:dyDescent="0.2">
      <c r="E227" t="str">
        <f t="shared" si="10"/>
        <v/>
      </c>
      <c r="H227" t="str">
        <f t="shared" si="11"/>
        <v/>
      </c>
    </row>
    <row r="228" spans="5:8" x14ac:dyDescent="0.2">
      <c r="E228" t="str">
        <f t="shared" si="10"/>
        <v/>
      </c>
      <c r="H228" t="str">
        <f t="shared" si="11"/>
        <v/>
      </c>
    </row>
    <row r="229" spans="5:8" x14ac:dyDescent="0.2">
      <c r="E229" t="str">
        <f t="shared" si="10"/>
        <v/>
      </c>
      <c r="H229" t="str">
        <f t="shared" si="11"/>
        <v/>
      </c>
    </row>
    <row r="230" spans="5:8" x14ac:dyDescent="0.2">
      <c r="E230" t="str">
        <f t="shared" si="10"/>
        <v/>
      </c>
      <c r="H230" t="str">
        <f t="shared" si="11"/>
        <v/>
      </c>
    </row>
    <row r="231" spans="5:8" x14ac:dyDescent="0.2">
      <c r="E231" t="str">
        <f t="shared" si="10"/>
        <v/>
      </c>
      <c r="H231" t="str">
        <f t="shared" si="11"/>
        <v/>
      </c>
    </row>
    <row r="232" spans="5:8" x14ac:dyDescent="0.2">
      <c r="E232" t="str">
        <f t="shared" si="10"/>
        <v/>
      </c>
      <c r="H232" t="str">
        <f t="shared" si="11"/>
        <v/>
      </c>
    </row>
    <row r="233" spans="5:8" x14ac:dyDescent="0.2">
      <c r="E233" t="str">
        <f t="shared" si="10"/>
        <v/>
      </c>
      <c r="H233" t="str">
        <f t="shared" si="11"/>
        <v/>
      </c>
    </row>
    <row r="234" spans="5:8" x14ac:dyDescent="0.2">
      <c r="E234" t="str">
        <f t="shared" si="10"/>
        <v/>
      </c>
      <c r="H234" t="str">
        <f t="shared" si="11"/>
        <v/>
      </c>
    </row>
    <row r="235" spans="5:8" x14ac:dyDescent="0.2">
      <c r="E235" t="str">
        <f t="shared" si="10"/>
        <v/>
      </c>
      <c r="H235" t="str">
        <f t="shared" si="11"/>
        <v/>
      </c>
    </row>
    <row r="236" spans="5:8" x14ac:dyDescent="0.2">
      <c r="E236" t="str">
        <f t="shared" si="10"/>
        <v/>
      </c>
      <c r="H236" t="str">
        <f t="shared" si="11"/>
        <v/>
      </c>
    </row>
    <row r="237" spans="5:8" x14ac:dyDescent="0.2">
      <c r="E237" t="str">
        <f t="shared" si="10"/>
        <v/>
      </c>
      <c r="H237" t="str">
        <f t="shared" si="11"/>
        <v/>
      </c>
    </row>
    <row r="238" spans="5:8" x14ac:dyDescent="0.2">
      <c r="E238" t="str">
        <f t="shared" si="10"/>
        <v/>
      </c>
      <c r="H238" t="str">
        <f t="shared" si="11"/>
        <v/>
      </c>
    </row>
    <row r="239" spans="5:8" x14ac:dyDescent="0.2">
      <c r="E239" t="str">
        <f t="shared" si="10"/>
        <v/>
      </c>
      <c r="H239" t="str">
        <f t="shared" si="11"/>
        <v/>
      </c>
    </row>
    <row r="240" spans="5:8" x14ac:dyDescent="0.2">
      <c r="E240" t="str">
        <f t="shared" si="10"/>
        <v/>
      </c>
      <c r="H240" t="str">
        <f t="shared" si="11"/>
        <v/>
      </c>
    </row>
    <row r="241" spans="5:8" x14ac:dyDescent="0.2">
      <c r="E241" t="str">
        <f t="shared" si="10"/>
        <v/>
      </c>
      <c r="H241" t="str">
        <f t="shared" si="11"/>
        <v/>
      </c>
    </row>
    <row r="242" spans="5:8" x14ac:dyDescent="0.2">
      <c r="E242" t="str">
        <f t="shared" si="10"/>
        <v/>
      </c>
      <c r="H242" t="str">
        <f t="shared" si="11"/>
        <v/>
      </c>
    </row>
    <row r="243" spans="5:8" x14ac:dyDescent="0.2">
      <c r="E243" t="str">
        <f t="shared" si="10"/>
        <v/>
      </c>
      <c r="H243" t="str">
        <f t="shared" si="11"/>
        <v/>
      </c>
    </row>
    <row r="244" spans="5:8" x14ac:dyDescent="0.2">
      <c r="E244" t="str">
        <f t="shared" si="10"/>
        <v/>
      </c>
      <c r="H244" t="str">
        <f t="shared" si="11"/>
        <v/>
      </c>
    </row>
    <row r="245" spans="5:8" x14ac:dyDescent="0.2">
      <c r="E245" t="str">
        <f t="shared" si="10"/>
        <v/>
      </c>
      <c r="H245" t="str">
        <f t="shared" si="11"/>
        <v/>
      </c>
    </row>
    <row r="246" spans="5:8" x14ac:dyDescent="0.2">
      <c r="E246" t="str">
        <f t="shared" si="10"/>
        <v/>
      </c>
      <c r="H246" t="str">
        <f t="shared" si="11"/>
        <v/>
      </c>
    </row>
    <row r="247" spans="5:8" x14ac:dyDescent="0.2">
      <c r="E247" t="str">
        <f t="shared" si="10"/>
        <v/>
      </c>
      <c r="H247" t="str">
        <f t="shared" si="11"/>
        <v/>
      </c>
    </row>
    <row r="248" spans="5:8" x14ac:dyDescent="0.2">
      <c r="E248" t="str">
        <f t="shared" si="10"/>
        <v/>
      </c>
      <c r="H248" t="str">
        <f t="shared" si="11"/>
        <v/>
      </c>
    </row>
    <row r="249" spans="5:8" x14ac:dyDescent="0.2">
      <c r="E249" t="str">
        <f t="shared" si="10"/>
        <v/>
      </c>
      <c r="H249" t="str">
        <f t="shared" si="11"/>
        <v/>
      </c>
    </row>
    <row r="250" spans="5:8" x14ac:dyDescent="0.2">
      <c r="E250" t="str">
        <f t="shared" si="10"/>
        <v/>
      </c>
      <c r="H250" t="str">
        <f t="shared" si="11"/>
        <v/>
      </c>
    </row>
    <row r="251" spans="5:8" x14ac:dyDescent="0.2">
      <c r="E251" t="str">
        <f t="shared" si="10"/>
        <v/>
      </c>
      <c r="H251" t="str">
        <f t="shared" si="11"/>
        <v/>
      </c>
    </row>
    <row r="252" spans="5:8" x14ac:dyDescent="0.2">
      <c r="E252" t="str">
        <f t="shared" si="10"/>
        <v/>
      </c>
      <c r="H252" t="str">
        <f t="shared" si="11"/>
        <v/>
      </c>
    </row>
    <row r="253" spans="5:8" x14ac:dyDescent="0.2">
      <c r="E253" t="str">
        <f t="shared" si="10"/>
        <v/>
      </c>
      <c r="H253" t="str">
        <f t="shared" si="11"/>
        <v/>
      </c>
    </row>
    <row r="254" spans="5:8" x14ac:dyDescent="0.2">
      <c r="E254" t="str">
        <f t="shared" si="10"/>
        <v/>
      </c>
      <c r="H254" t="str">
        <f t="shared" si="11"/>
        <v/>
      </c>
    </row>
    <row r="255" spans="5:8" x14ac:dyDescent="0.2">
      <c r="E255" t="str">
        <f t="shared" si="10"/>
        <v/>
      </c>
      <c r="H255" t="str">
        <f t="shared" si="11"/>
        <v/>
      </c>
    </row>
    <row r="256" spans="5:8" x14ac:dyDescent="0.2">
      <c r="E256" t="str">
        <f t="shared" si="10"/>
        <v/>
      </c>
      <c r="H256" t="str">
        <f t="shared" si="11"/>
        <v/>
      </c>
    </row>
    <row r="257" spans="5:8" x14ac:dyDescent="0.2">
      <c r="E257" t="str">
        <f t="shared" si="10"/>
        <v/>
      </c>
      <c r="H257" t="str">
        <f t="shared" si="11"/>
        <v/>
      </c>
    </row>
    <row r="258" spans="5:8" x14ac:dyDescent="0.2">
      <c r="E258" t="str">
        <f t="shared" si="10"/>
        <v/>
      </c>
      <c r="H258" t="str">
        <f t="shared" si="11"/>
        <v/>
      </c>
    </row>
    <row r="259" spans="5:8" x14ac:dyDescent="0.2">
      <c r="E259" t="str">
        <f t="shared" si="10"/>
        <v/>
      </c>
      <c r="H259" t="str">
        <f t="shared" si="11"/>
        <v/>
      </c>
    </row>
    <row r="260" spans="5:8" x14ac:dyDescent="0.2">
      <c r="E260" t="str">
        <f t="shared" si="10"/>
        <v/>
      </c>
      <c r="H260" t="str">
        <f t="shared" si="11"/>
        <v/>
      </c>
    </row>
    <row r="261" spans="5:8" x14ac:dyDescent="0.2">
      <c r="E261" t="str">
        <f t="shared" si="10"/>
        <v/>
      </c>
      <c r="H261" t="str">
        <f t="shared" si="11"/>
        <v/>
      </c>
    </row>
    <row r="262" spans="5:8" x14ac:dyDescent="0.2">
      <c r="E262" t="str">
        <f t="shared" si="10"/>
        <v/>
      </c>
      <c r="H262" t="str">
        <f t="shared" si="11"/>
        <v/>
      </c>
    </row>
    <row r="263" spans="5:8" x14ac:dyDescent="0.2">
      <c r="E263" t="str">
        <f t="shared" si="10"/>
        <v/>
      </c>
      <c r="H263" t="str">
        <f t="shared" si="11"/>
        <v/>
      </c>
    </row>
    <row r="264" spans="5:8" x14ac:dyDescent="0.2">
      <c r="E264" t="str">
        <f t="shared" ref="E264:E327" si="12">IF(D264="","","Bittrex")</f>
        <v/>
      </c>
      <c r="H264" t="str">
        <f t="shared" ref="H264:H327" si="13">IF(G264="","","Bittrex")</f>
        <v/>
      </c>
    </row>
    <row r="265" spans="5:8" x14ac:dyDescent="0.2">
      <c r="E265" t="str">
        <f t="shared" si="12"/>
        <v/>
      </c>
      <c r="H265" t="str">
        <f t="shared" si="13"/>
        <v/>
      </c>
    </row>
    <row r="266" spans="5:8" x14ac:dyDescent="0.2">
      <c r="E266" t="str">
        <f t="shared" si="12"/>
        <v/>
      </c>
      <c r="H266" t="str">
        <f t="shared" si="13"/>
        <v/>
      </c>
    </row>
    <row r="267" spans="5:8" x14ac:dyDescent="0.2">
      <c r="E267" t="str">
        <f t="shared" si="12"/>
        <v/>
      </c>
      <c r="H267" t="str">
        <f t="shared" si="13"/>
        <v/>
      </c>
    </row>
    <row r="268" spans="5:8" x14ac:dyDescent="0.2">
      <c r="E268" t="str">
        <f t="shared" si="12"/>
        <v/>
      </c>
      <c r="H268" t="str">
        <f t="shared" si="13"/>
        <v/>
      </c>
    </row>
    <row r="269" spans="5:8" x14ac:dyDescent="0.2">
      <c r="E269" t="str">
        <f t="shared" si="12"/>
        <v/>
      </c>
      <c r="H269" t="str">
        <f t="shared" si="13"/>
        <v/>
      </c>
    </row>
    <row r="270" spans="5:8" x14ac:dyDescent="0.2">
      <c r="E270" t="str">
        <f t="shared" si="12"/>
        <v/>
      </c>
      <c r="H270" t="str">
        <f t="shared" si="13"/>
        <v/>
      </c>
    </row>
    <row r="271" spans="5:8" x14ac:dyDescent="0.2">
      <c r="E271" t="str">
        <f t="shared" si="12"/>
        <v/>
      </c>
      <c r="H271" t="str">
        <f t="shared" si="13"/>
        <v/>
      </c>
    </row>
    <row r="272" spans="5:8" x14ac:dyDescent="0.2">
      <c r="E272" t="str">
        <f t="shared" si="12"/>
        <v/>
      </c>
      <c r="H272" t="str">
        <f t="shared" si="13"/>
        <v/>
      </c>
    </row>
    <row r="273" spans="5:8" x14ac:dyDescent="0.2">
      <c r="E273" t="str">
        <f t="shared" si="12"/>
        <v/>
      </c>
      <c r="H273" t="str">
        <f t="shared" si="13"/>
        <v/>
      </c>
    </row>
    <row r="274" spans="5:8" x14ac:dyDescent="0.2">
      <c r="E274" t="str">
        <f t="shared" si="12"/>
        <v/>
      </c>
      <c r="H274" t="str">
        <f t="shared" si="13"/>
        <v/>
      </c>
    </row>
    <row r="275" spans="5:8" x14ac:dyDescent="0.2">
      <c r="E275" t="str">
        <f t="shared" si="12"/>
        <v/>
      </c>
      <c r="H275" t="str">
        <f t="shared" si="13"/>
        <v/>
      </c>
    </row>
    <row r="276" spans="5:8" x14ac:dyDescent="0.2">
      <c r="E276" t="str">
        <f t="shared" si="12"/>
        <v/>
      </c>
      <c r="H276" t="str">
        <f t="shared" si="13"/>
        <v/>
      </c>
    </row>
    <row r="277" spans="5:8" x14ac:dyDescent="0.2">
      <c r="E277" t="str">
        <f t="shared" si="12"/>
        <v/>
      </c>
      <c r="H277" t="str">
        <f t="shared" si="13"/>
        <v/>
      </c>
    </row>
    <row r="278" spans="5:8" x14ac:dyDescent="0.2">
      <c r="E278" t="str">
        <f t="shared" si="12"/>
        <v/>
      </c>
      <c r="H278" t="str">
        <f t="shared" si="13"/>
        <v/>
      </c>
    </row>
    <row r="279" spans="5:8" x14ac:dyDescent="0.2">
      <c r="E279" t="str">
        <f t="shared" si="12"/>
        <v/>
      </c>
      <c r="H279" t="str">
        <f t="shared" si="13"/>
        <v/>
      </c>
    </row>
    <row r="280" spans="5:8" x14ac:dyDescent="0.2">
      <c r="E280" t="str">
        <f t="shared" si="12"/>
        <v/>
      </c>
      <c r="H280" t="str">
        <f t="shared" si="13"/>
        <v/>
      </c>
    </row>
    <row r="281" spans="5:8" x14ac:dyDescent="0.2">
      <c r="E281" t="str">
        <f t="shared" si="12"/>
        <v/>
      </c>
      <c r="H281" t="str">
        <f t="shared" si="13"/>
        <v/>
      </c>
    </row>
    <row r="282" spans="5:8" x14ac:dyDescent="0.2">
      <c r="E282" t="str">
        <f t="shared" si="12"/>
        <v/>
      </c>
      <c r="H282" t="str">
        <f t="shared" si="13"/>
        <v/>
      </c>
    </row>
    <row r="283" spans="5:8" x14ac:dyDescent="0.2">
      <c r="E283" t="str">
        <f t="shared" si="12"/>
        <v/>
      </c>
      <c r="H283" t="str">
        <f t="shared" si="13"/>
        <v/>
      </c>
    </row>
    <row r="284" spans="5:8" x14ac:dyDescent="0.2">
      <c r="E284" t="str">
        <f t="shared" si="12"/>
        <v/>
      </c>
      <c r="H284" t="str">
        <f t="shared" si="13"/>
        <v/>
      </c>
    </row>
    <row r="285" spans="5:8" x14ac:dyDescent="0.2">
      <c r="E285" t="str">
        <f t="shared" si="12"/>
        <v/>
      </c>
      <c r="H285" t="str">
        <f t="shared" si="13"/>
        <v/>
      </c>
    </row>
    <row r="286" spans="5:8" x14ac:dyDescent="0.2">
      <c r="E286" t="str">
        <f t="shared" si="12"/>
        <v/>
      </c>
      <c r="H286" t="str">
        <f t="shared" si="13"/>
        <v/>
      </c>
    </row>
    <row r="287" spans="5:8" x14ac:dyDescent="0.2">
      <c r="E287" t="str">
        <f t="shared" si="12"/>
        <v/>
      </c>
      <c r="H287" t="str">
        <f t="shared" si="13"/>
        <v/>
      </c>
    </row>
    <row r="288" spans="5:8" x14ac:dyDescent="0.2">
      <c r="E288" t="str">
        <f t="shared" si="12"/>
        <v/>
      </c>
      <c r="H288" t="str">
        <f t="shared" si="13"/>
        <v/>
      </c>
    </row>
    <row r="289" spans="5:8" x14ac:dyDescent="0.2">
      <c r="E289" t="str">
        <f t="shared" si="12"/>
        <v/>
      </c>
      <c r="H289" t="str">
        <f t="shared" si="13"/>
        <v/>
      </c>
    </row>
    <row r="290" spans="5:8" x14ac:dyDescent="0.2">
      <c r="E290" t="str">
        <f t="shared" si="12"/>
        <v/>
      </c>
      <c r="H290" t="str">
        <f t="shared" si="13"/>
        <v/>
      </c>
    </row>
    <row r="291" spans="5:8" x14ac:dyDescent="0.2">
      <c r="E291" t="str">
        <f t="shared" si="12"/>
        <v/>
      </c>
      <c r="H291" t="str">
        <f t="shared" si="13"/>
        <v/>
      </c>
    </row>
    <row r="292" spans="5:8" x14ac:dyDescent="0.2">
      <c r="E292" t="str">
        <f t="shared" si="12"/>
        <v/>
      </c>
      <c r="H292" t="str">
        <f t="shared" si="13"/>
        <v/>
      </c>
    </row>
    <row r="293" spans="5:8" x14ac:dyDescent="0.2">
      <c r="E293" t="str">
        <f t="shared" si="12"/>
        <v/>
      </c>
      <c r="H293" t="str">
        <f t="shared" si="13"/>
        <v/>
      </c>
    </row>
    <row r="294" spans="5:8" x14ac:dyDescent="0.2">
      <c r="E294" t="str">
        <f t="shared" si="12"/>
        <v/>
      </c>
      <c r="H294" t="str">
        <f t="shared" si="13"/>
        <v/>
      </c>
    </row>
    <row r="295" spans="5:8" x14ac:dyDescent="0.2">
      <c r="E295" t="str">
        <f t="shared" si="12"/>
        <v/>
      </c>
      <c r="H295" t="str">
        <f t="shared" si="13"/>
        <v/>
      </c>
    </row>
    <row r="296" spans="5:8" x14ac:dyDescent="0.2">
      <c r="E296" t="str">
        <f t="shared" si="12"/>
        <v/>
      </c>
      <c r="H296" t="str">
        <f t="shared" si="13"/>
        <v/>
      </c>
    </row>
    <row r="297" spans="5:8" x14ac:dyDescent="0.2">
      <c r="E297" t="str">
        <f t="shared" si="12"/>
        <v/>
      </c>
      <c r="H297" t="str">
        <f t="shared" si="13"/>
        <v/>
      </c>
    </row>
    <row r="298" spans="5:8" x14ac:dyDescent="0.2">
      <c r="E298" t="str">
        <f t="shared" si="12"/>
        <v/>
      </c>
      <c r="H298" t="str">
        <f t="shared" si="13"/>
        <v/>
      </c>
    </row>
    <row r="299" spans="5:8" x14ac:dyDescent="0.2">
      <c r="E299" t="str">
        <f t="shared" si="12"/>
        <v/>
      </c>
      <c r="H299" t="str">
        <f t="shared" si="13"/>
        <v/>
      </c>
    </row>
    <row r="300" spans="5:8" x14ac:dyDescent="0.2">
      <c r="E300" t="str">
        <f t="shared" si="12"/>
        <v/>
      </c>
      <c r="H300" t="str">
        <f t="shared" si="13"/>
        <v/>
      </c>
    </row>
    <row r="301" spans="5:8" x14ac:dyDescent="0.2">
      <c r="E301" t="str">
        <f t="shared" si="12"/>
        <v/>
      </c>
      <c r="H301" t="str">
        <f t="shared" si="13"/>
        <v/>
      </c>
    </row>
    <row r="302" spans="5:8" x14ac:dyDescent="0.2">
      <c r="E302" t="str">
        <f t="shared" si="12"/>
        <v/>
      </c>
      <c r="H302" t="str">
        <f t="shared" si="13"/>
        <v/>
      </c>
    </row>
    <row r="303" spans="5:8" x14ac:dyDescent="0.2">
      <c r="E303" t="str">
        <f t="shared" si="12"/>
        <v/>
      </c>
      <c r="H303" t="str">
        <f t="shared" si="13"/>
        <v/>
      </c>
    </row>
    <row r="304" spans="5:8" x14ac:dyDescent="0.2">
      <c r="E304" t="str">
        <f t="shared" si="12"/>
        <v/>
      </c>
      <c r="H304" t="str">
        <f t="shared" si="13"/>
        <v/>
      </c>
    </row>
    <row r="305" spans="5:8" x14ac:dyDescent="0.2">
      <c r="E305" t="str">
        <f t="shared" si="12"/>
        <v/>
      </c>
      <c r="H305" t="str">
        <f t="shared" si="13"/>
        <v/>
      </c>
    </row>
    <row r="306" spans="5:8" x14ac:dyDescent="0.2">
      <c r="E306" t="str">
        <f t="shared" si="12"/>
        <v/>
      </c>
      <c r="H306" t="str">
        <f t="shared" si="13"/>
        <v/>
      </c>
    </row>
    <row r="307" spans="5:8" x14ac:dyDescent="0.2">
      <c r="E307" t="str">
        <f t="shared" si="12"/>
        <v/>
      </c>
      <c r="H307" t="str">
        <f t="shared" si="13"/>
        <v/>
      </c>
    </row>
    <row r="308" spans="5:8" x14ac:dyDescent="0.2">
      <c r="E308" t="str">
        <f t="shared" si="12"/>
        <v/>
      </c>
      <c r="H308" t="str">
        <f t="shared" si="13"/>
        <v/>
      </c>
    </row>
    <row r="309" spans="5:8" x14ac:dyDescent="0.2">
      <c r="E309" t="str">
        <f t="shared" si="12"/>
        <v/>
      </c>
      <c r="H309" t="str">
        <f t="shared" si="13"/>
        <v/>
      </c>
    </row>
    <row r="310" spans="5:8" x14ac:dyDescent="0.2">
      <c r="E310" t="str">
        <f t="shared" si="12"/>
        <v/>
      </c>
      <c r="H310" t="str">
        <f t="shared" si="13"/>
        <v/>
      </c>
    </row>
    <row r="311" spans="5:8" x14ac:dyDescent="0.2">
      <c r="E311" t="str">
        <f t="shared" si="12"/>
        <v/>
      </c>
      <c r="H311" t="str">
        <f t="shared" si="13"/>
        <v/>
      </c>
    </row>
    <row r="312" spans="5:8" x14ac:dyDescent="0.2">
      <c r="E312" t="str">
        <f t="shared" si="12"/>
        <v/>
      </c>
      <c r="H312" t="str">
        <f t="shared" si="13"/>
        <v/>
      </c>
    </row>
    <row r="313" spans="5:8" x14ac:dyDescent="0.2">
      <c r="E313" t="str">
        <f t="shared" si="12"/>
        <v/>
      </c>
      <c r="H313" t="str">
        <f t="shared" si="13"/>
        <v/>
      </c>
    </row>
    <row r="314" spans="5:8" x14ac:dyDescent="0.2">
      <c r="E314" t="str">
        <f t="shared" si="12"/>
        <v/>
      </c>
      <c r="H314" t="str">
        <f t="shared" si="13"/>
        <v/>
      </c>
    </row>
    <row r="315" spans="5:8" x14ac:dyDescent="0.2">
      <c r="E315" t="str">
        <f t="shared" si="12"/>
        <v/>
      </c>
      <c r="H315" t="str">
        <f t="shared" si="13"/>
        <v/>
      </c>
    </row>
    <row r="316" spans="5:8" x14ac:dyDescent="0.2">
      <c r="E316" t="str">
        <f t="shared" si="12"/>
        <v/>
      </c>
      <c r="H316" t="str">
        <f t="shared" si="13"/>
        <v/>
      </c>
    </row>
    <row r="317" spans="5:8" x14ac:dyDescent="0.2">
      <c r="E317" t="str">
        <f t="shared" si="12"/>
        <v/>
      </c>
      <c r="H317" t="str">
        <f t="shared" si="13"/>
        <v/>
      </c>
    </row>
    <row r="318" spans="5:8" x14ac:dyDescent="0.2">
      <c r="E318" t="str">
        <f t="shared" si="12"/>
        <v/>
      </c>
      <c r="H318" t="str">
        <f t="shared" si="13"/>
        <v/>
      </c>
    </row>
    <row r="319" spans="5:8" x14ac:dyDescent="0.2">
      <c r="E319" t="str">
        <f t="shared" si="12"/>
        <v/>
      </c>
      <c r="H319" t="str">
        <f t="shared" si="13"/>
        <v/>
      </c>
    </row>
    <row r="320" spans="5:8" x14ac:dyDescent="0.2">
      <c r="E320" t="str">
        <f t="shared" si="12"/>
        <v/>
      </c>
      <c r="H320" t="str">
        <f t="shared" si="13"/>
        <v/>
      </c>
    </row>
    <row r="321" spans="5:8" x14ac:dyDescent="0.2">
      <c r="E321" t="str">
        <f t="shared" si="12"/>
        <v/>
      </c>
      <c r="H321" t="str">
        <f t="shared" si="13"/>
        <v/>
      </c>
    </row>
    <row r="322" spans="5:8" x14ac:dyDescent="0.2">
      <c r="E322" t="str">
        <f t="shared" si="12"/>
        <v/>
      </c>
      <c r="H322" t="str">
        <f t="shared" si="13"/>
        <v/>
      </c>
    </row>
    <row r="323" spans="5:8" x14ac:dyDescent="0.2">
      <c r="E323" t="str">
        <f t="shared" si="12"/>
        <v/>
      </c>
      <c r="H323" t="str">
        <f t="shared" si="13"/>
        <v/>
      </c>
    </row>
    <row r="324" spans="5:8" x14ac:dyDescent="0.2">
      <c r="E324" t="str">
        <f t="shared" si="12"/>
        <v/>
      </c>
      <c r="H324" t="str">
        <f t="shared" si="13"/>
        <v/>
      </c>
    </row>
    <row r="325" spans="5:8" x14ac:dyDescent="0.2">
      <c r="E325" t="str">
        <f t="shared" si="12"/>
        <v/>
      </c>
      <c r="H325" t="str">
        <f t="shared" si="13"/>
        <v/>
      </c>
    </row>
    <row r="326" spans="5:8" x14ac:dyDescent="0.2">
      <c r="E326" t="str">
        <f t="shared" si="12"/>
        <v/>
      </c>
      <c r="H326" t="str">
        <f t="shared" si="13"/>
        <v/>
      </c>
    </row>
    <row r="327" spans="5:8" x14ac:dyDescent="0.2">
      <c r="E327" t="str">
        <f t="shared" si="12"/>
        <v/>
      </c>
      <c r="H327" t="str">
        <f t="shared" si="13"/>
        <v/>
      </c>
    </row>
    <row r="328" spans="5:8" x14ac:dyDescent="0.2">
      <c r="E328" t="str">
        <f t="shared" ref="E328:E391" si="14">IF(D328="","","Bittrex")</f>
        <v/>
      </c>
      <c r="H328" t="str">
        <f t="shared" ref="H328:H391" si="15">IF(G328="","","Bittrex")</f>
        <v/>
      </c>
    </row>
    <row r="329" spans="5:8" x14ac:dyDescent="0.2">
      <c r="E329" t="str">
        <f t="shared" si="14"/>
        <v/>
      </c>
      <c r="H329" t="str">
        <f t="shared" si="15"/>
        <v/>
      </c>
    </row>
    <row r="330" spans="5:8" x14ac:dyDescent="0.2">
      <c r="E330" t="str">
        <f t="shared" si="14"/>
        <v/>
      </c>
      <c r="H330" t="str">
        <f t="shared" si="15"/>
        <v/>
      </c>
    </row>
    <row r="331" spans="5:8" x14ac:dyDescent="0.2">
      <c r="E331" t="str">
        <f t="shared" si="14"/>
        <v/>
      </c>
      <c r="H331" t="str">
        <f t="shared" si="15"/>
        <v/>
      </c>
    </row>
    <row r="332" spans="5:8" x14ac:dyDescent="0.2">
      <c r="E332" t="str">
        <f t="shared" si="14"/>
        <v/>
      </c>
      <c r="H332" t="str">
        <f t="shared" si="15"/>
        <v/>
      </c>
    </row>
    <row r="333" spans="5:8" x14ac:dyDescent="0.2">
      <c r="E333" t="str">
        <f t="shared" si="14"/>
        <v/>
      </c>
      <c r="H333" t="str">
        <f t="shared" si="15"/>
        <v/>
      </c>
    </row>
    <row r="334" spans="5:8" x14ac:dyDescent="0.2">
      <c r="E334" t="str">
        <f t="shared" si="14"/>
        <v/>
      </c>
      <c r="H334" t="str">
        <f t="shared" si="15"/>
        <v/>
      </c>
    </row>
    <row r="335" spans="5:8" x14ac:dyDescent="0.2">
      <c r="E335" t="str">
        <f t="shared" si="14"/>
        <v/>
      </c>
      <c r="H335" t="str">
        <f t="shared" si="15"/>
        <v/>
      </c>
    </row>
    <row r="336" spans="5:8" x14ac:dyDescent="0.2">
      <c r="E336" t="str">
        <f t="shared" si="14"/>
        <v/>
      </c>
      <c r="H336" t="str">
        <f t="shared" si="15"/>
        <v/>
      </c>
    </row>
    <row r="337" spans="5:8" x14ac:dyDescent="0.2">
      <c r="E337" t="str">
        <f t="shared" si="14"/>
        <v/>
      </c>
      <c r="H337" t="str">
        <f t="shared" si="15"/>
        <v/>
      </c>
    </row>
    <row r="338" spans="5:8" x14ac:dyDescent="0.2">
      <c r="E338" t="str">
        <f t="shared" si="14"/>
        <v/>
      </c>
      <c r="H338" t="str">
        <f t="shared" si="15"/>
        <v/>
      </c>
    </row>
    <row r="339" spans="5:8" x14ac:dyDescent="0.2">
      <c r="E339" t="str">
        <f t="shared" si="14"/>
        <v/>
      </c>
      <c r="H339" t="str">
        <f t="shared" si="15"/>
        <v/>
      </c>
    </row>
    <row r="340" spans="5:8" x14ac:dyDescent="0.2">
      <c r="E340" t="str">
        <f t="shared" si="14"/>
        <v/>
      </c>
      <c r="H340" t="str">
        <f t="shared" si="15"/>
        <v/>
      </c>
    </row>
    <row r="341" spans="5:8" x14ac:dyDescent="0.2">
      <c r="E341" t="str">
        <f t="shared" si="14"/>
        <v/>
      </c>
      <c r="H341" t="str">
        <f t="shared" si="15"/>
        <v/>
      </c>
    </row>
    <row r="342" spans="5:8" x14ac:dyDescent="0.2">
      <c r="E342" t="str">
        <f t="shared" si="14"/>
        <v/>
      </c>
      <c r="H342" t="str">
        <f t="shared" si="15"/>
        <v/>
      </c>
    </row>
    <row r="343" spans="5:8" x14ac:dyDescent="0.2">
      <c r="E343" t="str">
        <f t="shared" si="14"/>
        <v/>
      </c>
      <c r="H343" t="str">
        <f t="shared" si="15"/>
        <v/>
      </c>
    </row>
    <row r="344" spans="5:8" x14ac:dyDescent="0.2">
      <c r="E344" t="str">
        <f t="shared" si="14"/>
        <v/>
      </c>
      <c r="H344" t="str">
        <f t="shared" si="15"/>
        <v/>
      </c>
    </row>
    <row r="345" spans="5:8" x14ac:dyDescent="0.2">
      <c r="E345" t="str">
        <f t="shared" si="14"/>
        <v/>
      </c>
      <c r="H345" t="str">
        <f t="shared" si="15"/>
        <v/>
      </c>
    </row>
    <row r="346" spans="5:8" x14ac:dyDescent="0.2">
      <c r="E346" t="str">
        <f t="shared" si="14"/>
        <v/>
      </c>
      <c r="H346" t="str">
        <f t="shared" si="15"/>
        <v/>
      </c>
    </row>
    <row r="347" spans="5:8" x14ac:dyDescent="0.2">
      <c r="E347" t="str">
        <f t="shared" si="14"/>
        <v/>
      </c>
      <c r="H347" t="str">
        <f t="shared" si="15"/>
        <v/>
      </c>
    </row>
    <row r="348" spans="5:8" x14ac:dyDescent="0.2">
      <c r="E348" t="str">
        <f t="shared" si="14"/>
        <v/>
      </c>
      <c r="H348" t="str">
        <f t="shared" si="15"/>
        <v/>
      </c>
    </row>
    <row r="349" spans="5:8" x14ac:dyDescent="0.2">
      <c r="E349" t="str">
        <f t="shared" si="14"/>
        <v/>
      </c>
      <c r="H349" t="str">
        <f t="shared" si="15"/>
        <v/>
      </c>
    </row>
    <row r="350" spans="5:8" x14ac:dyDescent="0.2">
      <c r="E350" t="str">
        <f t="shared" si="14"/>
        <v/>
      </c>
      <c r="H350" t="str">
        <f t="shared" si="15"/>
        <v/>
      </c>
    </row>
    <row r="351" spans="5:8" x14ac:dyDescent="0.2">
      <c r="E351" t="str">
        <f t="shared" si="14"/>
        <v/>
      </c>
      <c r="H351" t="str">
        <f t="shared" si="15"/>
        <v/>
      </c>
    </row>
    <row r="352" spans="5:8" x14ac:dyDescent="0.2">
      <c r="E352" t="str">
        <f t="shared" si="14"/>
        <v/>
      </c>
      <c r="H352" t="str">
        <f t="shared" si="15"/>
        <v/>
      </c>
    </row>
    <row r="353" spans="5:8" x14ac:dyDescent="0.2">
      <c r="E353" t="str">
        <f t="shared" si="14"/>
        <v/>
      </c>
      <c r="H353" t="str">
        <f t="shared" si="15"/>
        <v/>
      </c>
    </row>
    <row r="354" spans="5:8" x14ac:dyDescent="0.2">
      <c r="E354" t="str">
        <f t="shared" si="14"/>
        <v/>
      </c>
      <c r="H354" t="str">
        <f t="shared" si="15"/>
        <v/>
      </c>
    </row>
    <row r="355" spans="5:8" x14ac:dyDescent="0.2">
      <c r="E355" t="str">
        <f t="shared" si="14"/>
        <v/>
      </c>
      <c r="H355" t="str">
        <f t="shared" si="15"/>
        <v/>
      </c>
    </row>
    <row r="356" spans="5:8" x14ac:dyDescent="0.2">
      <c r="E356" t="str">
        <f t="shared" si="14"/>
        <v/>
      </c>
      <c r="H356" t="str">
        <f t="shared" si="15"/>
        <v/>
      </c>
    </row>
    <row r="357" spans="5:8" x14ac:dyDescent="0.2">
      <c r="E357" t="str">
        <f t="shared" si="14"/>
        <v/>
      </c>
      <c r="H357" t="str">
        <f t="shared" si="15"/>
        <v/>
      </c>
    </row>
    <row r="358" spans="5:8" x14ac:dyDescent="0.2">
      <c r="E358" t="str">
        <f t="shared" si="14"/>
        <v/>
      </c>
      <c r="H358" t="str">
        <f t="shared" si="15"/>
        <v/>
      </c>
    </row>
    <row r="359" spans="5:8" x14ac:dyDescent="0.2">
      <c r="E359" t="str">
        <f t="shared" si="14"/>
        <v/>
      </c>
      <c r="H359" t="str">
        <f t="shared" si="15"/>
        <v/>
      </c>
    </row>
    <row r="360" spans="5:8" x14ac:dyDescent="0.2">
      <c r="E360" t="str">
        <f t="shared" si="14"/>
        <v/>
      </c>
      <c r="H360" t="str">
        <f t="shared" si="15"/>
        <v/>
      </c>
    </row>
    <row r="361" spans="5:8" x14ac:dyDescent="0.2">
      <c r="E361" t="str">
        <f t="shared" si="14"/>
        <v/>
      </c>
      <c r="H361" t="str">
        <f t="shared" si="15"/>
        <v/>
      </c>
    </row>
    <row r="362" spans="5:8" x14ac:dyDescent="0.2">
      <c r="E362" t="str">
        <f t="shared" si="14"/>
        <v/>
      </c>
      <c r="H362" t="str">
        <f t="shared" si="15"/>
        <v/>
      </c>
    </row>
    <row r="363" spans="5:8" x14ac:dyDescent="0.2">
      <c r="E363" t="str">
        <f t="shared" si="14"/>
        <v/>
      </c>
      <c r="H363" t="str">
        <f t="shared" si="15"/>
        <v/>
      </c>
    </row>
    <row r="364" spans="5:8" x14ac:dyDescent="0.2">
      <c r="E364" t="str">
        <f t="shared" si="14"/>
        <v/>
      </c>
      <c r="H364" t="str">
        <f t="shared" si="15"/>
        <v/>
      </c>
    </row>
    <row r="365" spans="5:8" x14ac:dyDescent="0.2">
      <c r="E365" t="str">
        <f t="shared" si="14"/>
        <v/>
      </c>
      <c r="H365" t="str">
        <f t="shared" si="15"/>
        <v/>
      </c>
    </row>
    <row r="366" spans="5:8" x14ac:dyDescent="0.2">
      <c r="E366" t="str">
        <f t="shared" si="14"/>
        <v/>
      </c>
      <c r="H366" t="str">
        <f t="shared" si="15"/>
        <v/>
      </c>
    </row>
    <row r="367" spans="5:8" x14ac:dyDescent="0.2">
      <c r="E367" t="str">
        <f t="shared" si="14"/>
        <v/>
      </c>
      <c r="H367" t="str">
        <f t="shared" si="15"/>
        <v/>
      </c>
    </row>
    <row r="368" spans="5:8" x14ac:dyDescent="0.2">
      <c r="E368" t="str">
        <f t="shared" si="14"/>
        <v/>
      </c>
      <c r="H368" t="str">
        <f t="shared" si="15"/>
        <v/>
      </c>
    </row>
    <row r="369" spans="5:8" x14ac:dyDescent="0.2">
      <c r="E369" t="str">
        <f t="shared" si="14"/>
        <v/>
      </c>
      <c r="H369" t="str">
        <f t="shared" si="15"/>
        <v/>
      </c>
    </row>
    <row r="370" spans="5:8" x14ac:dyDescent="0.2">
      <c r="E370" t="str">
        <f t="shared" si="14"/>
        <v/>
      </c>
      <c r="H370" t="str">
        <f t="shared" si="15"/>
        <v/>
      </c>
    </row>
    <row r="371" spans="5:8" x14ac:dyDescent="0.2">
      <c r="E371" t="str">
        <f t="shared" si="14"/>
        <v/>
      </c>
      <c r="H371" t="str">
        <f t="shared" si="15"/>
        <v/>
      </c>
    </row>
    <row r="372" spans="5:8" x14ac:dyDescent="0.2">
      <c r="E372" t="str">
        <f t="shared" si="14"/>
        <v/>
      </c>
      <c r="H372" t="str">
        <f t="shared" si="15"/>
        <v/>
      </c>
    </row>
    <row r="373" spans="5:8" x14ac:dyDescent="0.2">
      <c r="E373" t="str">
        <f t="shared" si="14"/>
        <v/>
      </c>
      <c r="H373" t="str">
        <f t="shared" si="15"/>
        <v/>
      </c>
    </row>
    <row r="374" spans="5:8" x14ac:dyDescent="0.2">
      <c r="E374" t="str">
        <f t="shared" si="14"/>
        <v/>
      </c>
      <c r="H374" t="str">
        <f t="shared" si="15"/>
        <v/>
      </c>
    </row>
    <row r="375" spans="5:8" x14ac:dyDescent="0.2">
      <c r="E375" t="str">
        <f t="shared" si="14"/>
        <v/>
      </c>
      <c r="H375" t="str">
        <f t="shared" si="15"/>
        <v/>
      </c>
    </row>
    <row r="376" spans="5:8" x14ac:dyDescent="0.2">
      <c r="E376" t="str">
        <f t="shared" si="14"/>
        <v/>
      </c>
      <c r="H376" t="str">
        <f t="shared" si="15"/>
        <v/>
      </c>
    </row>
    <row r="377" spans="5:8" x14ac:dyDescent="0.2">
      <c r="E377" t="str">
        <f t="shared" si="14"/>
        <v/>
      </c>
      <c r="H377" t="str">
        <f t="shared" si="15"/>
        <v/>
      </c>
    </row>
    <row r="378" spans="5:8" x14ac:dyDescent="0.2">
      <c r="E378" t="str">
        <f t="shared" si="14"/>
        <v/>
      </c>
      <c r="H378" t="str">
        <f t="shared" si="15"/>
        <v/>
      </c>
    </row>
    <row r="379" spans="5:8" x14ac:dyDescent="0.2">
      <c r="E379" t="str">
        <f t="shared" si="14"/>
        <v/>
      </c>
      <c r="H379" t="str">
        <f t="shared" si="15"/>
        <v/>
      </c>
    </row>
    <row r="380" spans="5:8" x14ac:dyDescent="0.2">
      <c r="E380" t="str">
        <f t="shared" si="14"/>
        <v/>
      </c>
      <c r="H380" t="str">
        <f t="shared" si="15"/>
        <v/>
      </c>
    </row>
    <row r="381" spans="5:8" x14ac:dyDescent="0.2">
      <c r="E381" t="str">
        <f t="shared" si="14"/>
        <v/>
      </c>
      <c r="H381" t="str">
        <f t="shared" si="15"/>
        <v/>
      </c>
    </row>
    <row r="382" spans="5:8" x14ac:dyDescent="0.2">
      <c r="E382" t="str">
        <f t="shared" si="14"/>
        <v/>
      </c>
      <c r="H382" t="str">
        <f t="shared" si="15"/>
        <v/>
      </c>
    </row>
    <row r="383" spans="5:8" x14ac:dyDescent="0.2">
      <c r="E383" t="str">
        <f t="shared" si="14"/>
        <v/>
      </c>
      <c r="H383" t="str">
        <f t="shared" si="15"/>
        <v/>
      </c>
    </row>
    <row r="384" spans="5:8" x14ac:dyDescent="0.2">
      <c r="E384" t="str">
        <f t="shared" si="14"/>
        <v/>
      </c>
      <c r="H384" t="str">
        <f t="shared" si="15"/>
        <v/>
      </c>
    </row>
    <row r="385" spans="5:8" x14ac:dyDescent="0.2">
      <c r="E385" t="str">
        <f t="shared" si="14"/>
        <v/>
      </c>
      <c r="H385" t="str">
        <f t="shared" si="15"/>
        <v/>
      </c>
    </row>
    <row r="386" spans="5:8" x14ac:dyDescent="0.2">
      <c r="E386" t="str">
        <f t="shared" si="14"/>
        <v/>
      </c>
      <c r="H386" t="str">
        <f t="shared" si="15"/>
        <v/>
      </c>
    </row>
    <row r="387" spans="5:8" x14ac:dyDescent="0.2">
      <c r="E387" t="str">
        <f t="shared" si="14"/>
        <v/>
      </c>
      <c r="H387" t="str">
        <f t="shared" si="15"/>
        <v/>
      </c>
    </row>
    <row r="388" spans="5:8" x14ac:dyDescent="0.2">
      <c r="E388" t="str">
        <f t="shared" si="14"/>
        <v/>
      </c>
      <c r="H388" t="str">
        <f t="shared" si="15"/>
        <v/>
      </c>
    </row>
    <row r="389" spans="5:8" x14ac:dyDescent="0.2">
      <c r="E389" t="str">
        <f t="shared" si="14"/>
        <v/>
      </c>
      <c r="H389" t="str">
        <f t="shared" si="15"/>
        <v/>
      </c>
    </row>
    <row r="390" spans="5:8" x14ac:dyDescent="0.2">
      <c r="E390" t="str">
        <f t="shared" si="14"/>
        <v/>
      </c>
      <c r="H390" t="str">
        <f t="shared" si="15"/>
        <v/>
      </c>
    </row>
    <row r="391" spans="5:8" x14ac:dyDescent="0.2">
      <c r="E391" t="str">
        <f t="shared" si="14"/>
        <v/>
      </c>
      <c r="H391" t="str">
        <f t="shared" si="15"/>
        <v/>
      </c>
    </row>
    <row r="392" spans="5:8" x14ac:dyDescent="0.2">
      <c r="E392" t="str">
        <f t="shared" ref="E392:E455" si="16">IF(D392="","","Bittrex")</f>
        <v/>
      </c>
      <c r="H392" t="str">
        <f t="shared" ref="H392:H455" si="17">IF(G392="","","Bittrex")</f>
        <v/>
      </c>
    </row>
    <row r="393" spans="5:8" x14ac:dyDescent="0.2">
      <c r="E393" t="str">
        <f t="shared" si="16"/>
        <v/>
      </c>
      <c r="H393" t="str">
        <f t="shared" si="17"/>
        <v/>
      </c>
    </row>
    <row r="394" spans="5:8" x14ac:dyDescent="0.2">
      <c r="E394" t="str">
        <f t="shared" si="16"/>
        <v/>
      </c>
      <c r="H394" t="str">
        <f t="shared" si="17"/>
        <v/>
      </c>
    </row>
    <row r="395" spans="5:8" x14ac:dyDescent="0.2">
      <c r="E395" t="str">
        <f t="shared" si="16"/>
        <v/>
      </c>
      <c r="H395" t="str">
        <f t="shared" si="17"/>
        <v/>
      </c>
    </row>
    <row r="396" spans="5:8" x14ac:dyDescent="0.2">
      <c r="E396" t="str">
        <f t="shared" si="16"/>
        <v/>
      </c>
      <c r="H396" t="str">
        <f t="shared" si="17"/>
        <v/>
      </c>
    </row>
    <row r="397" spans="5:8" x14ac:dyDescent="0.2">
      <c r="E397" t="str">
        <f t="shared" si="16"/>
        <v/>
      </c>
      <c r="H397" t="str">
        <f t="shared" si="17"/>
        <v/>
      </c>
    </row>
    <row r="398" spans="5:8" x14ac:dyDescent="0.2">
      <c r="E398" t="str">
        <f t="shared" si="16"/>
        <v/>
      </c>
      <c r="H398" t="str">
        <f t="shared" si="17"/>
        <v/>
      </c>
    </row>
    <row r="399" spans="5:8" x14ac:dyDescent="0.2">
      <c r="E399" t="str">
        <f t="shared" si="16"/>
        <v/>
      </c>
      <c r="H399" t="str">
        <f t="shared" si="17"/>
        <v/>
      </c>
    </row>
    <row r="400" spans="5:8" x14ac:dyDescent="0.2">
      <c r="E400" t="str">
        <f t="shared" si="16"/>
        <v/>
      </c>
      <c r="H400" t="str">
        <f t="shared" si="17"/>
        <v/>
      </c>
    </row>
    <row r="401" spans="5:8" x14ac:dyDescent="0.2">
      <c r="E401" t="str">
        <f t="shared" si="16"/>
        <v/>
      </c>
      <c r="H401" t="str">
        <f t="shared" si="17"/>
        <v/>
      </c>
    </row>
    <row r="402" spans="5:8" x14ac:dyDescent="0.2">
      <c r="E402" t="str">
        <f t="shared" si="16"/>
        <v/>
      </c>
      <c r="H402" t="str">
        <f t="shared" si="17"/>
        <v/>
      </c>
    </row>
    <row r="403" spans="5:8" x14ac:dyDescent="0.2">
      <c r="E403" t="str">
        <f t="shared" si="16"/>
        <v/>
      </c>
      <c r="H403" t="str">
        <f t="shared" si="17"/>
        <v/>
      </c>
    </row>
    <row r="404" spans="5:8" x14ac:dyDescent="0.2">
      <c r="E404" t="str">
        <f t="shared" si="16"/>
        <v/>
      </c>
      <c r="H404" t="str">
        <f t="shared" si="17"/>
        <v/>
      </c>
    </row>
    <row r="405" spans="5:8" x14ac:dyDescent="0.2">
      <c r="E405" t="str">
        <f t="shared" si="16"/>
        <v/>
      </c>
      <c r="H405" t="str">
        <f t="shared" si="17"/>
        <v/>
      </c>
    </row>
    <row r="406" spans="5:8" x14ac:dyDescent="0.2">
      <c r="E406" t="str">
        <f t="shared" si="16"/>
        <v/>
      </c>
      <c r="H406" t="str">
        <f t="shared" si="17"/>
        <v/>
      </c>
    </row>
    <row r="407" spans="5:8" x14ac:dyDescent="0.2">
      <c r="E407" t="str">
        <f t="shared" si="16"/>
        <v/>
      </c>
      <c r="H407" t="str">
        <f t="shared" si="17"/>
        <v/>
      </c>
    </row>
    <row r="408" spans="5:8" x14ac:dyDescent="0.2">
      <c r="E408" t="str">
        <f t="shared" si="16"/>
        <v/>
      </c>
      <c r="H408" t="str">
        <f t="shared" si="17"/>
        <v/>
      </c>
    </row>
    <row r="409" spans="5:8" x14ac:dyDescent="0.2">
      <c r="E409" t="str">
        <f t="shared" si="16"/>
        <v/>
      </c>
      <c r="H409" t="str">
        <f t="shared" si="17"/>
        <v/>
      </c>
    </row>
    <row r="410" spans="5:8" x14ac:dyDescent="0.2">
      <c r="E410" t="str">
        <f t="shared" si="16"/>
        <v/>
      </c>
      <c r="H410" t="str">
        <f t="shared" si="17"/>
        <v/>
      </c>
    </row>
    <row r="411" spans="5:8" x14ac:dyDescent="0.2">
      <c r="E411" t="str">
        <f t="shared" si="16"/>
        <v/>
      </c>
      <c r="H411" t="str">
        <f t="shared" si="17"/>
        <v/>
      </c>
    </row>
    <row r="412" spans="5:8" x14ac:dyDescent="0.2">
      <c r="E412" t="str">
        <f t="shared" si="16"/>
        <v/>
      </c>
      <c r="H412" t="str">
        <f t="shared" si="17"/>
        <v/>
      </c>
    </row>
    <row r="413" spans="5:8" x14ac:dyDescent="0.2">
      <c r="E413" t="str">
        <f t="shared" si="16"/>
        <v/>
      </c>
      <c r="H413" t="str">
        <f t="shared" si="17"/>
        <v/>
      </c>
    </row>
    <row r="414" spans="5:8" x14ac:dyDescent="0.2">
      <c r="E414" t="str">
        <f t="shared" si="16"/>
        <v/>
      </c>
      <c r="H414" t="str">
        <f t="shared" si="17"/>
        <v/>
      </c>
    </row>
    <row r="415" spans="5:8" x14ac:dyDescent="0.2">
      <c r="E415" t="str">
        <f t="shared" si="16"/>
        <v/>
      </c>
      <c r="H415" t="str">
        <f t="shared" si="17"/>
        <v/>
      </c>
    </row>
    <row r="416" spans="5:8" x14ac:dyDescent="0.2">
      <c r="E416" t="str">
        <f t="shared" si="16"/>
        <v/>
      </c>
      <c r="H416" t="str">
        <f t="shared" si="17"/>
        <v/>
      </c>
    </row>
    <row r="417" spans="5:8" x14ac:dyDescent="0.2">
      <c r="E417" t="str">
        <f t="shared" si="16"/>
        <v/>
      </c>
      <c r="H417" t="str">
        <f t="shared" si="17"/>
        <v/>
      </c>
    </row>
    <row r="418" spans="5:8" x14ac:dyDescent="0.2">
      <c r="E418" t="str">
        <f t="shared" si="16"/>
        <v/>
      </c>
      <c r="H418" t="str">
        <f t="shared" si="17"/>
        <v/>
      </c>
    </row>
    <row r="419" spans="5:8" x14ac:dyDescent="0.2">
      <c r="E419" t="str">
        <f t="shared" si="16"/>
        <v/>
      </c>
      <c r="H419" t="str">
        <f t="shared" si="17"/>
        <v/>
      </c>
    </row>
    <row r="420" spans="5:8" x14ac:dyDescent="0.2">
      <c r="E420" t="str">
        <f t="shared" si="16"/>
        <v/>
      </c>
      <c r="H420" t="str">
        <f t="shared" si="17"/>
        <v/>
      </c>
    </row>
    <row r="421" spans="5:8" x14ac:dyDescent="0.2">
      <c r="E421" t="str">
        <f t="shared" si="16"/>
        <v/>
      </c>
      <c r="H421" t="str">
        <f t="shared" si="17"/>
        <v/>
      </c>
    </row>
    <row r="422" spans="5:8" x14ac:dyDescent="0.2">
      <c r="E422" t="str">
        <f t="shared" si="16"/>
        <v/>
      </c>
      <c r="H422" t="str">
        <f t="shared" si="17"/>
        <v/>
      </c>
    </row>
    <row r="423" spans="5:8" x14ac:dyDescent="0.2">
      <c r="E423" t="str">
        <f t="shared" si="16"/>
        <v/>
      </c>
      <c r="H423" t="str">
        <f t="shared" si="17"/>
        <v/>
      </c>
    </row>
    <row r="424" spans="5:8" x14ac:dyDescent="0.2">
      <c r="E424" t="str">
        <f t="shared" si="16"/>
        <v/>
      </c>
      <c r="H424" t="str">
        <f t="shared" si="17"/>
        <v/>
      </c>
    </row>
    <row r="425" spans="5:8" x14ac:dyDescent="0.2">
      <c r="E425" t="str">
        <f t="shared" si="16"/>
        <v/>
      </c>
      <c r="H425" t="str">
        <f t="shared" si="17"/>
        <v/>
      </c>
    </row>
    <row r="426" spans="5:8" x14ac:dyDescent="0.2">
      <c r="E426" t="str">
        <f t="shared" si="16"/>
        <v/>
      </c>
      <c r="H426" t="str">
        <f t="shared" si="17"/>
        <v/>
      </c>
    </row>
    <row r="427" spans="5:8" x14ac:dyDescent="0.2">
      <c r="E427" t="str">
        <f t="shared" si="16"/>
        <v/>
      </c>
      <c r="H427" t="str">
        <f t="shared" si="17"/>
        <v/>
      </c>
    </row>
    <row r="428" spans="5:8" x14ac:dyDescent="0.2">
      <c r="E428" t="str">
        <f t="shared" si="16"/>
        <v/>
      </c>
      <c r="H428" t="str">
        <f t="shared" si="17"/>
        <v/>
      </c>
    </row>
    <row r="429" spans="5:8" x14ac:dyDescent="0.2">
      <c r="E429" t="str">
        <f t="shared" si="16"/>
        <v/>
      </c>
      <c r="H429" t="str">
        <f t="shared" si="17"/>
        <v/>
      </c>
    </row>
    <row r="430" spans="5:8" x14ac:dyDescent="0.2">
      <c r="E430" t="str">
        <f t="shared" si="16"/>
        <v/>
      </c>
      <c r="H430" t="str">
        <f t="shared" si="17"/>
        <v/>
      </c>
    </row>
    <row r="431" spans="5:8" x14ac:dyDescent="0.2">
      <c r="E431" t="str">
        <f t="shared" si="16"/>
        <v/>
      </c>
      <c r="H431" t="str">
        <f t="shared" si="17"/>
        <v/>
      </c>
    </row>
    <row r="432" spans="5:8" x14ac:dyDescent="0.2">
      <c r="E432" t="str">
        <f t="shared" si="16"/>
        <v/>
      </c>
      <c r="H432" t="str">
        <f t="shared" si="17"/>
        <v/>
      </c>
    </row>
    <row r="433" spans="5:8" x14ac:dyDescent="0.2">
      <c r="E433" t="str">
        <f t="shared" si="16"/>
        <v/>
      </c>
      <c r="H433" t="str">
        <f t="shared" si="17"/>
        <v/>
      </c>
    </row>
    <row r="434" spans="5:8" x14ac:dyDescent="0.2">
      <c r="E434" t="str">
        <f t="shared" si="16"/>
        <v/>
      </c>
      <c r="H434" t="str">
        <f t="shared" si="17"/>
        <v/>
      </c>
    </row>
    <row r="435" spans="5:8" x14ac:dyDescent="0.2">
      <c r="E435" t="str">
        <f t="shared" si="16"/>
        <v/>
      </c>
      <c r="H435" t="str">
        <f t="shared" si="17"/>
        <v/>
      </c>
    </row>
    <row r="436" spans="5:8" x14ac:dyDescent="0.2">
      <c r="E436" t="str">
        <f t="shared" si="16"/>
        <v/>
      </c>
      <c r="H436" t="str">
        <f t="shared" si="17"/>
        <v/>
      </c>
    </row>
    <row r="437" spans="5:8" x14ac:dyDescent="0.2">
      <c r="E437" t="str">
        <f t="shared" si="16"/>
        <v/>
      </c>
      <c r="H437" t="str">
        <f t="shared" si="17"/>
        <v/>
      </c>
    </row>
    <row r="438" spans="5:8" x14ac:dyDescent="0.2">
      <c r="E438" t="str">
        <f t="shared" si="16"/>
        <v/>
      </c>
      <c r="H438" t="str">
        <f t="shared" si="17"/>
        <v/>
      </c>
    </row>
    <row r="439" spans="5:8" x14ac:dyDescent="0.2">
      <c r="E439" t="str">
        <f t="shared" si="16"/>
        <v/>
      </c>
      <c r="H439" t="str">
        <f t="shared" si="17"/>
        <v/>
      </c>
    </row>
    <row r="440" spans="5:8" x14ac:dyDescent="0.2">
      <c r="E440" t="str">
        <f t="shared" si="16"/>
        <v/>
      </c>
      <c r="H440" t="str">
        <f t="shared" si="17"/>
        <v/>
      </c>
    </row>
    <row r="441" spans="5:8" x14ac:dyDescent="0.2">
      <c r="E441" t="str">
        <f t="shared" si="16"/>
        <v/>
      </c>
      <c r="H441" t="str">
        <f t="shared" si="17"/>
        <v/>
      </c>
    </row>
    <row r="442" spans="5:8" x14ac:dyDescent="0.2">
      <c r="E442" t="str">
        <f t="shared" si="16"/>
        <v/>
      </c>
      <c r="H442" t="str">
        <f t="shared" si="17"/>
        <v/>
      </c>
    </row>
    <row r="443" spans="5:8" x14ac:dyDescent="0.2">
      <c r="E443" t="str">
        <f t="shared" si="16"/>
        <v/>
      </c>
      <c r="H443" t="str">
        <f t="shared" si="17"/>
        <v/>
      </c>
    </row>
    <row r="444" spans="5:8" x14ac:dyDescent="0.2">
      <c r="E444" t="str">
        <f t="shared" si="16"/>
        <v/>
      </c>
      <c r="H444" t="str">
        <f t="shared" si="17"/>
        <v/>
      </c>
    </row>
    <row r="445" spans="5:8" x14ac:dyDescent="0.2">
      <c r="E445" t="str">
        <f t="shared" si="16"/>
        <v/>
      </c>
      <c r="H445" t="str">
        <f t="shared" si="17"/>
        <v/>
      </c>
    </row>
    <row r="446" spans="5:8" x14ac:dyDescent="0.2">
      <c r="E446" t="str">
        <f t="shared" si="16"/>
        <v/>
      </c>
      <c r="H446" t="str">
        <f t="shared" si="17"/>
        <v/>
      </c>
    </row>
    <row r="447" spans="5:8" x14ac:dyDescent="0.2">
      <c r="E447" t="str">
        <f t="shared" si="16"/>
        <v/>
      </c>
      <c r="H447" t="str">
        <f t="shared" si="17"/>
        <v/>
      </c>
    </row>
    <row r="448" spans="5:8" x14ac:dyDescent="0.2">
      <c r="E448" t="str">
        <f t="shared" si="16"/>
        <v/>
      </c>
      <c r="H448" t="str">
        <f t="shared" si="17"/>
        <v/>
      </c>
    </row>
    <row r="449" spans="5:8" x14ac:dyDescent="0.2">
      <c r="E449" t="str">
        <f t="shared" si="16"/>
        <v/>
      </c>
      <c r="H449" t="str">
        <f t="shared" si="17"/>
        <v/>
      </c>
    </row>
    <row r="450" spans="5:8" x14ac:dyDescent="0.2">
      <c r="E450" t="str">
        <f t="shared" si="16"/>
        <v/>
      </c>
      <c r="H450" t="str">
        <f t="shared" si="17"/>
        <v/>
      </c>
    </row>
    <row r="451" spans="5:8" x14ac:dyDescent="0.2">
      <c r="E451" t="str">
        <f t="shared" si="16"/>
        <v/>
      </c>
      <c r="H451" t="str">
        <f t="shared" si="17"/>
        <v/>
      </c>
    </row>
    <row r="452" spans="5:8" x14ac:dyDescent="0.2">
      <c r="E452" t="str">
        <f t="shared" si="16"/>
        <v/>
      </c>
      <c r="H452" t="str">
        <f t="shared" si="17"/>
        <v/>
      </c>
    </row>
    <row r="453" spans="5:8" x14ac:dyDescent="0.2">
      <c r="E453" t="str">
        <f t="shared" si="16"/>
        <v/>
      </c>
      <c r="H453" t="str">
        <f t="shared" si="17"/>
        <v/>
      </c>
    </row>
    <row r="454" spans="5:8" x14ac:dyDescent="0.2">
      <c r="E454" t="str">
        <f t="shared" si="16"/>
        <v/>
      </c>
      <c r="H454" t="str">
        <f t="shared" si="17"/>
        <v/>
      </c>
    </row>
    <row r="455" spans="5:8" x14ac:dyDescent="0.2">
      <c r="E455" t="str">
        <f t="shared" si="16"/>
        <v/>
      </c>
      <c r="H455" t="str">
        <f t="shared" si="17"/>
        <v/>
      </c>
    </row>
    <row r="456" spans="5:8" x14ac:dyDescent="0.2">
      <c r="E456" t="str">
        <f t="shared" ref="E456:E519" si="18">IF(D456="","","Bittrex")</f>
        <v/>
      </c>
      <c r="H456" t="str">
        <f t="shared" ref="H456:H519" si="19">IF(G456="","","Bittrex")</f>
        <v/>
      </c>
    </row>
    <row r="457" spans="5:8" x14ac:dyDescent="0.2">
      <c r="E457" t="str">
        <f t="shared" si="18"/>
        <v/>
      </c>
      <c r="H457" t="str">
        <f t="shared" si="19"/>
        <v/>
      </c>
    </row>
    <row r="458" spans="5:8" x14ac:dyDescent="0.2">
      <c r="E458" t="str">
        <f t="shared" si="18"/>
        <v/>
      </c>
      <c r="H458" t="str">
        <f t="shared" si="19"/>
        <v/>
      </c>
    </row>
    <row r="459" spans="5:8" x14ac:dyDescent="0.2">
      <c r="E459" t="str">
        <f t="shared" si="18"/>
        <v/>
      </c>
      <c r="H459" t="str">
        <f t="shared" si="19"/>
        <v/>
      </c>
    </row>
    <row r="460" spans="5:8" x14ac:dyDescent="0.2">
      <c r="E460" t="str">
        <f t="shared" si="18"/>
        <v/>
      </c>
      <c r="H460" t="str">
        <f t="shared" si="19"/>
        <v/>
      </c>
    </row>
    <row r="461" spans="5:8" x14ac:dyDescent="0.2">
      <c r="E461" t="str">
        <f t="shared" si="18"/>
        <v/>
      </c>
      <c r="H461" t="str">
        <f t="shared" si="19"/>
        <v/>
      </c>
    </row>
    <row r="462" spans="5:8" x14ac:dyDescent="0.2">
      <c r="E462" t="str">
        <f t="shared" si="18"/>
        <v/>
      </c>
      <c r="H462" t="str">
        <f t="shared" si="19"/>
        <v/>
      </c>
    </row>
    <row r="463" spans="5:8" x14ac:dyDescent="0.2">
      <c r="E463" t="str">
        <f t="shared" si="18"/>
        <v/>
      </c>
      <c r="H463" t="str">
        <f t="shared" si="19"/>
        <v/>
      </c>
    </row>
    <row r="464" spans="5:8" x14ac:dyDescent="0.2">
      <c r="E464" t="str">
        <f t="shared" si="18"/>
        <v/>
      </c>
      <c r="H464" t="str">
        <f t="shared" si="19"/>
        <v/>
      </c>
    </row>
    <row r="465" spans="5:8" x14ac:dyDescent="0.2">
      <c r="E465" t="str">
        <f t="shared" si="18"/>
        <v/>
      </c>
      <c r="H465" t="str">
        <f t="shared" si="19"/>
        <v/>
      </c>
    </row>
    <row r="466" spans="5:8" x14ac:dyDescent="0.2">
      <c r="E466" t="str">
        <f t="shared" si="18"/>
        <v/>
      </c>
      <c r="H466" t="str">
        <f t="shared" si="19"/>
        <v/>
      </c>
    </row>
    <row r="467" spans="5:8" x14ac:dyDescent="0.2">
      <c r="E467" t="str">
        <f t="shared" si="18"/>
        <v/>
      </c>
      <c r="H467" t="str">
        <f t="shared" si="19"/>
        <v/>
      </c>
    </row>
    <row r="468" spans="5:8" x14ac:dyDescent="0.2">
      <c r="E468" t="str">
        <f t="shared" si="18"/>
        <v/>
      </c>
      <c r="H468" t="str">
        <f t="shared" si="19"/>
        <v/>
      </c>
    </row>
    <row r="469" spans="5:8" x14ac:dyDescent="0.2">
      <c r="E469" t="str">
        <f t="shared" si="18"/>
        <v/>
      </c>
      <c r="H469" t="str">
        <f t="shared" si="19"/>
        <v/>
      </c>
    </row>
    <row r="470" spans="5:8" x14ac:dyDescent="0.2">
      <c r="E470" t="str">
        <f t="shared" si="18"/>
        <v/>
      </c>
      <c r="H470" t="str">
        <f t="shared" si="19"/>
        <v/>
      </c>
    </row>
    <row r="471" spans="5:8" x14ac:dyDescent="0.2">
      <c r="E471" t="str">
        <f t="shared" si="18"/>
        <v/>
      </c>
      <c r="H471" t="str">
        <f t="shared" si="19"/>
        <v/>
      </c>
    </row>
    <row r="472" spans="5:8" x14ac:dyDescent="0.2">
      <c r="E472" t="str">
        <f t="shared" si="18"/>
        <v/>
      </c>
      <c r="H472" t="str">
        <f t="shared" si="19"/>
        <v/>
      </c>
    </row>
    <row r="473" spans="5:8" x14ac:dyDescent="0.2">
      <c r="E473" t="str">
        <f t="shared" si="18"/>
        <v/>
      </c>
      <c r="H473" t="str">
        <f t="shared" si="19"/>
        <v/>
      </c>
    </row>
    <row r="474" spans="5:8" x14ac:dyDescent="0.2">
      <c r="E474" t="str">
        <f t="shared" si="18"/>
        <v/>
      </c>
      <c r="H474" t="str">
        <f t="shared" si="19"/>
        <v/>
      </c>
    </row>
    <row r="475" spans="5:8" x14ac:dyDescent="0.2">
      <c r="E475" t="str">
        <f t="shared" si="18"/>
        <v/>
      </c>
      <c r="H475" t="str">
        <f t="shared" si="19"/>
        <v/>
      </c>
    </row>
    <row r="476" spans="5:8" x14ac:dyDescent="0.2">
      <c r="E476" t="str">
        <f t="shared" si="18"/>
        <v/>
      </c>
      <c r="H476" t="str">
        <f t="shared" si="19"/>
        <v/>
      </c>
    </row>
    <row r="477" spans="5:8" x14ac:dyDescent="0.2">
      <c r="E477" t="str">
        <f t="shared" si="18"/>
        <v/>
      </c>
      <c r="H477" t="str">
        <f t="shared" si="19"/>
        <v/>
      </c>
    </row>
    <row r="478" spans="5:8" x14ac:dyDescent="0.2">
      <c r="E478" t="str">
        <f t="shared" si="18"/>
        <v/>
      </c>
      <c r="H478" t="str">
        <f t="shared" si="19"/>
        <v/>
      </c>
    </row>
    <row r="479" spans="5:8" x14ac:dyDescent="0.2">
      <c r="E479" t="str">
        <f t="shared" si="18"/>
        <v/>
      </c>
      <c r="H479" t="str">
        <f t="shared" si="19"/>
        <v/>
      </c>
    </row>
    <row r="480" spans="5:8" x14ac:dyDescent="0.2">
      <c r="E480" t="str">
        <f t="shared" si="18"/>
        <v/>
      </c>
      <c r="H480" t="str">
        <f t="shared" si="19"/>
        <v/>
      </c>
    </row>
    <row r="481" spans="5:8" x14ac:dyDescent="0.2">
      <c r="E481" t="str">
        <f t="shared" si="18"/>
        <v/>
      </c>
      <c r="H481" t="str">
        <f t="shared" si="19"/>
        <v/>
      </c>
    </row>
    <row r="482" spans="5:8" x14ac:dyDescent="0.2">
      <c r="E482" t="str">
        <f t="shared" si="18"/>
        <v/>
      </c>
      <c r="H482" t="str">
        <f t="shared" si="19"/>
        <v/>
      </c>
    </row>
    <row r="483" spans="5:8" x14ac:dyDescent="0.2">
      <c r="E483" t="str">
        <f t="shared" si="18"/>
        <v/>
      </c>
      <c r="H483" t="str">
        <f t="shared" si="19"/>
        <v/>
      </c>
    </row>
    <row r="484" spans="5:8" x14ac:dyDescent="0.2">
      <c r="E484" t="str">
        <f t="shared" si="18"/>
        <v/>
      </c>
      <c r="H484" t="str">
        <f t="shared" si="19"/>
        <v/>
      </c>
    </row>
    <row r="485" spans="5:8" x14ac:dyDescent="0.2">
      <c r="E485" t="str">
        <f t="shared" si="18"/>
        <v/>
      </c>
      <c r="H485" t="str">
        <f t="shared" si="19"/>
        <v/>
      </c>
    </row>
    <row r="486" spans="5:8" x14ac:dyDescent="0.2">
      <c r="E486" t="str">
        <f t="shared" si="18"/>
        <v/>
      </c>
      <c r="H486" t="str">
        <f t="shared" si="19"/>
        <v/>
      </c>
    </row>
    <row r="487" spans="5:8" x14ac:dyDescent="0.2">
      <c r="E487" t="str">
        <f t="shared" si="18"/>
        <v/>
      </c>
      <c r="H487" t="str">
        <f t="shared" si="19"/>
        <v/>
      </c>
    </row>
    <row r="488" spans="5:8" x14ac:dyDescent="0.2">
      <c r="E488" t="str">
        <f t="shared" si="18"/>
        <v/>
      </c>
      <c r="H488" t="str">
        <f t="shared" si="19"/>
        <v/>
      </c>
    </row>
    <row r="489" spans="5:8" x14ac:dyDescent="0.2">
      <c r="E489" t="str">
        <f t="shared" si="18"/>
        <v/>
      </c>
      <c r="H489" t="str">
        <f t="shared" si="19"/>
        <v/>
      </c>
    </row>
    <row r="490" spans="5:8" x14ac:dyDescent="0.2">
      <c r="E490" t="str">
        <f t="shared" si="18"/>
        <v/>
      </c>
      <c r="H490" t="str">
        <f t="shared" si="19"/>
        <v/>
      </c>
    </row>
    <row r="491" spans="5:8" x14ac:dyDescent="0.2">
      <c r="E491" t="str">
        <f t="shared" si="18"/>
        <v/>
      </c>
      <c r="H491" t="str">
        <f t="shared" si="19"/>
        <v/>
      </c>
    </row>
    <row r="492" spans="5:8" x14ac:dyDescent="0.2">
      <c r="E492" t="str">
        <f t="shared" si="18"/>
        <v/>
      </c>
      <c r="H492" t="str">
        <f t="shared" si="19"/>
        <v/>
      </c>
    </row>
    <row r="493" spans="5:8" x14ac:dyDescent="0.2">
      <c r="E493" t="str">
        <f t="shared" si="18"/>
        <v/>
      </c>
      <c r="H493" t="str">
        <f t="shared" si="19"/>
        <v/>
      </c>
    </row>
    <row r="494" spans="5:8" x14ac:dyDescent="0.2">
      <c r="E494" t="str">
        <f t="shared" si="18"/>
        <v/>
      </c>
      <c r="H494" t="str">
        <f t="shared" si="19"/>
        <v/>
      </c>
    </row>
    <row r="495" spans="5:8" x14ac:dyDescent="0.2">
      <c r="E495" t="str">
        <f t="shared" si="18"/>
        <v/>
      </c>
      <c r="H495" t="str">
        <f t="shared" si="19"/>
        <v/>
      </c>
    </row>
    <row r="496" spans="5:8" x14ac:dyDescent="0.2">
      <c r="E496" t="str">
        <f t="shared" si="18"/>
        <v/>
      </c>
      <c r="H496" t="str">
        <f t="shared" si="19"/>
        <v/>
      </c>
    </row>
    <row r="497" spans="5:8" x14ac:dyDescent="0.2">
      <c r="E497" t="str">
        <f t="shared" si="18"/>
        <v/>
      </c>
      <c r="H497" t="str">
        <f t="shared" si="19"/>
        <v/>
      </c>
    </row>
    <row r="498" spans="5:8" x14ac:dyDescent="0.2">
      <c r="E498" t="str">
        <f t="shared" si="18"/>
        <v/>
      </c>
      <c r="H498" t="str">
        <f t="shared" si="19"/>
        <v/>
      </c>
    </row>
    <row r="499" spans="5:8" x14ac:dyDescent="0.2">
      <c r="E499" t="str">
        <f t="shared" si="18"/>
        <v/>
      </c>
      <c r="H499" t="str">
        <f t="shared" si="19"/>
        <v/>
      </c>
    </row>
    <row r="500" spans="5:8" x14ac:dyDescent="0.2">
      <c r="E500" t="str">
        <f t="shared" si="18"/>
        <v/>
      </c>
      <c r="H500" t="str">
        <f t="shared" si="19"/>
        <v/>
      </c>
    </row>
    <row r="501" spans="5:8" x14ac:dyDescent="0.2">
      <c r="E501" t="str">
        <f t="shared" si="18"/>
        <v/>
      </c>
      <c r="H501" t="str">
        <f t="shared" si="19"/>
        <v/>
      </c>
    </row>
    <row r="502" spans="5:8" x14ac:dyDescent="0.2">
      <c r="E502" t="str">
        <f t="shared" si="18"/>
        <v/>
      </c>
      <c r="H502" t="str">
        <f t="shared" si="19"/>
        <v/>
      </c>
    </row>
    <row r="503" spans="5:8" x14ac:dyDescent="0.2">
      <c r="E503" t="str">
        <f t="shared" si="18"/>
        <v/>
      </c>
      <c r="H503" t="str">
        <f t="shared" si="19"/>
        <v/>
      </c>
    </row>
    <row r="504" spans="5:8" x14ac:dyDescent="0.2">
      <c r="E504" t="str">
        <f t="shared" si="18"/>
        <v/>
      </c>
      <c r="H504" t="str">
        <f t="shared" si="19"/>
        <v/>
      </c>
    </row>
    <row r="505" spans="5:8" x14ac:dyDescent="0.2">
      <c r="E505" t="str">
        <f t="shared" si="18"/>
        <v/>
      </c>
      <c r="H505" t="str">
        <f t="shared" si="19"/>
        <v/>
      </c>
    </row>
    <row r="506" spans="5:8" x14ac:dyDescent="0.2">
      <c r="E506" t="str">
        <f t="shared" si="18"/>
        <v/>
      </c>
      <c r="H506" t="str">
        <f t="shared" si="19"/>
        <v/>
      </c>
    </row>
    <row r="507" spans="5:8" x14ac:dyDescent="0.2">
      <c r="E507" t="str">
        <f t="shared" si="18"/>
        <v/>
      </c>
      <c r="H507" t="str">
        <f t="shared" si="19"/>
        <v/>
      </c>
    </row>
    <row r="508" spans="5:8" x14ac:dyDescent="0.2">
      <c r="E508" t="str">
        <f t="shared" si="18"/>
        <v/>
      </c>
      <c r="H508" t="str">
        <f t="shared" si="19"/>
        <v/>
      </c>
    </row>
    <row r="509" spans="5:8" x14ac:dyDescent="0.2">
      <c r="E509" t="str">
        <f t="shared" si="18"/>
        <v/>
      </c>
      <c r="H509" t="str">
        <f t="shared" si="19"/>
        <v/>
      </c>
    </row>
    <row r="510" spans="5:8" x14ac:dyDescent="0.2">
      <c r="E510" t="str">
        <f t="shared" si="18"/>
        <v/>
      </c>
      <c r="H510" t="str">
        <f t="shared" si="19"/>
        <v/>
      </c>
    </row>
    <row r="511" spans="5:8" x14ac:dyDescent="0.2">
      <c r="E511" t="str">
        <f t="shared" si="18"/>
        <v/>
      </c>
      <c r="H511" t="str">
        <f t="shared" si="19"/>
        <v/>
      </c>
    </row>
    <row r="512" spans="5:8" x14ac:dyDescent="0.2">
      <c r="E512" t="str">
        <f t="shared" si="18"/>
        <v/>
      </c>
      <c r="H512" t="str">
        <f t="shared" si="19"/>
        <v/>
      </c>
    </row>
    <row r="513" spans="5:8" x14ac:dyDescent="0.2">
      <c r="E513" t="str">
        <f t="shared" si="18"/>
        <v/>
      </c>
      <c r="H513" t="str">
        <f t="shared" si="19"/>
        <v/>
      </c>
    </row>
    <row r="514" spans="5:8" x14ac:dyDescent="0.2">
      <c r="E514" t="str">
        <f t="shared" si="18"/>
        <v/>
      </c>
      <c r="H514" t="str">
        <f t="shared" si="19"/>
        <v/>
      </c>
    </row>
    <row r="515" spans="5:8" x14ac:dyDescent="0.2">
      <c r="E515" t="str">
        <f t="shared" si="18"/>
        <v/>
      </c>
      <c r="H515" t="str">
        <f t="shared" si="19"/>
        <v/>
      </c>
    </row>
    <row r="516" spans="5:8" x14ac:dyDescent="0.2">
      <c r="E516" t="str">
        <f t="shared" si="18"/>
        <v/>
      </c>
      <c r="H516" t="str">
        <f t="shared" si="19"/>
        <v/>
      </c>
    </row>
    <row r="517" spans="5:8" x14ac:dyDescent="0.2">
      <c r="E517" t="str">
        <f t="shared" si="18"/>
        <v/>
      </c>
      <c r="H517" t="str">
        <f t="shared" si="19"/>
        <v/>
      </c>
    </row>
    <row r="518" spans="5:8" x14ac:dyDescent="0.2">
      <c r="E518" t="str">
        <f t="shared" si="18"/>
        <v/>
      </c>
      <c r="H518" t="str">
        <f t="shared" si="19"/>
        <v/>
      </c>
    </row>
    <row r="519" spans="5:8" x14ac:dyDescent="0.2">
      <c r="E519" t="str">
        <f t="shared" si="18"/>
        <v/>
      </c>
      <c r="H519" t="str">
        <f t="shared" si="19"/>
        <v/>
      </c>
    </row>
    <row r="520" spans="5:8" x14ac:dyDescent="0.2">
      <c r="E520" t="str">
        <f t="shared" ref="E520:E583" si="20">IF(D520="","","Bittrex")</f>
        <v/>
      </c>
      <c r="H520" t="str">
        <f t="shared" ref="H520:H583" si="21">IF(G520="","","Bittrex")</f>
        <v/>
      </c>
    </row>
    <row r="521" spans="5:8" x14ac:dyDescent="0.2">
      <c r="E521" t="str">
        <f t="shared" si="20"/>
        <v/>
      </c>
      <c r="H521" t="str">
        <f t="shared" si="21"/>
        <v/>
      </c>
    </row>
    <row r="522" spans="5:8" x14ac:dyDescent="0.2">
      <c r="E522" t="str">
        <f t="shared" si="20"/>
        <v/>
      </c>
      <c r="H522" t="str">
        <f t="shared" si="21"/>
        <v/>
      </c>
    </row>
    <row r="523" spans="5:8" x14ac:dyDescent="0.2">
      <c r="E523" t="str">
        <f t="shared" si="20"/>
        <v/>
      </c>
      <c r="H523" t="str">
        <f t="shared" si="21"/>
        <v/>
      </c>
    </row>
    <row r="524" spans="5:8" x14ac:dyDescent="0.2">
      <c r="E524" t="str">
        <f t="shared" si="20"/>
        <v/>
      </c>
      <c r="H524" t="str">
        <f t="shared" si="21"/>
        <v/>
      </c>
    </row>
    <row r="525" spans="5:8" x14ac:dyDescent="0.2">
      <c r="E525" t="str">
        <f t="shared" si="20"/>
        <v/>
      </c>
      <c r="H525" t="str">
        <f t="shared" si="21"/>
        <v/>
      </c>
    </row>
    <row r="526" spans="5:8" x14ac:dyDescent="0.2">
      <c r="E526" t="str">
        <f t="shared" si="20"/>
        <v/>
      </c>
      <c r="H526" t="str">
        <f t="shared" si="21"/>
        <v/>
      </c>
    </row>
    <row r="527" spans="5:8" x14ac:dyDescent="0.2">
      <c r="E527" t="str">
        <f t="shared" si="20"/>
        <v/>
      </c>
      <c r="H527" t="str">
        <f t="shared" si="21"/>
        <v/>
      </c>
    </row>
    <row r="528" spans="5:8" x14ac:dyDescent="0.2">
      <c r="E528" t="str">
        <f t="shared" si="20"/>
        <v/>
      </c>
      <c r="H528" t="str">
        <f t="shared" si="21"/>
        <v/>
      </c>
    </row>
    <row r="529" spans="5:8" x14ac:dyDescent="0.2">
      <c r="E529" t="str">
        <f t="shared" si="20"/>
        <v/>
      </c>
      <c r="H529" t="str">
        <f t="shared" si="21"/>
        <v/>
      </c>
    </row>
    <row r="530" spans="5:8" x14ac:dyDescent="0.2">
      <c r="E530" t="str">
        <f t="shared" si="20"/>
        <v/>
      </c>
      <c r="H530" t="str">
        <f t="shared" si="21"/>
        <v/>
      </c>
    </row>
    <row r="531" spans="5:8" x14ac:dyDescent="0.2">
      <c r="E531" t="str">
        <f t="shared" si="20"/>
        <v/>
      </c>
      <c r="H531" t="str">
        <f t="shared" si="21"/>
        <v/>
      </c>
    </row>
    <row r="532" spans="5:8" x14ac:dyDescent="0.2">
      <c r="E532" t="str">
        <f t="shared" si="20"/>
        <v/>
      </c>
      <c r="H532" t="str">
        <f t="shared" si="21"/>
        <v/>
      </c>
    </row>
    <row r="533" spans="5:8" x14ac:dyDescent="0.2">
      <c r="E533" t="str">
        <f t="shared" si="20"/>
        <v/>
      </c>
      <c r="H533" t="str">
        <f t="shared" si="21"/>
        <v/>
      </c>
    </row>
    <row r="534" spans="5:8" x14ac:dyDescent="0.2">
      <c r="E534" t="str">
        <f t="shared" si="20"/>
        <v/>
      </c>
      <c r="H534" t="str">
        <f t="shared" si="21"/>
        <v/>
      </c>
    </row>
    <row r="535" spans="5:8" x14ac:dyDescent="0.2">
      <c r="E535" t="str">
        <f t="shared" si="20"/>
        <v/>
      </c>
      <c r="H535" t="str">
        <f t="shared" si="21"/>
        <v/>
      </c>
    </row>
    <row r="536" spans="5:8" x14ac:dyDescent="0.2">
      <c r="E536" t="str">
        <f t="shared" si="20"/>
        <v/>
      </c>
      <c r="H536" t="str">
        <f t="shared" si="21"/>
        <v/>
      </c>
    </row>
    <row r="537" spans="5:8" x14ac:dyDescent="0.2">
      <c r="E537" t="str">
        <f t="shared" si="20"/>
        <v/>
      </c>
      <c r="H537" t="str">
        <f t="shared" si="21"/>
        <v/>
      </c>
    </row>
    <row r="538" spans="5:8" x14ac:dyDescent="0.2">
      <c r="E538" t="str">
        <f t="shared" si="20"/>
        <v/>
      </c>
      <c r="H538" t="str">
        <f t="shared" si="21"/>
        <v/>
      </c>
    </row>
    <row r="539" spans="5:8" x14ac:dyDescent="0.2">
      <c r="E539" t="str">
        <f t="shared" si="20"/>
        <v/>
      </c>
      <c r="H539" t="str">
        <f t="shared" si="21"/>
        <v/>
      </c>
    </row>
    <row r="540" spans="5:8" x14ac:dyDescent="0.2">
      <c r="E540" t="str">
        <f t="shared" si="20"/>
        <v/>
      </c>
      <c r="H540" t="str">
        <f t="shared" si="21"/>
        <v/>
      </c>
    </row>
    <row r="541" spans="5:8" x14ac:dyDescent="0.2">
      <c r="E541" t="str">
        <f t="shared" si="20"/>
        <v/>
      </c>
      <c r="H541" t="str">
        <f t="shared" si="21"/>
        <v/>
      </c>
    </row>
    <row r="542" spans="5:8" x14ac:dyDescent="0.2">
      <c r="E542" t="str">
        <f t="shared" si="20"/>
        <v/>
      </c>
      <c r="H542" t="str">
        <f t="shared" si="21"/>
        <v/>
      </c>
    </row>
    <row r="543" spans="5:8" x14ac:dyDescent="0.2">
      <c r="E543" t="str">
        <f t="shared" si="20"/>
        <v/>
      </c>
      <c r="H543" t="str">
        <f t="shared" si="21"/>
        <v/>
      </c>
    </row>
    <row r="544" spans="5:8" x14ac:dyDescent="0.2">
      <c r="E544" t="str">
        <f t="shared" si="20"/>
        <v/>
      </c>
      <c r="H544" t="str">
        <f t="shared" si="21"/>
        <v/>
      </c>
    </row>
    <row r="545" spans="5:8" x14ac:dyDescent="0.2">
      <c r="E545" t="str">
        <f t="shared" si="20"/>
        <v/>
      </c>
      <c r="H545" t="str">
        <f t="shared" si="21"/>
        <v/>
      </c>
    </row>
    <row r="546" spans="5:8" x14ac:dyDescent="0.2">
      <c r="E546" t="str">
        <f t="shared" si="20"/>
        <v/>
      </c>
      <c r="H546" t="str">
        <f t="shared" si="21"/>
        <v/>
      </c>
    </row>
    <row r="547" spans="5:8" x14ac:dyDescent="0.2">
      <c r="E547" t="str">
        <f t="shared" si="20"/>
        <v/>
      </c>
      <c r="H547" t="str">
        <f t="shared" si="21"/>
        <v/>
      </c>
    </row>
    <row r="548" spans="5:8" x14ac:dyDescent="0.2">
      <c r="E548" t="str">
        <f t="shared" si="20"/>
        <v/>
      </c>
      <c r="H548" t="str">
        <f t="shared" si="21"/>
        <v/>
      </c>
    </row>
    <row r="549" spans="5:8" x14ac:dyDescent="0.2">
      <c r="E549" t="str">
        <f t="shared" si="20"/>
        <v/>
      </c>
      <c r="H549" t="str">
        <f t="shared" si="21"/>
        <v/>
      </c>
    </row>
    <row r="550" spans="5:8" x14ac:dyDescent="0.2">
      <c r="E550" t="str">
        <f t="shared" si="20"/>
        <v/>
      </c>
      <c r="H550" t="str">
        <f t="shared" si="21"/>
        <v/>
      </c>
    </row>
    <row r="551" spans="5:8" x14ac:dyDescent="0.2">
      <c r="E551" t="str">
        <f t="shared" si="20"/>
        <v/>
      </c>
      <c r="H551" t="str">
        <f t="shared" si="21"/>
        <v/>
      </c>
    </row>
    <row r="552" spans="5:8" x14ac:dyDescent="0.2">
      <c r="E552" t="str">
        <f t="shared" si="20"/>
        <v/>
      </c>
      <c r="H552" t="str">
        <f t="shared" si="21"/>
        <v/>
      </c>
    </row>
    <row r="553" spans="5:8" x14ac:dyDescent="0.2">
      <c r="E553" t="str">
        <f t="shared" si="20"/>
        <v/>
      </c>
      <c r="H553" t="str">
        <f t="shared" si="21"/>
        <v/>
      </c>
    </row>
    <row r="554" spans="5:8" x14ac:dyDescent="0.2">
      <c r="E554" t="str">
        <f t="shared" si="20"/>
        <v/>
      </c>
      <c r="H554" t="str">
        <f t="shared" si="21"/>
        <v/>
      </c>
    </row>
    <row r="555" spans="5:8" x14ac:dyDescent="0.2">
      <c r="E555" t="str">
        <f t="shared" si="20"/>
        <v/>
      </c>
      <c r="H555" t="str">
        <f t="shared" si="21"/>
        <v/>
      </c>
    </row>
    <row r="556" spans="5:8" x14ac:dyDescent="0.2">
      <c r="E556" t="str">
        <f t="shared" si="20"/>
        <v/>
      </c>
      <c r="H556" t="str">
        <f t="shared" si="21"/>
        <v/>
      </c>
    </row>
    <row r="557" spans="5:8" x14ac:dyDescent="0.2">
      <c r="E557" t="str">
        <f t="shared" si="20"/>
        <v/>
      </c>
      <c r="H557" t="str">
        <f t="shared" si="21"/>
        <v/>
      </c>
    </row>
    <row r="558" spans="5:8" x14ac:dyDescent="0.2">
      <c r="E558" t="str">
        <f t="shared" si="20"/>
        <v/>
      </c>
      <c r="H558" t="str">
        <f t="shared" si="21"/>
        <v/>
      </c>
    </row>
    <row r="559" spans="5:8" x14ac:dyDescent="0.2">
      <c r="E559" t="str">
        <f t="shared" si="20"/>
        <v/>
      </c>
      <c r="H559" t="str">
        <f t="shared" si="21"/>
        <v/>
      </c>
    </row>
    <row r="560" spans="5:8" x14ac:dyDescent="0.2">
      <c r="E560" t="str">
        <f t="shared" si="20"/>
        <v/>
      </c>
      <c r="H560" t="str">
        <f t="shared" si="21"/>
        <v/>
      </c>
    </row>
    <row r="561" spans="5:8" x14ac:dyDescent="0.2">
      <c r="E561" t="str">
        <f t="shared" si="20"/>
        <v/>
      </c>
      <c r="H561" t="str">
        <f t="shared" si="21"/>
        <v/>
      </c>
    </row>
    <row r="562" spans="5:8" x14ac:dyDescent="0.2">
      <c r="E562" t="str">
        <f t="shared" si="20"/>
        <v/>
      </c>
      <c r="H562" t="str">
        <f t="shared" si="21"/>
        <v/>
      </c>
    </row>
    <row r="563" spans="5:8" x14ac:dyDescent="0.2">
      <c r="E563" t="str">
        <f t="shared" si="20"/>
        <v/>
      </c>
      <c r="H563" t="str">
        <f t="shared" si="21"/>
        <v/>
      </c>
    </row>
    <row r="564" spans="5:8" x14ac:dyDescent="0.2">
      <c r="E564" t="str">
        <f t="shared" si="20"/>
        <v/>
      </c>
      <c r="H564" t="str">
        <f t="shared" si="21"/>
        <v/>
      </c>
    </row>
    <row r="565" spans="5:8" x14ac:dyDescent="0.2">
      <c r="E565" t="str">
        <f t="shared" si="20"/>
        <v/>
      </c>
      <c r="H565" t="str">
        <f t="shared" si="21"/>
        <v/>
      </c>
    </row>
    <row r="566" spans="5:8" x14ac:dyDescent="0.2">
      <c r="E566" t="str">
        <f t="shared" si="20"/>
        <v/>
      </c>
      <c r="H566" t="str">
        <f t="shared" si="21"/>
        <v/>
      </c>
    </row>
    <row r="567" spans="5:8" x14ac:dyDescent="0.2">
      <c r="E567" t="str">
        <f t="shared" si="20"/>
        <v/>
      </c>
      <c r="H567" t="str">
        <f t="shared" si="21"/>
        <v/>
      </c>
    </row>
    <row r="568" spans="5:8" x14ac:dyDescent="0.2">
      <c r="E568" t="str">
        <f t="shared" si="20"/>
        <v/>
      </c>
      <c r="H568" t="str">
        <f t="shared" si="21"/>
        <v/>
      </c>
    </row>
    <row r="569" spans="5:8" x14ac:dyDescent="0.2">
      <c r="E569" t="str">
        <f t="shared" si="20"/>
        <v/>
      </c>
      <c r="H569" t="str">
        <f t="shared" si="21"/>
        <v/>
      </c>
    </row>
    <row r="570" spans="5:8" x14ac:dyDescent="0.2">
      <c r="E570" t="str">
        <f t="shared" si="20"/>
        <v/>
      </c>
      <c r="H570" t="str">
        <f t="shared" si="21"/>
        <v/>
      </c>
    </row>
    <row r="571" spans="5:8" x14ac:dyDescent="0.2">
      <c r="E571" t="str">
        <f t="shared" si="20"/>
        <v/>
      </c>
      <c r="H571" t="str">
        <f t="shared" si="21"/>
        <v/>
      </c>
    </row>
    <row r="572" spans="5:8" x14ac:dyDescent="0.2">
      <c r="E572" t="str">
        <f t="shared" si="20"/>
        <v/>
      </c>
      <c r="H572" t="str">
        <f t="shared" si="21"/>
        <v/>
      </c>
    </row>
    <row r="573" spans="5:8" x14ac:dyDescent="0.2">
      <c r="E573" t="str">
        <f t="shared" si="20"/>
        <v/>
      </c>
      <c r="H573" t="str">
        <f t="shared" si="21"/>
        <v/>
      </c>
    </row>
    <row r="574" spans="5:8" x14ac:dyDescent="0.2">
      <c r="E574" t="str">
        <f t="shared" si="20"/>
        <v/>
      </c>
      <c r="H574" t="str">
        <f t="shared" si="21"/>
        <v/>
      </c>
    </row>
    <row r="575" spans="5:8" x14ac:dyDescent="0.2">
      <c r="E575" t="str">
        <f t="shared" si="20"/>
        <v/>
      </c>
      <c r="H575" t="str">
        <f t="shared" si="21"/>
        <v/>
      </c>
    </row>
    <row r="576" spans="5:8" x14ac:dyDescent="0.2">
      <c r="E576" t="str">
        <f t="shared" si="20"/>
        <v/>
      </c>
      <c r="H576" t="str">
        <f t="shared" si="21"/>
        <v/>
      </c>
    </row>
    <row r="577" spans="5:8" x14ac:dyDescent="0.2">
      <c r="E577" t="str">
        <f t="shared" si="20"/>
        <v/>
      </c>
      <c r="H577" t="str">
        <f t="shared" si="21"/>
        <v/>
      </c>
    </row>
    <row r="578" spans="5:8" x14ac:dyDescent="0.2">
      <c r="E578" t="str">
        <f t="shared" si="20"/>
        <v/>
      </c>
      <c r="H578" t="str">
        <f t="shared" si="21"/>
        <v/>
      </c>
    </row>
    <row r="579" spans="5:8" x14ac:dyDescent="0.2">
      <c r="E579" t="str">
        <f t="shared" si="20"/>
        <v/>
      </c>
      <c r="H579" t="str">
        <f t="shared" si="21"/>
        <v/>
      </c>
    </row>
    <row r="580" spans="5:8" x14ac:dyDescent="0.2">
      <c r="E580" t="str">
        <f t="shared" si="20"/>
        <v/>
      </c>
      <c r="H580" t="str">
        <f t="shared" si="21"/>
        <v/>
      </c>
    </row>
    <row r="581" spans="5:8" x14ac:dyDescent="0.2">
      <c r="E581" t="str">
        <f t="shared" si="20"/>
        <v/>
      </c>
      <c r="H581" t="str">
        <f t="shared" si="21"/>
        <v/>
      </c>
    </row>
    <row r="582" spans="5:8" x14ac:dyDescent="0.2">
      <c r="E582" t="str">
        <f t="shared" si="20"/>
        <v/>
      </c>
      <c r="H582" t="str">
        <f t="shared" si="21"/>
        <v/>
      </c>
    </row>
    <row r="583" spans="5:8" x14ac:dyDescent="0.2">
      <c r="E583" t="str">
        <f t="shared" si="20"/>
        <v/>
      </c>
      <c r="H583" t="str">
        <f t="shared" si="21"/>
        <v/>
      </c>
    </row>
    <row r="584" spans="5:8" x14ac:dyDescent="0.2">
      <c r="E584" t="str">
        <f t="shared" ref="E584:E647" si="22">IF(D584="","","Bittrex")</f>
        <v/>
      </c>
      <c r="H584" t="str">
        <f t="shared" ref="H584:H647" si="23">IF(G584="","","Bittrex")</f>
        <v/>
      </c>
    </row>
    <row r="585" spans="5:8" x14ac:dyDescent="0.2">
      <c r="E585" t="str">
        <f t="shared" si="22"/>
        <v/>
      </c>
      <c r="H585" t="str">
        <f t="shared" si="23"/>
        <v/>
      </c>
    </row>
    <row r="586" spans="5:8" x14ac:dyDescent="0.2">
      <c r="E586" t="str">
        <f t="shared" si="22"/>
        <v/>
      </c>
      <c r="H586" t="str">
        <f t="shared" si="23"/>
        <v/>
      </c>
    </row>
    <row r="587" spans="5:8" x14ac:dyDescent="0.2">
      <c r="E587" t="str">
        <f t="shared" si="22"/>
        <v/>
      </c>
      <c r="H587" t="str">
        <f t="shared" si="23"/>
        <v/>
      </c>
    </row>
    <row r="588" spans="5:8" x14ac:dyDescent="0.2">
      <c r="E588" t="str">
        <f t="shared" si="22"/>
        <v/>
      </c>
      <c r="H588" t="str">
        <f t="shared" si="23"/>
        <v/>
      </c>
    </row>
    <row r="589" spans="5:8" x14ac:dyDescent="0.2">
      <c r="E589" t="str">
        <f t="shared" si="22"/>
        <v/>
      </c>
      <c r="H589" t="str">
        <f t="shared" si="23"/>
        <v/>
      </c>
    </row>
    <row r="590" spans="5:8" x14ac:dyDescent="0.2">
      <c r="E590" t="str">
        <f t="shared" si="22"/>
        <v/>
      </c>
      <c r="H590" t="str">
        <f t="shared" si="23"/>
        <v/>
      </c>
    </row>
    <row r="591" spans="5:8" x14ac:dyDescent="0.2">
      <c r="E591" t="str">
        <f t="shared" si="22"/>
        <v/>
      </c>
      <c r="H591" t="str">
        <f t="shared" si="23"/>
        <v/>
      </c>
    </row>
    <row r="592" spans="5:8" x14ac:dyDescent="0.2">
      <c r="E592" t="str">
        <f t="shared" si="22"/>
        <v/>
      </c>
      <c r="H592" t="str">
        <f t="shared" si="23"/>
        <v/>
      </c>
    </row>
    <row r="593" spans="5:8" x14ac:dyDescent="0.2">
      <c r="E593" t="str">
        <f t="shared" si="22"/>
        <v/>
      </c>
      <c r="H593" t="str">
        <f t="shared" si="23"/>
        <v/>
      </c>
    </row>
    <row r="594" spans="5:8" x14ac:dyDescent="0.2">
      <c r="E594" t="str">
        <f t="shared" si="22"/>
        <v/>
      </c>
      <c r="H594" t="str">
        <f t="shared" si="23"/>
        <v/>
      </c>
    </row>
    <row r="595" spans="5:8" x14ac:dyDescent="0.2">
      <c r="E595" t="str">
        <f t="shared" si="22"/>
        <v/>
      </c>
      <c r="H595" t="str">
        <f t="shared" si="23"/>
        <v/>
      </c>
    </row>
    <row r="596" spans="5:8" x14ac:dyDescent="0.2">
      <c r="E596" t="str">
        <f t="shared" si="22"/>
        <v/>
      </c>
      <c r="H596" t="str">
        <f t="shared" si="23"/>
        <v/>
      </c>
    </row>
    <row r="597" spans="5:8" x14ac:dyDescent="0.2">
      <c r="E597" t="str">
        <f t="shared" si="22"/>
        <v/>
      </c>
      <c r="H597" t="str">
        <f t="shared" si="23"/>
        <v/>
      </c>
    </row>
    <row r="598" spans="5:8" x14ac:dyDescent="0.2">
      <c r="E598" t="str">
        <f t="shared" si="22"/>
        <v/>
      </c>
      <c r="H598" t="str">
        <f t="shared" si="23"/>
        <v/>
      </c>
    </row>
    <row r="599" spans="5:8" x14ac:dyDescent="0.2">
      <c r="E599" t="str">
        <f t="shared" si="22"/>
        <v/>
      </c>
      <c r="H599" t="str">
        <f t="shared" si="23"/>
        <v/>
      </c>
    </row>
    <row r="600" spans="5:8" x14ac:dyDescent="0.2">
      <c r="E600" t="str">
        <f t="shared" si="22"/>
        <v/>
      </c>
      <c r="H600" t="str">
        <f t="shared" si="23"/>
        <v/>
      </c>
    </row>
    <row r="601" spans="5:8" x14ac:dyDescent="0.2">
      <c r="E601" t="str">
        <f t="shared" si="22"/>
        <v/>
      </c>
      <c r="H601" t="str">
        <f t="shared" si="23"/>
        <v/>
      </c>
    </row>
    <row r="602" spans="5:8" x14ac:dyDescent="0.2">
      <c r="E602" t="str">
        <f t="shared" si="22"/>
        <v/>
      </c>
      <c r="H602" t="str">
        <f t="shared" si="23"/>
        <v/>
      </c>
    </row>
    <row r="603" spans="5:8" x14ac:dyDescent="0.2">
      <c r="E603" t="str">
        <f t="shared" si="22"/>
        <v/>
      </c>
      <c r="H603" t="str">
        <f t="shared" si="23"/>
        <v/>
      </c>
    </row>
    <row r="604" spans="5:8" x14ac:dyDescent="0.2">
      <c r="E604" t="str">
        <f t="shared" si="22"/>
        <v/>
      </c>
      <c r="H604" t="str">
        <f t="shared" si="23"/>
        <v/>
      </c>
    </row>
    <row r="605" spans="5:8" x14ac:dyDescent="0.2">
      <c r="E605" t="str">
        <f t="shared" si="22"/>
        <v/>
      </c>
      <c r="H605" t="str">
        <f t="shared" si="23"/>
        <v/>
      </c>
    </row>
    <row r="606" spans="5:8" x14ac:dyDescent="0.2">
      <c r="E606" t="str">
        <f t="shared" si="22"/>
        <v/>
      </c>
      <c r="H606" t="str">
        <f t="shared" si="23"/>
        <v/>
      </c>
    </row>
    <row r="607" spans="5:8" x14ac:dyDescent="0.2">
      <c r="E607" t="str">
        <f t="shared" si="22"/>
        <v/>
      </c>
      <c r="H607" t="str">
        <f t="shared" si="23"/>
        <v/>
      </c>
    </row>
    <row r="608" spans="5:8" x14ac:dyDescent="0.2">
      <c r="E608" t="str">
        <f t="shared" si="22"/>
        <v/>
      </c>
      <c r="H608" t="str">
        <f t="shared" si="23"/>
        <v/>
      </c>
    </row>
    <row r="609" spans="5:8" x14ac:dyDescent="0.2">
      <c r="E609" t="str">
        <f t="shared" si="22"/>
        <v/>
      </c>
      <c r="H609" t="str">
        <f t="shared" si="23"/>
        <v/>
      </c>
    </row>
    <row r="610" spans="5:8" x14ac:dyDescent="0.2">
      <c r="E610" t="str">
        <f t="shared" si="22"/>
        <v/>
      </c>
      <c r="H610" t="str">
        <f t="shared" si="23"/>
        <v/>
      </c>
    </row>
    <row r="611" spans="5:8" x14ac:dyDescent="0.2">
      <c r="E611" t="str">
        <f t="shared" si="22"/>
        <v/>
      </c>
      <c r="H611" t="str">
        <f t="shared" si="23"/>
        <v/>
      </c>
    </row>
    <row r="612" spans="5:8" x14ac:dyDescent="0.2">
      <c r="E612" t="str">
        <f t="shared" si="22"/>
        <v/>
      </c>
      <c r="H612" t="str">
        <f t="shared" si="23"/>
        <v/>
      </c>
    </row>
    <row r="613" spans="5:8" x14ac:dyDescent="0.2">
      <c r="E613" t="str">
        <f t="shared" si="22"/>
        <v/>
      </c>
      <c r="H613" t="str">
        <f t="shared" si="23"/>
        <v/>
      </c>
    </row>
    <row r="614" spans="5:8" x14ac:dyDescent="0.2">
      <c r="E614" t="str">
        <f t="shared" si="22"/>
        <v/>
      </c>
      <c r="H614" t="str">
        <f t="shared" si="23"/>
        <v/>
      </c>
    </row>
    <row r="615" spans="5:8" x14ac:dyDescent="0.2">
      <c r="E615" t="str">
        <f t="shared" si="22"/>
        <v/>
      </c>
      <c r="H615" t="str">
        <f t="shared" si="23"/>
        <v/>
      </c>
    </row>
    <row r="616" spans="5:8" x14ac:dyDescent="0.2">
      <c r="E616" t="str">
        <f t="shared" si="22"/>
        <v/>
      </c>
      <c r="H616" t="str">
        <f t="shared" si="23"/>
        <v/>
      </c>
    </row>
    <row r="617" spans="5:8" x14ac:dyDescent="0.2">
      <c r="E617" t="str">
        <f t="shared" si="22"/>
        <v/>
      </c>
      <c r="H617" t="str">
        <f t="shared" si="23"/>
        <v/>
      </c>
    </row>
    <row r="618" spans="5:8" x14ac:dyDescent="0.2">
      <c r="E618" t="str">
        <f t="shared" si="22"/>
        <v/>
      </c>
      <c r="H618" t="str">
        <f t="shared" si="23"/>
        <v/>
      </c>
    </row>
    <row r="619" spans="5:8" x14ac:dyDescent="0.2">
      <c r="E619" t="str">
        <f t="shared" si="22"/>
        <v/>
      </c>
      <c r="H619" t="str">
        <f t="shared" si="23"/>
        <v/>
      </c>
    </row>
    <row r="620" spans="5:8" x14ac:dyDescent="0.2">
      <c r="E620" t="str">
        <f t="shared" si="22"/>
        <v/>
      </c>
      <c r="H620" t="str">
        <f t="shared" si="23"/>
        <v/>
      </c>
    </row>
    <row r="621" spans="5:8" x14ac:dyDescent="0.2">
      <c r="E621" t="str">
        <f t="shared" si="22"/>
        <v/>
      </c>
      <c r="H621" t="str">
        <f t="shared" si="23"/>
        <v/>
      </c>
    </row>
    <row r="622" spans="5:8" x14ac:dyDescent="0.2">
      <c r="E622" t="str">
        <f t="shared" si="22"/>
        <v/>
      </c>
      <c r="H622" t="str">
        <f t="shared" si="23"/>
        <v/>
      </c>
    </row>
    <row r="623" spans="5:8" x14ac:dyDescent="0.2">
      <c r="E623" t="str">
        <f t="shared" si="22"/>
        <v/>
      </c>
      <c r="H623" t="str">
        <f t="shared" si="23"/>
        <v/>
      </c>
    </row>
    <row r="624" spans="5:8" x14ac:dyDescent="0.2">
      <c r="E624" t="str">
        <f t="shared" si="22"/>
        <v/>
      </c>
      <c r="H624" t="str">
        <f t="shared" si="23"/>
        <v/>
      </c>
    </row>
    <row r="625" spans="5:8" x14ac:dyDescent="0.2">
      <c r="E625" t="str">
        <f t="shared" si="22"/>
        <v/>
      </c>
      <c r="H625" t="str">
        <f t="shared" si="23"/>
        <v/>
      </c>
    </row>
    <row r="626" spans="5:8" x14ac:dyDescent="0.2">
      <c r="E626" t="str">
        <f t="shared" si="22"/>
        <v/>
      </c>
      <c r="H626" t="str">
        <f t="shared" si="23"/>
        <v/>
      </c>
    </row>
    <row r="627" spans="5:8" x14ac:dyDescent="0.2">
      <c r="E627" t="str">
        <f t="shared" si="22"/>
        <v/>
      </c>
      <c r="H627" t="str">
        <f t="shared" si="23"/>
        <v/>
      </c>
    </row>
    <row r="628" spans="5:8" x14ac:dyDescent="0.2">
      <c r="E628" t="str">
        <f t="shared" si="22"/>
        <v/>
      </c>
      <c r="H628" t="str">
        <f t="shared" si="23"/>
        <v/>
      </c>
    </row>
    <row r="629" spans="5:8" x14ac:dyDescent="0.2">
      <c r="E629" t="str">
        <f t="shared" si="22"/>
        <v/>
      </c>
      <c r="H629" t="str">
        <f t="shared" si="23"/>
        <v/>
      </c>
    </row>
    <row r="630" spans="5:8" x14ac:dyDescent="0.2">
      <c r="E630" t="str">
        <f t="shared" si="22"/>
        <v/>
      </c>
      <c r="H630" t="str">
        <f t="shared" si="23"/>
        <v/>
      </c>
    </row>
    <row r="631" spans="5:8" x14ac:dyDescent="0.2">
      <c r="E631" t="str">
        <f t="shared" si="22"/>
        <v/>
      </c>
      <c r="H631" t="str">
        <f t="shared" si="23"/>
        <v/>
      </c>
    </row>
    <row r="632" spans="5:8" x14ac:dyDescent="0.2">
      <c r="E632" t="str">
        <f t="shared" si="22"/>
        <v/>
      </c>
      <c r="H632" t="str">
        <f t="shared" si="23"/>
        <v/>
      </c>
    </row>
    <row r="633" spans="5:8" x14ac:dyDescent="0.2">
      <c r="E633" t="str">
        <f t="shared" si="22"/>
        <v/>
      </c>
      <c r="H633" t="str">
        <f t="shared" si="23"/>
        <v/>
      </c>
    </row>
    <row r="634" spans="5:8" x14ac:dyDescent="0.2">
      <c r="E634" t="str">
        <f t="shared" si="22"/>
        <v/>
      </c>
      <c r="H634" t="str">
        <f t="shared" si="23"/>
        <v/>
      </c>
    </row>
    <row r="635" spans="5:8" x14ac:dyDescent="0.2">
      <c r="E635" t="str">
        <f t="shared" si="22"/>
        <v/>
      </c>
      <c r="H635" t="str">
        <f t="shared" si="23"/>
        <v/>
      </c>
    </row>
    <row r="636" spans="5:8" x14ac:dyDescent="0.2">
      <c r="E636" t="str">
        <f t="shared" si="22"/>
        <v/>
      </c>
      <c r="H636" t="str">
        <f t="shared" si="23"/>
        <v/>
      </c>
    </row>
    <row r="637" spans="5:8" x14ac:dyDescent="0.2">
      <c r="E637" t="str">
        <f t="shared" si="22"/>
        <v/>
      </c>
      <c r="H637" t="str">
        <f t="shared" si="23"/>
        <v/>
      </c>
    </row>
    <row r="638" spans="5:8" x14ac:dyDescent="0.2">
      <c r="E638" t="str">
        <f t="shared" si="22"/>
        <v/>
      </c>
      <c r="H638" t="str">
        <f t="shared" si="23"/>
        <v/>
      </c>
    </row>
    <row r="639" spans="5:8" x14ac:dyDescent="0.2">
      <c r="E639" t="str">
        <f t="shared" si="22"/>
        <v/>
      </c>
      <c r="H639" t="str">
        <f t="shared" si="23"/>
        <v/>
      </c>
    </row>
    <row r="640" spans="5:8" x14ac:dyDescent="0.2">
      <c r="E640" t="str">
        <f t="shared" si="22"/>
        <v/>
      </c>
      <c r="H640" t="str">
        <f t="shared" si="23"/>
        <v/>
      </c>
    </row>
    <row r="641" spans="5:8" x14ac:dyDescent="0.2">
      <c r="E641" t="str">
        <f t="shared" si="22"/>
        <v/>
      </c>
      <c r="H641" t="str">
        <f t="shared" si="23"/>
        <v/>
      </c>
    </row>
    <row r="642" spans="5:8" x14ac:dyDescent="0.2">
      <c r="E642" t="str">
        <f t="shared" si="22"/>
        <v/>
      </c>
      <c r="H642" t="str">
        <f t="shared" si="23"/>
        <v/>
      </c>
    </row>
    <row r="643" spans="5:8" x14ac:dyDescent="0.2">
      <c r="E643" t="str">
        <f t="shared" si="22"/>
        <v/>
      </c>
      <c r="H643" t="str">
        <f t="shared" si="23"/>
        <v/>
      </c>
    </row>
    <row r="644" spans="5:8" x14ac:dyDescent="0.2">
      <c r="E644" t="str">
        <f t="shared" si="22"/>
        <v/>
      </c>
      <c r="H644" t="str">
        <f t="shared" si="23"/>
        <v/>
      </c>
    </row>
    <row r="645" spans="5:8" x14ac:dyDescent="0.2">
      <c r="E645" t="str">
        <f t="shared" si="22"/>
        <v/>
      </c>
      <c r="H645" t="str">
        <f t="shared" si="23"/>
        <v/>
      </c>
    </row>
    <row r="646" spans="5:8" x14ac:dyDescent="0.2">
      <c r="E646" t="str">
        <f t="shared" si="22"/>
        <v/>
      </c>
      <c r="H646" t="str">
        <f t="shared" si="23"/>
        <v/>
      </c>
    </row>
    <row r="647" spans="5:8" x14ac:dyDescent="0.2">
      <c r="E647" t="str">
        <f t="shared" si="22"/>
        <v/>
      </c>
      <c r="H647" t="str">
        <f t="shared" si="23"/>
        <v/>
      </c>
    </row>
    <row r="648" spans="5:8" x14ac:dyDescent="0.2">
      <c r="E648" t="str">
        <f t="shared" ref="E648:E711" si="24">IF(D648="","","Bittrex")</f>
        <v/>
      </c>
      <c r="H648" t="str">
        <f t="shared" ref="H648:H711" si="25">IF(G648="","","Bittrex")</f>
        <v/>
      </c>
    </row>
    <row r="649" spans="5:8" x14ac:dyDescent="0.2">
      <c r="E649" t="str">
        <f t="shared" si="24"/>
        <v/>
      </c>
      <c r="H649" t="str">
        <f t="shared" si="25"/>
        <v/>
      </c>
    </row>
    <row r="650" spans="5:8" x14ac:dyDescent="0.2">
      <c r="E650" t="str">
        <f t="shared" si="24"/>
        <v/>
      </c>
      <c r="H650" t="str">
        <f t="shared" si="25"/>
        <v/>
      </c>
    </row>
    <row r="651" spans="5:8" x14ac:dyDescent="0.2">
      <c r="E651" t="str">
        <f t="shared" si="24"/>
        <v/>
      </c>
      <c r="H651" t="str">
        <f t="shared" si="25"/>
        <v/>
      </c>
    </row>
    <row r="652" spans="5:8" x14ac:dyDescent="0.2">
      <c r="E652" t="str">
        <f t="shared" si="24"/>
        <v/>
      </c>
      <c r="H652" t="str">
        <f t="shared" si="25"/>
        <v/>
      </c>
    </row>
    <row r="653" spans="5:8" x14ac:dyDescent="0.2">
      <c r="E653" t="str">
        <f t="shared" si="24"/>
        <v/>
      </c>
      <c r="H653" t="str">
        <f t="shared" si="25"/>
        <v/>
      </c>
    </row>
    <row r="654" spans="5:8" x14ac:dyDescent="0.2">
      <c r="E654" t="str">
        <f t="shared" si="24"/>
        <v/>
      </c>
      <c r="H654" t="str">
        <f t="shared" si="25"/>
        <v/>
      </c>
    </row>
    <row r="655" spans="5:8" x14ac:dyDescent="0.2">
      <c r="E655" t="str">
        <f t="shared" si="24"/>
        <v/>
      </c>
      <c r="H655" t="str">
        <f t="shared" si="25"/>
        <v/>
      </c>
    </row>
    <row r="656" spans="5:8" x14ac:dyDescent="0.2">
      <c r="E656" t="str">
        <f t="shared" si="24"/>
        <v/>
      </c>
      <c r="H656" t="str">
        <f t="shared" si="25"/>
        <v/>
      </c>
    </row>
    <row r="657" spans="5:8" x14ac:dyDescent="0.2">
      <c r="E657" t="str">
        <f t="shared" si="24"/>
        <v/>
      </c>
      <c r="H657" t="str">
        <f t="shared" si="25"/>
        <v/>
      </c>
    </row>
    <row r="658" spans="5:8" x14ac:dyDescent="0.2">
      <c r="E658" t="str">
        <f t="shared" si="24"/>
        <v/>
      </c>
      <c r="H658" t="str">
        <f t="shared" si="25"/>
        <v/>
      </c>
    </row>
    <row r="659" spans="5:8" x14ac:dyDescent="0.2">
      <c r="E659" t="str">
        <f t="shared" si="24"/>
        <v/>
      </c>
      <c r="H659" t="str">
        <f t="shared" si="25"/>
        <v/>
      </c>
    </row>
    <row r="660" spans="5:8" x14ac:dyDescent="0.2">
      <c r="E660" t="str">
        <f t="shared" si="24"/>
        <v/>
      </c>
      <c r="H660" t="str">
        <f t="shared" si="25"/>
        <v/>
      </c>
    </row>
    <row r="661" spans="5:8" x14ac:dyDescent="0.2">
      <c r="E661" t="str">
        <f t="shared" si="24"/>
        <v/>
      </c>
      <c r="H661" t="str">
        <f t="shared" si="25"/>
        <v/>
      </c>
    </row>
    <row r="662" spans="5:8" x14ac:dyDescent="0.2">
      <c r="E662" t="str">
        <f t="shared" si="24"/>
        <v/>
      </c>
      <c r="H662" t="str">
        <f t="shared" si="25"/>
        <v/>
      </c>
    </row>
    <row r="663" spans="5:8" x14ac:dyDescent="0.2">
      <c r="E663" t="str">
        <f t="shared" si="24"/>
        <v/>
      </c>
      <c r="H663" t="str">
        <f t="shared" si="25"/>
        <v/>
      </c>
    </row>
    <row r="664" spans="5:8" x14ac:dyDescent="0.2">
      <c r="E664" t="str">
        <f t="shared" si="24"/>
        <v/>
      </c>
      <c r="H664" t="str">
        <f t="shared" si="25"/>
        <v/>
      </c>
    </row>
    <row r="665" spans="5:8" x14ac:dyDescent="0.2">
      <c r="E665" t="str">
        <f t="shared" si="24"/>
        <v/>
      </c>
      <c r="H665" t="str">
        <f t="shared" si="25"/>
        <v/>
      </c>
    </row>
    <row r="666" spans="5:8" x14ac:dyDescent="0.2">
      <c r="E666" t="str">
        <f t="shared" si="24"/>
        <v/>
      </c>
      <c r="H666" t="str">
        <f t="shared" si="25"/>
        <v/>
      </c>
    </row>
    <row r="667" spans="5:8" x14ac:dyDescent="0.2">
      <c r="E667" t="str">
        <f t="shared" si="24"/>
        <v/>
      </c>
      <c r="H667" t="str">
        <f t="shared" si="25"/>
        <v/>
      </c>
    </row>
    <row r="668" spans="5:8" x14ac:dyDescent="0.2">
      <c r="E668" t="str">
        <f t="shared" si="24"/>
        <v/>
      </c>
      <c r="H668" t="str">
        <f t="shared" si="25"/>
        <v/>
      </c>
    </row>
    <row r="669" spans="5:8" x14ac:dyDescent="0.2">
      <c r="E669" t="str">
        <f t="shared" si="24"/>
        <v/>
      </c>
      <c r="H669" t="str">
        <f t="shared" si="25"/>
        <v/>
      </c>
    </row>
    <row r="670" spans="5:8" x14ac:dyDescent="0.2">
      <c r="E670" t="str">
        <f t="shared" si="24"/>
        <v/>
      </c>
      <c r="H670" t="str">
        <f t="shared" si="25"/>
        <v/>
      </c>
    </row>
    <row r="671" spans="5:8" x14ac:dyDescent="0.2">
      <c r="E671" t="str">
        <f t="shared" si="24"/>
        <v/>
      </c>
      <c r="H671" t="str">
        <f t="shared" si="25"/>
        <v/>
      </c>
    </row>
    <row r="672" spans="5:8" x14ac:dyDescent="0.2">
      <c r="E672" t="str">
        <f t="shared" si="24"/>
        <v/>
      </c>
      <c r="H672" t="str">
        <f t="shared" si="25"/>
        <v/>
      </c>
    </row>
    <row r="673" spans="5:8" x14ac:dyDescent="0.2">
      <c r="E673" t="str">
        <f t="shared" si="24"/>
        <v/>
      </c>
      <c r="H673" t="str">
        <f t="shared" si="25"/>
        <v/>
      </c>
    </row>
    <row r="674" spans="5:8" x14ac:dyDescent="0.2">
      <c r="E674" t="str">
        <f t="shared" si="24"/>
        <v/>
      </c>
      <c r="H674" t="str">
        <f t="shared" si="25"/>
        <v/>
      </c>
    </row>
    <row r="675" spans="5:8" x14ac:dyDescent="0.2">
      <c r="E675" t="str">
        <f t="shared" si="24"/>
        <v/>
      </c>
      <c r="H675" t="str">
        <f t="shared" si="25"/>
        <v/>
      </c>
    </row>
    <row r="676" spans="5:8" x14ac:dyDescent="0.2">
      <c r="E676" t="str">
        <f t="shared" si="24"/>
        <v/>
      </c>
      <c r="H676" t="str">
        <f t="shared" si="25"/>
        <v/>
      </c>
    </row>
    <row r="677" spans="5:8" x14ac:dyDescent="0.2">
      <c r="E677" t="str">
        <f t="shared" si="24"/>
        <v/>
      </c>
      <c r="H677" t="str">
        <f t="shared" si="25"/>
        <v/>
      </c>
    </row>
    <row r="678" spans="5:8" x14ac:dyDescent="0.2">
      <c r="E678" t="str">
        <f t="shared" si="24"/>
        <v/>
      </c>
      <c r="H678" t="str">
        <f t="shared" si="25"/>
        <v/>
      </c>
    </row>
    <row r="679" spans="5:8" x14ac:dyDescent="0.2">
      <c r="E679" t="str">
        <f t="shared" si="24"/>
        <v/>
      </c>
      <c r="H679" t="str">
        <f t="shared" si="25"/>
        <v/>
      </c>
    </row>
    <row r="680" spans="5:8" x14ac:dyDescent="0.2">
      <c r="E680" t="str">
        <f t="shared" si="24"/>
        <v/>
      </c>
      <c r="H680" t="str">
        <f t="shared" si="25"/>
        <v/>
      </c>
    </row>
    <row r="681" spans="5:8" x14ac:dyDescent="0.2">
      <c r="E681" t="str">
        <f t="shared" si="24"/>
        <v/>
      </c>
      <c r="H681" t="str">
        <f t="shared" si="25"/>
        <v/>
      </c>
    </row>
    <row r="682" spans="5:8" x14ac:dyDescent="0.2">
      <c r="E682" t="str">
        <f t="shared" si="24"/>
        <v/>
      </c>
      <c r="H682" t="str">
        <f t="shared" si="25"/>
        <v/>
      </c>
    </row>
    <row r="683" spans="5:8" x14ac:dyDescent="0.2">
      <c r="E683" t="str">
        <f t="shared" si="24"/>
        <v/>
      </c>
      <c r="H683" t="str">
        <f t="shared" si="25"/>
        <v/>
      </c>
    </row>
    <row r="684" spans="5:8" x14ac:dyDescent="0.2">
      <c r="E684" t="str">
        <f t="shared" si="24"/>
        <v/>
      </c>
      <c r="H684" t="str">
        <f t="shared" si="25"/>
        <v/>
      </c>
    </row>
    <row r="685" spans="5:8" x14ac:dyDescent="0.2">
      <c r="E685" t="str">
        <f t="shared" si="24"/>
        <v/>
      </c>
      <c r="H685" t="str">
        <f t="shared" si="25"/>
        <v/>
      </c>
    </row>
    <row r="686" spans="5:8" x14ac:dyDescent="0.2">
      <c r="E686" t="str">
        <f t="shared" si="24"/>
        <v/>
      </c>
      <c r="H686" t="str">
        <f t="shared" si="25"/>
        <v/>
      </c>
    </row>
    <row r="687" spans="5:8" x14ac:dyDescent="0.2">
      <c r="E687" t="str">
        <f t="shared" si="24"/>
        <v/>
      </c>
      <c r="H687" t="str">
        <f t="shared" si="25"/>
        <v/>
      </c>
    </row>
    <row r="688" spans="5:8" x14ac:dyDescent="0.2">
      <c r="E688" t="str">
        <f t="shared" si="24"/>
        <v/>
      </c>
      <c r="H688" t="str">
        <f t="shared" si="25"/>
        <v/>
      </c>
    </row>
    <row r="689" spans="5:8" x14ac:dyDescent="0.2">
      <c r="E689" t="str">
        <f t="shared" si="24"/>
        <v/>
      </c>
      <c r="H689" t="str">
        <f t="shared" si="25"/>
        <v/>
      </c>
    </row>
    <row r="690" spans="5:8" x14ac:dyDescent="0.2">
      <c r="E690" t="str">
        <f t="shared" si="24"/>
        <v/>
      </c>
      <c r="H690" t="str">
        <f t="shared" si="25"/>
        <v/>
      </c>
    </row>
    <row r="691" spans="5:8" x14ac:dyDescent="0.2">
      <c r="E691" t="str">
        <f t="shared" si="24"/>
        <v/>
      </c>
      <c r="H691" t="str">
        <f t="shared" si="25"/>
        <v/>
      </c>
    </row>
    <row r="692" spans="5:8" x14ac:dyDescent="0.2">
      <c r="E692" t="str">
        <f t="shared" si="24"/>
        <v/>
      </c>
      <c r="H692" t="str">
        <f t="shared" si="25"/>
        <v/>
      </c>
    </row>
    <row r="693" spans="5:8" x14ac:dyDescent="0.2">
      <c r="E693" t="str">
        <f t="shared" si="24"/>
        <v/>
      </c>
      <c r="H693" t="str">
        <f t="shared" si="25"/>
        <v/>
      </c>
    </row>
    <row r="694" spans="5:8" x14ac:dyDescent="0.2">
      <c r="E694" t="str">
        <f t="shared" si="24"/>
        <v/>
      </c>
      <c r="H694" t="str">
        <f t="shared" si="25"/>
        <v/>
      </c>
    </row>
    <row r="695" spans="5:8" x14ac:dyDescent="0.2">
      <c r="E695" t="str">
        <f t="shared" si="24"/>
        <v/>
      </c>
      <c r="H695" t="str">
        <f t="shared" si="25"/>
        <v/>
      </c>
    </row>
    <row r="696" spans="5:8" x14ac:dyDescent="0.2">
      <c r="E696" t="str">
        <f t="shared" si="24"/>
        <v/>
      </c>
      <c r="H696" t="str">
        <f t="shared" si="25"/>
        <v/>
      </c>
    </row>
    <row r="697" spans="5:8" x14ac:dyDescent="0.2">
      <c r="E697" t="str">
        <f t="shared" si="24"/>
        <v/>
      </c>
      <c r="H697" t="str">
        <f t="shared" si="25"/>
        <v/>
      </c>
    </row>
    <row r="698" spans="5:8" x14ac:dyDescent="0.2">
      <c r="E698" t="str">
        <f t="shared" si="24"/>
        <v/>
      </c>
      <c r="H698" t="str">
        <f t="shared" si="25"/>
        <v/>
      </c>
    </row>
    <row r="699" spans="5:8" x14ac:dyDescent="0.2">
      <c r="E699" t="str">
        <f t="shared" si="24"/>
        <v/>
      </c>
      <c r="H699" t="str">
        <f t="shared" si="25"/>
        <v/>
      </c>
    </row>
    <row r="700" spans="5:8" x14ac:dyDescent="0.2">
      <c r="E700" t="str">
        <f t="shared" si="24"/>
        <v/>
      </c>
      <c r="H700" t="str">
        <f t="shared" si="25"/>
        <v/>
      </c>
    </row>
    <row r="701" spans="5:8" x14ac:dyDescent="0.2">
      <c r="E701" t="str">
        <f t="shared" si="24"/>
        <v/>
      </c>
      <c r="H701" t="str">
        <f t="shared" si="25"/>
        <v/>
      </c>
    </row>
    <row r="702" spans="5:8" x14ac:dyDescent="0.2">
      <c r="E702" t="str">
        <f t="shared" si="24"/>
        <v/>
      </c>
      <c r="H702" t="str">
        <f t="shared" si="25"/>
        <v/>
      </c>
    </row>
    <row r="703" spans="5:8" x14ac:dyDescent="0.2">
      <c r="E703" t="str">
        <f t="shared" si="24"/>
        <v/>
      </c>
      <c r="H703" t="str">
        <f t="shared" si="25"/>
        <v/>
      </c>
    </row>
    <row r="704" spans="5:8" x14ac:dyDescent="0.2">
      <c r="E704" t="str">
        <f t="shared" si="24"/>
        <v/>
      </c>
      <c r="H704" t="str">
        <f t="shared" si="25"/>
        <v/>
      </c>
    </row>
    <row r="705" spans="5:8" x14ac:dyDescent="0.2">
      <c r="E705" t="str">
        <f t="shared" si="24"/>
        <v/>
      </c>
      <c r="H705" t="str">
        <f t="shared" si="25"/>
        <v/>
      </c>
    </row>
    <row r="706" spans="5:8" x14ac:dyDescent="0.2">
      <c r="E706" t="str">
        <f t="shared" si="24"/>
        <v/>
      </c>
      <c r="H706" t="str">
        <f t="shared" si="25"/>
        <v/>
      </c>
    </row>
    <row r="707" spans="5:8" x14ac:dyDescent="0.2">
      <c r="E707" t="str">
        <f t="shared" si="24"/>
        <v/>
      </c>
      <c r="H707" t="str">
        <f t="shared" si="25"/>
        <v/>
      </c>
    </row>
    <row r="708" spans="5:8" x14ac:dyDescent="0.2">
      <c r="E708" t="str">
        <f t="shared" si="24"/>
        <v/>
      </c>
      <c r="H708" t="str">
        <f t="shared" si="25"/>
        <v/>
      </c>
    </row>
    <row r="709" spans="5:8" x14ac:dyDescent="0.2">
      <c r="E709" t="str">
        <f t="shared" si="24"/>
        <v/>
      </c>
      <c r="H709" t="str">
        <f t="shared" si="25"/>
        <v/>
      </c>
    </row>
    <row r="710" spans="5:8" x14ac:dyDescent="0.2">
      <c r="E710" t="str">
        <f t="shared" si="24"/>
        <v/>
      </c>
      <c r="H710" t="str">
        <f t="shared" si="25"/>
        <v/>
      </c>
    </row>
    <row r="711" spans="5:8" x14ac:dyDescent="0.2">
      <c r="E711" t="str">
        <f t="shared" si="24"/>
        <v/>
      </c>
      <c r="H711" t="str">
        <f t="shared" si="25"/>
        <v/>
      </c>
    </row>
    <row r="712" spans="5:8" x14ac:dyDescent="0.2">
      <c r="E712" t="str">
        <f t="shared" ref="E712:E775" si="26">IF(D712="","","Bittrex")</f>
        <v/>
      </c>
      <c r="H712" t="str">
        <f t="shared" ref="H712:H775" si="27">IF(G712="","","Bittrex")</f>
        <v/>
      </c>
    </row>
    <row r="713" spans="5:8" x14ac:dyDescent="0.2">
      <c r="E713" t="str">
        <f t="shared" si="26"/>
        <v/>
      </c>
      <c r="H713" t="str">
        <f t="shared" si="27"/>
        <v/>
      </c>
    </row>
    <row r="714" spans="5:8" x14ac:dyDescent="0.2">
      <c r="E714" t="str">
        <f t="shared" si="26"/>
        <v/>
      </c>
      <c r="H714" t="str">
        <f t="shared" si="27"/>
        <v/>
      </c>
    </row>
    <row r="715" spans="5:8" x14ac:dyDescent="0.2">
      <c r="E715" t="str">
        <f t="shared" si="26"/>
        <v/>
      </c>
      <c r="H715" t="str">
        <f t="shared" si="27"/>
        <v/>
      </c>
    </row>
    <row r="716" spans="5:8" x14ac:dyDescent="0.2">
      <c r="E716" t="str">
        <f t="shared" si="26"/>
        <v/>
      </c>
      <c r="H716" t="str">
        <f t="shared" si="27"/>
        <v/>
      </c>
    </row>
    <row r="717" spans="5:8" x14ac:dyDescent="0.2">
      <c r="E717" t="str">
        <f t="shared" si="26"/>
        <v/>
      </c>
      <c r="H717" t="str">
        <f t="shared" si="27"/>
        <v/>
      </c>
    </row>
    <row r="718" spans="5:8" x14ac:dyDescent="0.2">
      <c r="E718" t="str">
        <f t="shared" si="26"/>
        <v/>
      </c>
      <c r="H718" t="str">
        <f t="shared" si="27"/>
        <v/>
      </c>
    </row>
    <row r="719" spans="5:8" x14ac:dyDescent="0.2">
      <c r="E719" t="str">
        <f t="shared" si="26"/>
        <v/>
      </c>
      <c r="H719" t="str">
        <f t="shared" si="27"/>
        <v/>
      </c>
    </row>
    <row r="720" spans="5:8" x14ac:dyDescent="0.2">
      <c r="E720" t="str">
        <f t="shared" si="26"/>
        <v/>
      </c>
      <c r="H720" t="str">
        <f t="shared" si="27"/>
        <v/>
      </c>
    </row>
    <row r="721" spans="5:8" x14ac:dyDescent="0.2">
      <c r="E721" t="str">
        <f t="shared" si="26"/>
        <v/>
      </c>
      <c r="H721" t="str">
        <f t="shared" si="27"/>
        <v/>
      </c>
    </row>
    <row r="722" spans="5:8" x14ac:dyDescent="0.2">
      <c r="E722" t="str">
        <f t="shared" si="26"/>
        <v/>
      </c>
      <c r="H722" t="str">
        <f t="shared" si="27"/>
        <v/>
      </c>
    </row>
    <row r="723" spans="5:8" x14ac:dyDescent="0.2">
      <c r="E723" t="str">
        <f t="shared" si="26"/>
        <v/>
      </c>
      <c r="H723" t="str">
        <f t="shared" si="27"/>
        <v/>
      </c>
    </row>
    <row r="724" spans="5:8" x14ac:dyDescent="0.2">
      <c r="E724" t="str">
        <f t="shared" si="26"/>
        <v/>
      </c>
      <c r="H724" t="str">
        <f t="shared" si="27"/>
        <v/>
      </c>
    </row>
    <row r="725" spans="5:8" x14ac:dyDescent="0.2">
      <c r="E725" t="str">
        <f t="shared" si="26"/>
        <v/>
      </c>
      <c r="H725" t="str">
        <f t="shared" si="27"/>
        <v/>
      </c>
    </row>
    <row r="726" spans="5:8" x14ac:dyDescent="0.2">
      <c r="E726" t="str">
        <f t="shared" si="26"/>
        <v/>
      </c>
      <c r="H726" t="str">
        <f t="shared" si="27"/>
        <v/>
      </c>
    </row>
    <row r="727" spans="5:8" x14ac:dyDescent="0.2">
      <c r="E727" t="str">
        <f t="shared" si="26"/>
        <v/>
      </c>
      <c r="H727" t="str">
        <f t="shared" si="27"/>
        <v/>
      </c>
    </row>
    <row r="728" spans="5:8" x14ac:dyDescent="0.2">
      <c r="E728" t="str">
        <f t="shared" si="26"/>
        <v/>
      </c>
      <c r="H728" t="str">
        <f t="shared" si="27"/>
        <v/>
      </c>
    </row>
    <row r="729" spans="5:8" x14ac:dyDescent="0.2">
      <c r="E729" t="str">
        <f t="shared" si="26"/>
        <v/>
      </c>
      <c r="H729" t="str">
        <f t="shared" si="27"/>
        <v/>
      </c>
    </row>
    <row r="730" spans="5:8" x14ac:dyDescent="0.2">
      <c r="E730" t="str">
        <f t="shared" si="26"/>
        <v/>
      </c>
      <c r="H730" t="str">
        <f t="shared" si="27"/>
        <v/>
      </c>
    </row>
    <row r="731" spans="5:8" x14ac:dyDescent="0.2">
      <c r="E731" t="str">
        <f t="shared" si="26"/>
        <v/>
      </c>
      <c r="H731" t="str">
        <f t="shared" si="27"/>
        <v/>
      </c>
    </row>
    <row r="732" spans="5:8" x14ac:dyDescent="0.2">
      <c r="E732" t="str">
        <f t="shared" si="26"/>
        <v/>
      </c>
      <c r="H732" t="str">
        <f t="shared" si="27"/>
        <v/>
      </c>
    </row>
    <row r="733" spans="5:8" x14ac:dyDescent="0.2">
      <c r="E733" t="str">
        <f t="shared" si="26"/>
        <v/>
      </c>
      <c r="H733" t="str">
        <f t="shared" si="27"/>
        <v/>
      </c>
    </row>
    <row r="734" spans="5:8" x14ac:dyDescent="0.2">
      <c r="E734" t="str">
        <f t="shared" si="26"/>
        <v/>
      </c>
      <c r="H734" t="str">
        <f t="shared" si="27"/>
        <v/>
      </c>
    </row>
    <row r="735" spans="5:8" x14ac:dyDescent="0.2">
      <c r="E735" t="str">
        <f t="shared" si="26"/>
        <v/>
      </c>
      <c r="H735" t="str">
        <f t="shared" si="27"/>
        <v/>
      </c>
    </row>
    <row r="736" spans="5:8" x14ac:dyDescent="0.2">
      <c r="E736" t="str">
        <f t="shared" si="26"/>
        <v/>
      </c>
      <c r="H736" t="str">
        <f t="shared" si="27"/>
        <v/>
      </c>
    </row>
    <row r="737" spans="5:8" x14ac:dyDescent="0.2">
      <c r="E737" t="str">
        <f t="shared" si="26"/>
        <v/>
      </c>
      <c r="H737" t="str">
        <f t="shared" si="27"/>
        <v/>
      </c>
    </row>
    <row r="738" spans="5:8" x14ac:dyDescent="0.2">
      <c r="E738" t="str">
        <f t="shared" si="26"/>
        <v/>
      </c>
      <c r="H738" t="str">
        <f t="shared" si="27"/>
        <v/>
      </c>
    </row>
    <row r="739" spans="5:8" x14ac:dyDescent="0.2">
      <c r="E739" t="str">
        <f t="shared" si="26"/>
        <v/>
      </c>
      <c r="H739" t="str">
        <f t="shared" si="27"/>
        <v/>
      </c>
    </row>
    <row r="740" spans="5:8" x14ac:dyDescent="0.2">
      <c r="E740" t="str">
        <f t="shared" si="26"/>
        <v/>
      </c>
      <c r="H740" t="str">
        <f t="shared" si="27"/>
        <v/>
      </c>
    </row>
    <row r="741" spans="5:8" x14ac:dyDescent="0.2">
      <c r="E741" t="str">
        <f t="shared" si="26"/>
        <v/>
      </c>
      <c r="H741" t="str">
        <f t="shared" si="27"/>
        <v/>
      </c>
    </row>
    <row r="742" spans="5:8" x14ac:dyDescent="0.2">
      <c r="E742" t="str">
        <f t="shared" si="26"/>
        <v/>
      </c>
      <c r="H742" t="str">
        <f t="shared" si="27"/>
        <v/>
      </c>
    </row>
    <row r="743" spans="5:8" x14ac:dyDescent="0.2">
      <c r="E743" t="str">
        <f t="shared" si="26"/>
        <v/>
      </c>
      <c r="H743" t="str">
        <f t="shared" si="27"/>
        <v/>
      </c>
    </row>
    <row r="744" spans="5:8" x14ac:dyDescent="0.2">
      <c r="E744" t="str">
        <f t="shared" si="26"/>
        <v/>
      </c>
      <c r="H744" t="str">
        <f t="shared" si="27"/>
        <v/>
      </c>
    </row>
    <row r="745" spans="5:8" x14ac:dyDescent="0.2">
      <c r="E745" t="str">
        <f t="shared" si="26"/>
        <v/>
      </c>
      <c r="H745" t="str">
        <f t="shared" si="27"/>
        <v/>
      </c>
    </row>
    <row r="746" spans="5:8" x14ac:dyDescent="0.2">
      <c r="E746" t="str">
        <f t="shared" si="26"/>
        <v/>
      </c>
      <c r="H746" t="str">
        <f t="shared" si="27"/>
        <v/>
      </c>
    </row>
    <row r="747" spans="5:8" x14ac:dyDescent="0.2">
      <c r="E747" t="str">
        <f t="shared" si="26"/>
        <v/>
      </c>
      <c r="H747" t="str">
        <f t="shared" si="27"/>
        <v/>
      </c>
    </row>
    <row r="748" spans="5:8" x14ac:dyDescent="0.2">
      <c r="E748" t="str">
        <f t="shared" si="26"/>
        <v/>
      </c>
      <c r="H748" t="str">
        <f t="shared" si="27"/>
        <v/>
      </c>
    </row>
    <row r="749" spans="5:8" x14ac:dyDescent="0.2">
      <c r="E749" t="str">
        <f t="shared" si="26"/>
        <v/>
      </c>
      <c r="H749" t="str">
        <f t="shared" si="27"/>
        <v/>
      </c>
    </row>
    <row r="750" spans="5:8" x14ac:dyDescent="0.2">
      <c r="E750" t="str">
        <f t="shared" si="26"/>
        <v/>
      </c>
      <c r="H750" t="str">
        <f t="shared" si="27"/>
        <v/>
      </c>
    </row>
    <row r="751" spans="5:8" x14ac:dyDescent="0.2">
      <c r="E751" t="str">
        <f t="shared" si="26"/>
        <v/>
      </c>
      <c r="H751" t="str">
        <f t="shared" si="27"/>
        <v/>
      </c>
    </row>
    <row r="752" spans="5:8" x14ac:dyDescent="0.2">
      <c r="E752" t="str">
        <f t="shared" si="26"/>
        <v/>
      </c>
      <c r="H752" t="str">
        <f t="shared" si="27"/>
        <v/>
      </c>
    </row>
    <row r="753" spans="5:8" x14ac:dyDescent="0.2">
      <c r="E753" t="str">
        <f t="shared" si="26"/>
        <v/>
      </c>
      <c r="H753" t="str">
        <f t="shared" si="27"/>
        <v/>
      </c>
    </row>
    <row r="754" spans="5:8" x14ac:dyDescent="0.2">
      <c r="E754" t="str">
        <f t="shared" si="26"/>
        <v/>
      </c>
      <c r="H754" t="str">
        <f t="shared" si="27"/>
        <v/>
      </c>
    </row>
    <row r="755" spans="5:8" x14ac:dyDescent="0.2">
      <c r="E755" t="str">
        <f t="shared" si="26"/>
        <v/>
      </c>
      <c r="H755" t="str">
        <f t="shared" si="27"/>
        <v/>
      </c>
    </row>
    <row r="756" spans="5:8" x14ac:dyDescent="0.2">
      <c r="E756" t="str">
        <f t="shared" si="26"/>
        <v/>
      </c>
      <c r="H756" t="str">
        <f t="shared" si="27"/>
        <v/>
      </c>
    </row>
    <row r="757" spans="5:8" x14ac:dyDescent="0.2">
      <c r="E757" t="str">
        <f t="shared" si="26"/>
        <v/>
      </c>
      <c r="H757" t="str">
        <f t="shared" si="27"/>
        <v/>
      </c>
    </row>
    <row r="758" spans="5:8" x14ac:dyDescent="0.2">
      <c r="E758" t="str">
        <f t="shared" si="26"/>
        <v/>
      </c>
      <c r="H758" t="str">
        <f t="shared" si="27"/>
        <v/>
      </c>
    </row>
    <row r="759" spans="5:8" x14ac:dyDescent="0.2">
      <c r="E759" t="str">
        <f t="shared" si="26"/>
        <v/>
      </c>
      <c r="H759" t="str">
        <f t="shared" si="27"/>
        <v/>
      </c>
    </row>
    <row r="760" spans="5:8" x14ac:dyDescent="0.2">
      <c r="E760" t="str">
        <f t="shared" si="26"/>
        <v/>
      </c>
      <c r="H760" t="str">
        <f t="shared" si="27"/>
        <v/>
      </c>
    </row>
    <row r="761" spans="5:8" x14ac:dyDescent="0.2">
      <c r="E761" t="str">
        <f t="shared" si="26"/>
        <v/>
      </c>
      <c r="H761" t="str">
        <f t="shared" si="27"/>
        <v/>
      </c>
    </row>
    <row r="762" spans="5:8" x14ac:dyDescent="0.2">
      <c r="E762" t="str">
        <f t="shared" si="26"/>
        <v/>
      </c>
      <c r="H762" t="str">
        <f t="shared" si="27"/>
        <v/>
      </c>
    </row>
    <row r="763" spans="5:8" x14ac:dyDescent="0.2">
      <c r="E763" t="str">
        <f t="shared" si="26"/>
        <v/>
      </c>
      <c r="H763" t="str">
        <f t="shared" si="27"/>
        <v/>
      </c>
    </row>
    <row r="764" spans="5:8" x14ac:dyDescent="0.2">
      <c r="E764" t="str">
        <f t="shared" si="26"/>
        <v/>
      </c>
      <c r="H764" t="str">
        <f t="shared" si="27"/>
        <v/>
      </c>
    </row>
    <row r="765" spans="5:8" x14ac:dyDescent="0.2">
      <c r="E765" t="str">
        <f t="shared" si="26"/>
        <v/>
      </c>
      <c r="H765" t="str">
        <f t="shared" si="27"/>
        <v/>
      </c>
    </row>
    <row r="766" spans="5:8" x14ac:dyDescent="0.2">
      <c r="E766" t="str">
        <f t="shared" si="26"/>
        <v/>
      </c>
      <c r="H766" t="str">
        <f t="shared" si="27"/>
        <v/>
      </c>
    </row>
    <row r="767" spans="5:8" x14ac:dyDescent="0.2">
      <c r="E767" t="str">
        <f t="shared" si="26"/>
        <v/>
      </c>
      <c r="H767" t="str">
        <f t="shared" si="27"/>
        <v/>
      </c>
    </row>
    <row r="768" spans="5:8" x14ac:dyDescent="0.2">
      <c r="E768" t="str">
        <f t="shared" si="26"/>
        <v/>
      </c>
      <c r="H768" t="str">
        <f t="shared" si="27"/>
        <v/>
      </c>
    </row>
    <row r="769" spans="5:8" x14ac:dyDescent="0.2">
      <c r="E769" t="str">
        <f t="shared" si="26"/>
        <v/>
      </c>
      <c r="H769" t="str">
        <f t="shared" si="27"/>
        <v/>
      </c>
    </row>
    <row r="770" spans="5:8" x14ac:dyDescent="0.2">
      <c r="E770" t="str">
        <f t="shared" si="26"/>
        <v/>
      </c>
      <c r="H770" t="str">
        <f t="shared" si="27"/>
        <v/>
      </c>
    </row>
    <row r="771" spans="5:8" x14ac:dyDescent="0.2">
      <c r="E771" t="str">
        <f t="shared" si="26"/>
        <v/>
      </c>
      <c r="H771" t="str">
        <f t="shared" si="27"/>
        <v/>
      </c>
    </row>
    <row r="772" spans="5:8" x14ac:dyDescent="0.2">
      <c r="E772" t="str">
        <f t="shared" si="26"/>
        <v/>
      </c>
      <c r="H772" t="str">
        <f t="shared" si="27"/>
        <v/>
      </c>
    </row>
    <row r="773" spans="5:8" x14ac:dyDescent="0.2">
      <c r="E773" t="str">
        <f t="shared" si="26"/>
        <v/>
      </c>
      <c r="H773" t="str">
        <f t="shared" si="27"/>
        <v/>
      </c>
    </row>
    <row r="774" spans="5:8" x14ac:dyDescent="0.2">
      <c r="E774" t="str">
        <f t="shared" si="26"/>
        <v/>
      </c>
      <c r="H774" t="str">
        <f t="shared" si="27"/>
        <v/>
      </c>
    </row>
    <row r="775" spans="5:8" x14ac:dyDescent="0.2">
      <c r="E775" t="str">
        <f t="shared" si="26"/>
        <v/>
      </c>
      <c r="H775" t="str">
        <f t="shared" si="27"/>
        <v/>
      </c>
    </row>
    <row r="776" spans="5:8" x14ac:dyDescent="0.2">
      <c r="E776" t="str">
        <f t="shared" ref="E776:E839" si="28">IF(D776="","","Bittrex")</f>
        <v/>
      </c>
      <c r="H776" t="str">
        <f t="shared" ref="H776:H839" si="29">IF(G776="","","Bittrex")</f>
        <v/>
      </c>
    </row>
    <row r="777" spans="5:8" x14ac:dyDescent="0.2">
      <c r="E777" t="str">
        <f t="shared" si="28"/>
        <v/>
      </c>
      <c r="H777" t="str">
        <f t="shared" si="29"/>
        <v/>
      </c>
    </row>
    <row r="778" spans="5:8" x14ac:dyDescent="0.2">
      <c r="E778" t="str">
        <f t="shared" si="28"/>
        <v/>
      </c>
      <c r="H778" t="str">
        <f t="shared" si="29"/>
        <v/>
      </c>
    </row>
    <row r="779" spans="5:8" x14ac:dyDescent="0.2">
      <c r="E779" t="str">
        <f t="shared" si="28"/>
        <v/>
      </c>
      <c r="H779" t="str">
        <f t="shared" si="29"/>
        <v/>
      </c>
    </row>
    <row r="780" spans="5:8" x14ac:dyDescent="0.2">
      <c r="E780" t="str">
        <f t="shared" si="28"/>
        <v/>
      </c>
      <c r="H780" t="str">
        <f t="shared" si="29"/>
        <v/>
      </c>
    </row>
    <row r="781" spans="5:8" x14ac:dyDescent="0.2">
      <c r="E781" t="str">
        <f t="shared" si="28"/>
        <v/>
      </c>
      <c r="H781" t="str">
        <f t="shared" si="29"/>
        <v/>
      </c>
    </row>
    <row r="782" spans="5:8" x14ac:dyDescent="0.2">
      <c r="E782" t="str">
        <f t="shared" si="28"/>
        <v/>
      </c>
      <c r="H782" t="str">
        <f t="shared" si="29"/>
        <v/>
      </c>
    </row>
    <row r="783" spans="5:8" x14ac:dyDescent="0.2">
      <c r="E783" t="str">
        <f t="shared" si="28"/>
        <v/>
      </c>
      <c r="H783" t="str">
        <f t="shared" si="29"/>
        <v/>
      </c>
    </row>
    <row r="784" spans="5:8" x14ac:dyDescent="0.2">
      <c r="E784" t="str">
        <f t="shared" si="28"/>
        <v/>
      </c>
      <c r="H784" t="str">
        <f t="shared" si="29"/>
        <v/>
      </c>
    </row>
    <row r="785" spans="5:8" x14ac:dyDescent="0.2">
      <c r="E785" t="str">
        <f t="shared" si="28"/>
        <v/>
      </c>
      <c r="H785" t="str">
        <f t="shared" si="29"/>
        <v/>
      </c>
    </row>
    <row r="786" spans="5:8" x14ac:dyDescent="0.2">
      <c r="E786" t="str">
        <f t="shared" si="28"/>
        <v/>
      </c>
      <c r="H786" t="str">
        <f t="shared" si="29"/>
        <v/>
      </c>
    </row>
    <row r="787" spans="5:8" x14ac:dyDescent="0.2">
      <c r="E787" t="str">
        <f t="shared" si="28"/>
        <v/>
      </c>
      <c r="H787" t="str">
        <f t="shared" si="29"/>
        <v/>
      </c>
    </row>
    <row r="788" spans="5:8" x14ac:dyDescent="0.2">
      <c r="E788" t="str">
        <f t="shared" si="28"/>
        <v/>
      </c>
      <c r="H788" t="str">
        <f t="shared" si="29"/>
        <v/>
      </c>
    </row>
    <row r="789" spans="5:8" x14ac:dyDescent="0.2">
      <c r="E789" t="str">
        <f t="shared" si="28"/>
        <v/>
      </c>
      <c r="H789" t="str">
        <f t="shared" si="29"/>
        <v/>
      </c>
    </row>
    <row r="790" spans="5:8" x14ac:dyDescent="0.2">
      <c r="E790" t="str">
        <f t="shared" si="28"/>
        <v/>
      </c>
      <c r="H790" t="str">
        <f t="shared" si="29"/>
        <v/>
      </c>
    </row>
    <row r="791" spans="5:8" x14ac:dyDescent="0.2">
      <c r="E791" t="str">
        <f t="shared" si="28"/>
        <v/>
      </c>
      <c r="H791" t="str">
        <f t="shared" si="29"/>
        <v/>
      </c>
    </row>
    <row r="792" spans="5:8" x14ac:dyDescent="0.2">
      <c r="E792" t="str">
        <f t="shared" si="28"/>
        <v/>
      </c>
      <c r="H792" t="str">
        <f t="shared" si="29"/>
        <v/>
      </c>
    </row>
    <row r="793" spans="5:8" x14ac:dyDescent="0.2">
      <c r="E793" t="str">
        <f t="shared" si="28"/>
        <v/>
      </c>
      <c r="H793" t="str">
        <f t="shared" si="29"/>
        <v/>
      </c>
    </row>
    <row r="794" spans="5:8" x14ac:dyDescent="0.2">
      <c r="E794" t="str">
        <f t="shared" si="28"/>
        <v/>
      </c>
      <c r="H794" t="str">
        <f t="shared" si="29"/>
        <v/>
      </c>
    </row>
    <row r="795" spans="5:8" x14ac:dyDescent="0.2">
      <c r="E795" t="str">
        <f t="shared" si="28"/>
        <v/>
      </c>
      <c r="H795" t="str">
        <f t="shared" si="29"/>
        <v/>
      </c>
    </row>
    <row r="796" spans="5:8" x14ac:dyDescent="0.2">
      <c r="E796" t="str">
        <f t="shared" si="28"/>
        <v/>
      </c>
      <c r="H796" t="str">
        <f t="shared" si="29"/>
        <v/>
      </c>
    </row>
    <row r="797" spans="5:8" x14ac:dyDescent="0.2">
      <c r="E797" t="str">
        <f t="shared" si="28"/>
        <v/>
      </c>
      <c r="H797" t="str">
        <f t="shared" si="29"/>
        <v/>
      </c>
    </row>
    <row r="798" spans="5:8" x14ac:dyDescent="0.2">
      <c r="E798" t="str">
        <f t="shared" si="28"/>
        <v/>
      </c>
      <c r="H798" t="str">
        <f t="shared" si="29"/>
        <v/>
      </c>
    </row>
    <row r="799" spans="5:8" x14ac:dyDescent="0.2">
      <c r="E799" t="str">
        <f t="shared" si="28"/>
        <v/>
      </c>
      <c r="H799" t="str">
        <f t="shared" si="29"/>
        <v/>
      </c>
    </row>
    <row r="800" spans="5:8" x14ac:dyDescent="0.2">
      <c r="E800" t="str">
        <f t="shared" si="28"/>
        <v/>
      </c>
      <c r="H800" t="str">
        <f t="shared" si="29"/>
        <v/>
      </c>
    </row>
    <row r="801" spans="5:8" x14ac:dyDescent="0.2">
      <c r="E801" t="str">
        <f t="shared" si="28"/>
        <v/>
      </c>
      <c r="H801" t="str">
        <f t="shared" si="29"/>
        <v/>
      </c>
    </row>
    <row r="802" spans="5:8" x14ac:dyDescent="0.2">
      <c r="E802" t="str">
        <f t="shared" si="28"/>
        <v/>
      </c>
      <c r="H802" t="str">
        <f t="shared" si="29"/>
        <v/>
      </c>
    </row>
    <row r="803" spans="5:8" x14ac:dyDescent="0.2">
      <c r="E803" t="str">
        <f t="shared" si="28"/>
        <v/>
      </c>
      <c r="H803" t="str">
        <f t="shared" si="29"/>
        <v/>
      </c>
    </row>
    <row r="804" spans="5:8" x14ac:dyDescent="0.2">
      <c r="E804" t="str">
        <f t="shared" si="28"/>
        <v/>
      </c>
      <c r="H804" t="str">
        <f t="shared" si="29"/>
        <v/>
      </c>
    </row>
    <row r="805" spans="5:8" x14ac:dyDescent="0.2">
      <c r="E805" t="str">
        <f t="shared" si="28"/>
        <v/>
      </c>
      <c r="H805" t="str">
        <f t="shared" si="29"/>
        <v/>
      </c>
    </row>
    <row r="806" spans="5:8" x14ac:dyDescent="0.2">
      <c r="E806" t="str">
        <f t="shared" si="28"/>
        <v/>
      </c>
      <c r="H806" t="str">
        <f t="shared" si="29"/>
        <v/>
      </c>
    </row>
    <row r="807" spans="5:8" x14ac:dyDescent="0.2">
      <c r="E807" t="str">
        <f t="shared" si="28"/>
        <v/>
      </c>
      <c r="H807" t="str">
        <f t="shared" si="29"/>
        <v/>
      </c>
    </row>
    <row r="808" spans="5:8" x14ac:dyDescent="0.2">
      <c r="E808" t="str">
        <f t="shared" si="28"/>
        <v/>
      </c>
      <c r="H808" t="str">
        <f t="shared" si="29"/>
        <v/>
      </c>
    </row>
    <row r="809" spans="5:8" x14ac:dyDescent="0.2">
      <c r="E809" t="str">
        <f t="shared" si="28"/>
        <v/>
      </c>
      <c r="H809" t="str">
        <f t="shared" si="29"/>
        <v/>
      </c>
    </row>
    <row r="810" spans="5:8" x14ac:dyDescent="0.2">
      <c r="E810" t="str">
        <f t="shared" si="28"/>
        <v/>
      </c>
      <c r="H810" t="str">
        <f t="shared" si="29"/>
        <v/>
      </c>
    </row>
    <row r="811" spans="5:8" x14ac:dyDescent="0.2">
      <c r="E811" t="str">
        <f t="shared" si="28"/>
        <v/>
      </c>
      <c r="H811" t="str">
        <f t="shared" si="29"/>
        <v/>
      </c>
    </row>
    <row r="812" spans="5:8" x14ac:dyDescent="0.2">
      <c r="E812" t="str">
        <f t="shared" si="28"/>
        <v/>
      </c>
      <c r="H812" t="str">
        <f t="shared" si="29"/>
        <v/>
      </c>
    </row>
    <row r="813" spans="5:8" x14ac:dyDescent="0.2">
      <c r="E813" t="str">
        <f t="shared" si="28"/>
        <v/>
      </c>
      <c r="H813" t="str">
        <f t="shared" si="29"/>
        <v/>
      </c>
    </row>
    <row r="814" spans="5:8" x14ac:dyDescent="0.2">
      <c r="E814" t="str">
        <f t="shared" si="28"/>
        <v/>
      </c>
      <c r="H814" t="str">
        <f t="shared" si="29"/>
        <v/>
      </c>
    </row>
    <row r="815" spans="5:8" x14ac:dyDescent="0.2">
      <c r="E815" t="str">
        <f t="shared" si="28"/>
        <v/>
      </c>
      <c r="H815" t="str">
        <f t="shared" si="29"/>
        <v/>
      </c>
    </row>
    <row r="816" spans="5:8" x14ac:dyDescent="0.2">
      <c r="E816" t="str">
        <f t="shared" si="28"/>
        <v/>
      </c>
      <c r="H816" t="str">
        <f t="shared" si="29"/>
        <v/>
      </c>
    </row>
    <row r="817" spans="5:8" x14ac:dyDescent="0.2">
      <c r="E817" t="str">
        <f t="shared" si="28"/>
        <v/>
      </c>
      <c r="H817" t="str">
        <f t="shared" si="29"/>
        <v/>
      </c>
    </row>
    <row r="818" spans="5:8" x14ac:dyDescent="0.2">
      <c r="E818" t="str">
        <f t="shared" si="28"/>
        <v/>
      </c>
      <c r="H818" t="str">
        <f t="shared" si="29"/>
        <v/>
      </c>
    </row>
    <row r="819" spans="5:8" x14ac:dyDescent="0.2">
      <c r="E819" t="str">
        <f t="shared" si="28"/>
        <v/>
      </c>
      <c r="H819" t="str">
        <f t="shared" si="29"/>
        <v/>
      </c>
    </row>
    <row r="820" spans="5:8" x14ac:dyDescent="0.2">
      <c r="E820" t="str">
        <f t="shared" si="28"/>
        <v/>
      </c>
      <c r="H820" t="str">
        <f t="shared" si="29"/>
        <v/>
      </c>
    </row>
    <row r="821" spans="5:8" x14ac:dyDescent="0.2">
      <c r="E821" t="str">
        <f t="shared" si="28"/>
        <v/>
      </c>
      <c r="H821" t="str">
        <f t="shared" si="29"/>
        <v/>
      </c>
    </row>
    <row r="822" spans="5:8" x14ac:dyDescent="0.2">
      <c r="E822" t="str">
        <f t="shared" si="28"/>
        <v/>
      </c>
      <c r="H822" t="str">
        <f t="shared" si="29"/>
        <v/>
      </c>
    </row>
    <row r="823" spans="5:8" x14ac:dyDescent="0.2">
      <c r="E823" t="str">
        <f t="shared" si="28"/>
        <v/>
      </c>
      <c r="H823" t="str">
        <f t="shared" si="29"/>
        <v/>
      </c>
    </row>
    <row r="824" spans="5:8" x14ac:dyDescent="0.2">
      <c r="E824" t="str">
        <f t="shared" si="28"/>
        <v/>
      </c>
      <c r="H824" t="str">
        <f t="shared" si="29"/>
        <v/>
      </c>
    </row>
    <row r="825" spans="5:8" x14ac:dyDescent="0.2">
      <c r="E825" t="str">
        <f t="shared" si="28"/>
        <v/>
      </c>
      <c r="H825" t="str">
        <f t="shared" si="29"/>
        <v/>
      </c>
    </row>
    <row r="826" spans="5:8" x14ac:dyDescent="0.2">
      <c r="E826" t="str">
        <f t="shared" si="28"/>
        <v/>
      </c>
      <c r="H826" t="str">
        <f t="shared" si="29"/>
        <v/>
      </c>
    </row>
    <row r="827" spans="5:8" x14ac:dyDescent="0.2">
      <c r="E827" t="str">
        <f t="shared" si="28"/>
        <v/>
      </c>
      <c r="H827" t="str">
        <f t="shared" si="29"/>
        <v/>
      </c>
    </row>
    <row r="828" spans="5:8" x14ac:dyDescent="0.2">
      <c r="E828" t="str">
        <f t="shared" si="28"/>
        <v/>
      </c>
      <c r="H828" t="str">
        <f t="shared" si="29"/>
        <v/>
      </c>
    </row>
    <row r="829" spans="5:8" x14ac:dyDescent="0.2">
      <c r="E829" t="str">
        <f t="shared" si="28"/>
        <v/>
      </c>
      <c r="H829" t="str">
        <f t="shared" si="29"/>
        <v/>
      </c>
    </row>
    <row r="830" spans="5:8" x14ac:dyDescent="0.2">
      <c r="E830" t="str">
        <f t="shared" si="28"/>
        <v/>
      </c>
      <c r="H830" t="str">
        <f t="shared" si="29"/>
        <v/>
      </c>
    </row>
    <row r="831" spans="5:8" x14ac:dyDescent="0.2">
      <c r="E831" t="str">
        <f t="shared" si="28"/>
        <v/>
      </c>
      <c r="H831" t="str">
        <f t="shared" si="29"/>
        <v/>
      </c>
    </row>
    <row r="832" spans="5:8" x14ac:dyDescent="0.2">
      <c r="E832" t="str">
        <f t="shared" si="28"/>
        <v/>
      </c>
      <c r="H832" t="str">
        <f t="shared" si="29"/>
        <v/>
      </c>
    </row>
    <row r="833" spans="5:8" x14ac:dyDescent="0.2">
      <c r="E833" t="str">
        <f t="shared" si="28"/>
        <v/>
      </c>
      <c r="H833" t="str">
        <f t="shared" si="29"/>
        <v/>
      </c>
    </row>
    <row r="834" spans="5:8" x14ac:dyDescent="0.2">
      <c r="E834" t="str">
        <f t="shared" si="28"/>
        <v/>
      </c>
      <c r="H834" t="str">
        <f t="shared" si="29"/>
        <v/>
      </c>
    </row>
    <row r="835" spans="5:8" x14ac:dyDescent="0.2">
      <c r="E835" t="str">
        <f t="shared" si="28"/>
        <v/>
      </c>
      <c r="H835" t="str">
        <f t="shared" si="29"/>
        <v/>
      </c>
    </row>
    <row r="836" spans="5:8" x14ac:dyDescent="0.2">
      <c r="E836" t="str">
        <f t="shared" si="28"/>
        <v/>
      </c>
      <c r="H836" t="str">
        <f t="shared" si="29"/>
        <v/>
      </c>
    </row>
    <row r="837" spans="5:8" x14ac:dyDescent="0.2">
      <c r="E837" t="str">
        <f t="shared" si="28"/>
        <v/>
      </c>
      <c r="H837" t="str">
        <f t="shared" si="29"/>
        <v/>
      </c>
    </row>
    <row r="838" spans="5:8" x14ac:dyDescent="0.2">
      <c r="E838" t="str">
        <f t="shared" si="28"/>
        <v/>
      </c>
      <c r="H838" t="str">
        <f t="shared" si="29"/>
        <v/>
      </c>
    </row>
    <row r="839" spans="5:8" x14ac:dyDescent="0.2">
      <c r="E839" t="str">
        <f t="shared" si="28"/>
        <v/>
      </c>
      <c r="H839" t="str">
        <f t="shared" si="29"/>
        <v/>
      </c>
    </row>
    <row r="840" spans="5:8" x14ac:dyDescent="0.2">
      <c r="E840" t="str">
        <f t="shared" ref="E840:E903" si="30">IF(D840="","","Bittrex")</f>
        <v/>
      </c>
      <c r="H840" t="str">
        <f t="shared" ref="H840:H903" si="31">IF(G840="","","Bittrex")</f>
        <v/>
      </c>
    </row>
    <row r="841" spans="5:8" x14ac:dyDescent="0.2">
      <c r="E841" t="str">
        <f t="shared" si="30"/>
        <v/>
      </c>
      <c r="H841" t="str">
        <f t="shared" si="31"/>
        <v/>
      </c>
    </row>
    <row r="842" spans="5:8" x14ac:dyDescent="0.2">
      <c r="E842" t="str">
        <f t="shared" si="30"/>
        <v/>
      </c>
      <c r="H842" t="str">
        <f t="shared" si="31"/>
        <v/>
      </c>
    </row>
    <row r="843" spans="5:8" x14ac:dyDescent="0.2">
      <c r="E843" t="str">
        <f t="shared" si="30"/>
        <v/>
      </c>
      <c r="H843" t="str">
        <f t="shared" si="31"/>
        <v/>
      </c>
    </row>
    <row r="844" spans="5:8" x14ac:dyDescent="0.2">
      <c r="E844" t="str">
        <f t="shared" si="30"/>
        <v/>
      </c>
      <c r="H844" t="str">
        <f t="shared" si="31"/>
        <v/>
      </c>
    </row>
    <row r="845" spans="5:8" x14ac:dyDescent="0.2">
      <c r="E845" t="str">
        <f t="shared" si="30"/>
        <v/>
      </c>
      <c r="H845" t="str">
        <f t="shared" si="31"/>
        <v/>
      </c>
    </row>
    <row r="846" spans="5:8" x14ac:dyDescent="0.2">
      <c r="E846" t="str">
        <f t="shared" si="30"/>
        <v/>
      </c>
      <c r="H846" t="str">
        <f t="shared" si="31"/>
        <v/>
      </c>
    </row>
    <row r="847" spans="5:8" x14ac:dyDescent="0.2">
      <c r="E847" t="str">
        <f t="shared" si="30"/>
        <v/>
      </c>
      <c r="H847" t="str">
        <f t="shared" si="31"/>
        <v/>
      </c>
    </row>
    <row r="848" spans="5:8" x14ac:dyDescent="0.2">
      <c r="E848" t="str">
        <f t="shared" si="30"/>
        <v/>
      </c>
      <c r="H848" t="str">
        <f t="shared" si="31"/>
        <v/>
      </c>
    </row>
    <row r="849" spans="5:8" x14ac:dyDescent="0.2">
      <c r="E849" t="str">
        <f t="shared" si="30"/>
        <v/>
      </c>
      <c r="H849" t="str">
        <f t="shared" si="31"/>
        <v/>
      </c>
    </row>
    <row r="850" spans="5:8" x14ac:dyDescent="0.2">
      <c r="E850" t="str">
        <f t="shared" si="30"/>
        <v/>
      </c>
      <c r="H850" t="str">
        <f t="shared" si="31"/>
        <v/>
      </c>
    </row>
    <row r="851" spans="5:8" x14ac:dyDescent="0.2">
      <c r="E851" t="str">
        <f t="shared" si="30"/>
        <v/>
      </c>
      <c r="H851" t="str">
        <f t="shared" si="31"/>
        <v/>
      </c>
    </row>
    <row r="852" spans="5:8" x14ac:dyDescent="0.2">
      <c r="E852" t="str">
        <f t="shared" si="30"/>
        <v/>
      </c>
      <c r="H852" t="str">
        <f t="shared" si="31"/>
        <v/>
      </c>
    </row>
    <row r="853" spans="5:8" x14ac:dyDescent="0.2">
      <c r="E853" t="str">
        <f t="shared" si="30"/>
        <v/>
      </c>
      <c r="H853" t="str">
        <f t="shared" si="31"/>
        <v/>
      </c>
    </row>
    <row r="854" spans="5:8" x14ac:dyDescent="0.2">
      <c r="E854" t="str">
        <f t="shared" si="30"/>
        <v/>
      </c>
      <c r="H854" t="str">
        <f t="shared" si="31"/>
        <v/>
      </c>
    </row>
    <row r="855" spans="5:8" x14ac:dyDescent="0.2">
      <c r="E855" t="str">
        <f t="shared" si="30"/>
        <v/>
      </c>
      <c r="H855" t="str">
        <f t="shared" si="31"/>
        <v/>
      </c>
    </row>
    <row r="856" spans="5:8" x14ac:dyDescent="0.2">
      <c r="E856" t="str">
        <f t="shared" si="30"/>
        <v/>
      </c>
      <c r="H856" t="str">
        <f t="shared" si="31"/>
        <v/>
      </c>
    </row>
    <row r="857" spans="5:8" x14ac:dyDescent="0.2">
      <c r="E857" t="str">
        <f t="shared" si="30"/>
        <v/>
      </c>
      <c r="H857" t="str">
        <f t="shared" si="31"/>
        <v/>
      </c>
    </row>
    <row r="858" spans="5:8" x14ac:dyDescent="0.2">
      <c r="E858" t="str">
        <f t="shared" si="30"/>
        <v/>
      </c>
      <c r="H858" t="str">
        <f t="shared" si="31"/>
        <v/>
      </c>
    </row>
    <row r="859" spans="5:8" x14ac:dyDescent="0.2">
      <c r="E859" t="str">
        <f t="shared" si="30"/>
        <v/>
      </c>
      <c r="H859" t="str">
        <f t="shared" si="31"/>
        <v/>
      </c>
    </row>
    <row r="860" spans="5:8" x14ac:dyDescent="0.2">
      <c r="E860" t="str">
        <f t="shared" si="30"/>
        <v/>
      </c>
      <c r="H860" t="str">
        <f t="shared" si="31"/>
        <v/>
      </c>
    </row>
    <row r="861" spans="5:8" x14ac:dyDescent="0.2">
      <c r="E861" t="str">
        <f t="shared" si="30"/>
        <v/>
      </c>
      <c r="H861" t="str">
        <f t="shared" si="31"/>
        <v/>
      </c>
    </row>
    <row r="862" spans="5:8" x14ac:dyDescent="0.2">
      <c r="E862" t="str">
        <f t="shared" si="30"/>
        <v/>
      </c>
      <c r="H862" t="str">
        <f t="shared" si="31"/>
        <v/>
      </c>
    </row>
    <row r="863" spans="5:8" x14ac:dyDescent="0.2">
      <c r="E863" t="str">
        <f t="shared" si="30"/>
        <v/>
      </c>
      <c r="H863" t="str">
        <f t="shared" si="31"/>
        <v/>
      </c>
    </row>
    <row r="864" spans="5:8" x14ac:dyDescent="0.2">
      <c r="E864" t="str">
        <f t="shared" si="30"/>
        <v/>
      </c>
      <c r="H864" t="str">
        <f t="shared" si="31"/>
        <v/>
      </c>
    </row>
    <row r="865" spans="5:8" x14ac:dyDescent="0.2">
      <c r="E865" t="str">
        <f t="shared" si="30"/>
        <v/>
      </c>
      <c r="H865" t="str">
        <f t="shared" si="31"/>
        <v/>
      </c>
    </row>
    <row r="866" spans="5:8" x14ac:dyDescent="0.2">
      <c r="E866" t="str">
        <f t="shared" si="30"/>
        <v/>
      </c>
      <c r="H866" t="str">
        <f t="shared" si="31"/>
        <v/>
      </c>
    </row>
    <row r="867" spans="5:8" x14ac:dyDescent="0.2">
      <c r="E867" t="str">
        <f t="shared" si="30"/>
        <v/>
      </c>
      <c r="H867" t="str">
        <f t="shared" si="31"/>
        <v/>
      </c>
    </row>
    <row r="868" spans="5:8" x14ac:dyDescent="0.2">
      <c r="E868" t="str">
        <f t="shared" si="30"/>
        <v/>
      </c>
      <c r="H868" t="str">
        <f t="shared" si="31"/>
        <v/>
      </c>
    </row>
    <row r="869" spans="5:8" x14ac:dyDescent="0.2">
      <c r="E869" t="str">
        <f t="shared" si="30"/>
        <v/>
      </c>
      <c r="H869" t="str">
        <f t="shared" si="31"/>
        <v/>
      </c>
    </row>
    <row r="870" spans="5:8" x14ac:dyDescent="0.2">
      <c r="E870" t="str">
        <f t="shared" si="30"/>
        <v/>
      </c>
      <c r="H870" t="str">
        <f t="shared" si="31"/>
        <v/>
      </c>
    </row>
    <row r="871" spans="5:8" x14ac:dyDescent="0.2">
      <c r="E871" t="str">
        <f t="shared" si="30"/>
        <v/>
      </c>
      <c r="H871" t="str">
        <f t="shared" si="31"/>
        <v/>
      </c>
    </row>
    <row r="872" spans="5:8" x14ac:dyDescent="0.2">
      <c r="E872" t="str">
        <f t="shared" si="30"/>
        <v/>
      </c>
      <c r="H872" t="str">
        <f t="shared" si="31"/>
        <v/>
      </c>
    </row>
    <row r="873" spans="5:8" x14ac:dyDescent="0.2">
      <c r="E873" t="str">
        <f t="shared" si="30"/>
        <v/>
      </c>
      <c r="H873" t="str">
        <f t="shared" si="31"/>
        <v/>
      </c>
    </row>
    <row r="874" spans="5:8" x14ac:dyDescent="0.2">
      <c r="E874" t="str">
        <f t="shared" si="30"/>
        <v/>
      </c>
      <c r="H874" t="str">
        <f t="shared" si="31"/>
        <v/>
      </c>
    </row>
    <row r="875" spans="5:8" x14ac:dyDescent="0.2">
      <c r="E875" t="str">
        <f t="shared" si="30"/>
        <v/>
      </c>
      <c r="H875" t="str">
        <f t="shared" si="31"/>
        <v/>
      </c>
    </row>
    <row r="876" spans="5:8" x14ac:dyDescent="0.2">
      <c r="E876" t="str">
        <f t="shared" si="30"/>
        <v/>
      </c>
      <c r="H876" t="str">
        <f t="shared" si="31"/>
        <v/>
      </c>
    </row>
    <row r="877" spans="5:8" x14ac:dyDescent="0.2">
      <c r="E877" t="str">
        <f t="shared" si="30"/>
        <v/>
      </c>
      <c r="H877" t="str">
        <f t="shared" si="31"/>
        <v/>
      </c>
    </row>
    <row r="878" spans="5:8" x14ac:dyDescent="0.2">
      <c r="E878" t="str">
        <f t="shared" si="30"/>
        <v/>
      </c>
      <c r="H878" t="str">
        <f t="shared" si="31"/>
        <v/>
      </c>
    </row>
    <row r="879" spans="5:8" x14ac:dyDescent="0.2">
      <c r="E879" t="str">
        <f t="shared" si="30"/>
        <v/>
      </c>
      <c r="H879" t="str">
        <f t="shared" si="31"/>
        <v/>
      </c>
    </row>
    <row r="880" spans="5:8" x14ac:dyDescent="0.2">
      <c r="E880" t="str">
        <f t="shared" si="30"/>
        <v/>
      </c>
      <c r="H880" t="str">
        <f t="shared" si="31"/>
        <v/>
      </c>
    </row>
    <row r="881" spans="5:8" x14ac:dyDescent="0.2">
      <c r="E881" t="str">
        <f t="shared" si="30"/>
        <v/>
      </c>
      <c r="H881" t="str">
        <f t="shared" si="31"/>
        <v/>
      </c>
    </row>
    <row r="882" spans="5:8" x14ac:dyDescent="0.2">
      <c r="E882" t="str">
        <f t="shared" si="30"/>
        <v/>
      </c>
      <c r="H882" t="str">
        <f t="shared" si="31"/>
        <v/>
      </c>
    </row>
    <row r="883" spans="5:8" x14ac:dyDescent="0.2">
      <c r="E883" t="str">
        <f t="shared" si="30"/>
        <v/>
      </c>
      <c r="H883" t="str">
        <f t="shared" si="31"/>
        <v/>
      </c>
    </row>
    <row r="884" spans="5:8" x14ac:dyDescent="0.2">
      <c r="E884" t="str">
        <f t="shared" si="30"/>
        <v/>
      </c>
      <c r="H884" t="str">
        <f t="shared" si="31"/>
        <v/>
      </c>
    </row>
    <row r="885" spans="5:8" x14ac:dyDescent="0.2">
      <c r="E885" t="str">
        <f t="shared" si="30"/>
        <v/>
      </c>
      <c r="H885" t="str">
        <f t="shared" si="31"/>
        <v/>
      </c>
    </row>
    <row r="886" spans="5:8" x14ac:dyDescent="0.2">
      <c r="E886" t="str">
        <f t="shared" si="30"/>
        <v/>
      </c>
      <c r="H886" t="str">
        <f t="shared" si="31"/>
        <v/>
      </c>
    </row>
    <row r="887" spans="5:8" x14ac:dyDescent="0.2">
      <c r="E887" t="str">
        <f t="shared" si="30"/>
        <v/>
      </c>
      <c r="H887" t="str">
        <f t="shared" si="31"/>
        <v/>
      </c>
    </row>
    <row r="888" spans="5:8" x14ac:dyDescent="0.2">
      <c r="E888" t="str">
        <f t="shared" si="30"/>
        <v/>
      </c>
      <c r="H888" t="str">
        <f t="shared" si="31"/>
        <v/>
      </c>
    </row>
    <row r="889" spans="5:8" x14ac:dyDescent="0.2">
      <c r="E889" t="str">
        <f t="shared" si="30"/>
        <v/>
      </c>
      <c r="H889" t="str">
        <f t="shared" si="31"/>
        <v/>
      </c>
    </row>
    <row r="890" spans="5:8" x14ac:dyDescent="0.2">
      <c r="E890" t="str">
        <f t="shared" si="30"/>
        <v/>
      </c>
      <c r="H890" t="str">
        <f t="shared" si="31"/>
        <v/>
      </c>
    </row>
    <row r="891" spans="5:8" x14ac:dyDescent="0.2">
      <c r="E891" t="str">
        <f t="shared" si="30"/>
        <v/>
      </c>
      <c r="H891" t="str">
        <f t="shared" si="31"/>
        <v/>
      </c>
    </row>
    <row r="892" spans="5:8" x14ac:dyDescent="0.2">
      <c r="E892" t="str">
        <f t="shared" si="30"/>
        <v/>
      </c>
      <c r="H892" t="str">
        <f t="shared" si="31"/>
        <v/>
      </c>
    </row>
    <row r="893" spans="5:8" x14ac:dyDescent="0.2">
      <c r="E893" t="str">
        <f t="shared" si="30"/>
        <v/>
      </c>
      <c r="H893" t="str">
        <f t="shared" si="31"/>
        <v/>
      </c>
    </row>
    <row r="894" spans="5:8" x14ac:dyDescent="0.2">
      <c r="E894" t="str">
        <f t="shared" si="30"/>
        <v/>
      </c>
      <c r="H894" t="str">
        <f t="shared" si="31"/>
        <v/>
      </c>
    </row>
    <row r="895" spans="5:8" x14ac:dyDescent="0.2">
      <c r="E895" t="str">
        <f t="shared" si="30"/>
        <v/>
      </c>
      <c r="H895" t="str">
        <f t="shared" si="31"/>
        <v/>
      </c>
    </row>
    <row r="896" spans="5:8" x14ac:dyDescent="0.2">
      <c r="E896" t="str">
        <f t="shared" si="30"/>
        <v/>
      </c>
      <c r="H896" t="str">
        <f t="shared" si="31"/>
        <v/>
      </c>
    </row>
    <row r="897" spans="5:8" x14ac:dyDescent="0.2">
      <c r="E897" t="str">
        <f t="shared" si="30"/>
        <v/>
      </c>
      <c r="H897" t="str">
        <f t="shared" si="31"/>
        <v/>
      </c>
    </row>
    <row r="898" spans="5:8" x14ac:dyDescent="0.2">
      <c r="E898" t="str">
        <f t="shared" si="30"/>
        <v/>
      </c>
      <c r="H898" t="str">
        <f t="shared" si="31"/>
        <v/>
      </c>
    </row>
    <row r="899" spans="5:8" x14ac:dyDescent="0.2">
      <c r="E899" t="str">
        <f t="shared" si="30"/>
        <v/>
      </c>
      <c r="H899" t="str">
        <f t="shared" si="31"/>
        <v/>
      </c>
    </row>
    <row r="900" spans="5:8" x14ac:dyDescent="0.2">
      <c r="E900" t="str">
        <f t="shared" si="30"/>
        <v/>
      </c>
      <c r="H900" t="str">
        <f t="shared" si="31"/>
        <v/>
      </c>
    </row>
    <row r="901" spans="5:8" x14ac:dyDescent="0.2">
      <c r="E901" t="str">
        <f t="shared" si="30"/>
        <v/>
      </c>
      <c r="H901" t="str">
        <f t="shared" si="31"/>
        <v/>
      </c>
    </row>
    <row r="902" spans="5:8" x14ac:dyDescent="0.2">
      <c r="E902" t="str">
        <f t="shared" si="30"/>
        <v/>
      </c>
      <c r="H902" t="str">
        <f t="shared" si="31"/>
        <v/>
      </c>
    </row>
    <row r="903" spans="5:8" x14ac:dyDescent="0.2">
      <c r="E903" t="str">
        <f t="shared" si="30"/>
        <v/>
      </c>
      <c r="H903" t="str">
        <f t="shared" si="31"/>
        <v/>
      </c>
    </row>
    <row r="904" spans="5:8" x14ac:dyDescent="0.2">
      <c r="E904" t="str">
        <f t="shared" ref="E904:E967" si="32">IF(D904="","","Bittrex")</f>
        <v/>
      </c>
      <c r="H904" t="str">
        <f t="shared" ref="H904:H967" si="33">IF(G904="","","Bittrex")</f>
        <v/>
      </c>
    </row>
    <row r="905" spans="5:8" x14ac:dyDescent="0.2">
      <c r="E905" t="str">
        <f t="shared" si="32"/>
        <v/>
      </c>
      <c r="H905" t="str">
        <f t="shared" si="33"/>
        <v/>
      </c>
    </row>
    <row r="906" spans="5:8" x14ac:dyDescent="0.2">
      <c r="E906" t="str">
        <f t="shared" si="32"/>
        <v/>
      </c>
      <c r="H906" t="str">
        <f t="shared" si="33"/>
        <v/>
      </c>
    </row>
    <row r="907" spans="5:8" x14ac:dyDescent="0.2">
      <c r="E907" t="str">
        <f t="shared" si="32"/>
        <v/>
      </c>
      <c r="H907" t="str">
        <f t="shared" si="33"/>
        <v/>
      </c>
    </row>
    <row r="908" spans="5:8" x14ac:dyDescent="0.2">
      <c r="E908" t="str">
        <f t="shared" si="32"/>
        <v/>
      </c>
      <c r="H908" t="str">
        <f t="shared" si="33"/>
        <v/>
      </c>
    </row>
    <row r="909" spans="5:8" x14ac:dyDescent="0.2">
      <c r="E909" t="str">
        <f t="shared" si="32"/>
        <v/>
      </c>
      <c r="H909" t="str">
        <f t="shared" si="33"/>
        <v/>
      </c>
    </row>
    <row r="910" spans="5:8" x14ac:dyDescent="0.2">
      <c r="E910" t="str">
        <f t="shared" si="32"/>
        <v/>
      </c>
      <c r="H910" t="str">
        <f t="shared" si="33"/>
        <v/>
      </c>
    </row>
    <row r="911" spans="5:8" x14ac:dyDescent="0.2">
      <c r="E911" t="str">
        <f t="shared" si="32"/>
        <v/>
      </c>
      <c r="H911" t="str">
        <f t="shared" si="33"/>
        <v/>
      </c>
    </row>
    <row r="912" spans="5:8" x14ac:dyDescent="0.2">
      <c r="E912" t="str">
        <f t="shared" si="32"/>
        <v/>
      </c>
      <c r="H912" t="str">
        <f t="shared" si="33"/>
        <v/>
      </c>
    </row>
    <row r="913" spans="5:8" x14ac:dyDescent="0.2">
      <c r="E913" t="str">
        <f t="shared" si="32"/>
        <v/>
      </c>
      <c r="H913" t="str">
        <f t="shared" si="33"/>
        <v/>
      </c>
    </row>
    <row r="914" spans="5:8" x14ac:dyDescent="0.2">
      <c r="E914" t="str">
        <f t="shared" si="32"/>
        <v/>
      </c>
      <c r="H914" t="str">
        <f t="shared" si="33"/>
        <v/>
      </c>
    </row>
    <row r="915" spans="5:8" x14ac:dyDescent="0.2">
      <c r="E915" t="str">
        <f t="shared" si="32"/>
        <v/>
      </c>
      <c r="H915" t="str">
        <f t="shared" si="33"/>
        <v/>
      </c>
    </row>
    <row r="916" spans="5:8" x14ac:dyDescent="0.2">
      <c r="E916" t="str">
        <f t="shared" si="32"/>
        <v/>
      </c>
      <c r="H916" t="str">
        <f t="shared" si="33"/>
        <v/>
      </c>
    </row>
    <row r="917" spans="5:8" x14ac:dyDescent="0.2">
      <c r="E917" t="str">
        <f t="shared" si="32"/>
        <v/>
      </c>
      <c r="H917" t="str">
        <f t="shared" si="33"/>
        <v/>
      </c>
    </row>
    <row r="918" spans="5:8" x14ac:dyDescent="0.2">
      <c r="E918" t="str">
        <f t="shared" si="32"/>
        <v/>
      </c>
      <c r="H918" t="str">
        <f t="shared" si="33"/>
        <v/>
      </c>
    </row>
    <row r="919" spans="5:8" x14ac:dyDescent="0.2">
      <c r="E919" t="str">
        <f t="shared" si="32"/>
        <v/>
      </c>
      <c r="H919" t="str">
        <f t="shared" si="33"/>
        <v/>
      </c>
    </row>
    <row r="920" spans="5:8" x14ac:dyDescent="0.2">
      <c r="E920" t="str">
        <f t="shared" si="32"/>
        <v/>
      </c>
      <c r="H920" t="str">
        <f t="shared" si="33"/>
        <v/>
      </c>
    </row>
    <row r="921" spans="5:8" x14ac:dyDescent="0.2">
      <c r="E921" t="str">
        <f t="shared" si="32"/>
        <v/>
      </c>
      <c r="H921" t="str">
        <f t="shared" si="33"/>
        <v/>
      </c>
    </row>
    <row r="922" spans="5:8" x14ac:dyDescent="0.2">
      <c r="E922" t="str">
        <f t="shared" si="32"/>
        <v/>
      </c>
      <c r="H922" t="str">
        <f t="shared" si="33"/>
        <v/>
      </c>
    </row>
    <row r="923" spans="5:8" x14ac:dyDescent="0.2">
      <c r="E923" t="str">
        <f t="shared" si="32"/>
        <v/>
      </c>
      <c r="H923" t="str">
        <f t="shared" si="33"/>
        <v/>
      </c>
    </row>
    <row r="924" spans="5:8" x14ac:dyDescent="0.2">
      <c r="E924" t="str">
        <f t="shared" si="32"/>
        <v/>
      </c>
      <c r="H924" t="str">
        <f t="shared" si="33"/>
        <v/>
      </c>
    </row>
    <row r="925" spans="5:8" x14ac:dyDescent="0.2">
      <c r="E925" t="str">
        <f t="shared" si="32"/>
        <v/>
      </c>
      <c r="H925" t="str">
        <f t="shared" si="33"/>
        <v/>
      </c>
    </row>
    <row r="926" spans="5:8" x14ac:dyDescent="0.2">
      <c r="E926" t="str">
        <f t="shared" si="32"/>
        <v/>
      </c>
      <c r="H926" t="str">
        <f t="shared" si="33"/>
        <v/>
      </c>
    </row>
    <row r="927" spans="5:8" x14ac:dyDescent="0.2">
      <c r="E927" t="str">
        <f t="shared" si="32"/>
        <v/>
      </c>
      <c r="H927" t="str">
        <f t="shared" si="33"/>
        <v/>
      </c>
    </row>
    <row r="928" spans="5:8" x14ac:dyDescent="0.2">
      <c r="E928" t="str">
        <f t="shared" si="32"/>
        <v/>
      </c>
      <c r="H928" t="str">
        <f t="shared" si="33"/>
        <v/>
      </c>
    </row>
    <row r="929" spans="5:8" x14ac:dyDescent="0.2">
      <c r="E929" t="str">
        <f t="shared" si="32"/>
        <v/>
      </c>
      <c r="H929" t="str">
        <f t="shared" si="33"/>
        <v/>
      </c>
    </row>
    <row r="930" spans="5:8" x14ac:dyDescent="0.2">
      <c r="E930" t="str">
        <f t="shared" si="32"/>
        <v/>
      </c>
      <c r="H930" t="str">
        <f t="shared" si="33"/>
        <v/>
      </c>
    </row>
    <row r="931" spans="5:8" x14ac:dyDescent="0.2">
      <c r="E931" t="str">
        <f t="shared" si="32"/>
        <v/>
      </c>
      <c r="H931" t="str">
        <f t="shared" si="33"/>
        <v/>
      </c>
    </row>
    <row r="932" spans="5:8" x14ac:dyDescent="0.2">
      <c r="E932" t="str">
        <f t="shared" si="32"/>
        <v/>
      </c>
      <c r="H932" t="str">
        <f t="shared" si="33"/>
        <v/>
      </c>
    </row>
    <row r="933" spans="5:8" x14ac:dyDescent="0.2">
      <c r="E933" t="str">
        <f t="shared" si="32"/>
        <v/>
      </c>
      <c r="H933" t="str">
        <f t="shared" si="33"/>
        <v/>
      </c>
    </row>
    <row r="934" spans="5:8" x14ac:dyDescent="0.2">
      <c r="E934" t="str">
        <f t="shared" si="32"/>
        <v/>
      </c>
      <c r="H934" t="str">
        <f t="shared" si="33"/>
        <v/>
      </c>
    </row>
    <row r="935" spans="5:8" x14ac:dyDescent="0.2">
      <c r="E935" t="str">
        <f t="shared" si="32"/>
        <v/>
      </c>
      <c r="H935" t="str">
        <f t="shared" si="33"/>
        <v/>
      </c>
    </row>
    <row r="936" spans="5:8" x14ac:dyDescent="0.2">
      <c r="E936" t="str">
        <f t="shared" si="32"/>
        <v/>
      </c>
      <c r="H936" t="str">
        <f t="shared" si="33"/>
        <v/>
      </c>
    </row>
    <row r="937" spans="5:8" x14ac:dyDescent="0.2">
      <c r="E937" t="str">
        <f t="shared" si="32"/>
        <v/>
      </c>
      <c r="H937" t="str">
        <f t="shared" si="33"/>
        <v/>
      </c>
    </row>
    <row r="938" spans="5:8" x14ac:dyDescent="0.2">
      <c r="E938" t="str">
        <f t="shared" si="32"/>
        <v/>
      </c>
      <c r="H938" t="str">
        <f t="shared" si="33"/>
        <v/>
      </c>
    </row>
    <row r="939" spans="5:8" x14ac:dyDescent="0.2">
      <c r="E939" t="str">
        <f t="shared" si="32"/>
        <v/>
      </c>
      <c r="H939" t="str">
        <f t="shared" si="33"/>
        <v/>
      </c>
    </row>
    <row r="940" spans="5:8" x14ac:dyDescent="0.2">
      <c r="E940" t="str">
        <f t="shared" si="32"/>
        <v/>
      </c>
      <c r="H940" t="str">
        <f t="shared" si="33"/>
        <v/>
      </c>
    </row>
    <row r="941" spans="5:8" x14ac:dyDescent="0.2">
      <c r="E941" t="str">
        <f t="shared" si="32"/>
        <v/>
      </c>
      <c r="H941" t="str">
        <f t="shared" si="33"/>
        <v/>
      </c>
    </row>
    <row r="942" spans="5:8" x14ac:dyDescent="0.2">
      <c r="E942" t="str">
        <f t="shared" si="32"/>
        <v/>
      </c>
      <c r="H942" t="str">
        <f t="shared" si="33"/>
        <v/>
      </c>
    </row>
    <row r="943" spans="5:8" x14ac:dyDescent="0.2">
      <c r="E943" t="str">
        <f t="shared" si="32"/>
        <v/>
      </c>
      <c r="H943" t="str">
        <f t="shared" si="33"/>
        <v/>
      </c>
    </row>
    <row r="944" spans="5:8" x14ac:dyDescent="0.2">
      <c r="E944" t="str">
        <f t="shared" si="32"/>
        <v/>
      </c>
      <c r="H944" t="str">
        <f t="shared" si="33"/>
        <v/>
      </c>
    </row>
    <row r="945" spans="5:8" x14ac:dyDescent="0.2">
      <c r="E945" t="str">
        <f t="shared" si="32"/>
        <v/>
      </c>
      <c r="H945" t="str">
        <f t="shared" si="33"/>
        <v/>
      </c>
    </row>
    <row r="946" spans="5:8" x14ac:dyDescent="0.2">
      <c r="E946" t="str">
        <f t="shared" si="32"/>
        <v/>
      </c>
      <c r="H946" t="str">
        <f t="shared" si="33"/>
        <v/>
      </c>
    </row>
    <row r="947" spans="5:8" x14ac:dyDescent="0.2">
      <c r="E947" t="str">
        <f t="shared" si="32"/>
        <v/>
      </c>
      <c r="H947" t="str">
        <f t="shared" si="33"/>
        <v/>
      </c>
    </row>
    <row r="948" spans="5:8" x14ac:dyDescent="0.2">
      <c r="E948" t="str">
        <f t="shared" si="32"/>
        <v/>
      </c>
      <c r="H948" t="str">
        <f t="shared" si="33"/>
        <v/>
      </c>
    </row>
    <row r="949" spans="5:8" x14ac:dyDescent="0.2">
      <c r="E949" t="str">
        <f t="shared" si="32"/>
        <v/>
      </c>
      <c r="H949" t="str">
        <f t="shared" si="33"/>
        <v/>
      </c>
    </row>
    <row r="950" spans="5:8" x14ac:dyDescent="0.2">
      <c r="E950" t="str">
        <f t="shared" si="32"/>
        <v/>
      </c>
      <c r="H950" t="str">
        <f t="shared" si="33"/>
        <v/>
      </c>
    </row>
    <row r="951" spans="5:8" x14ac:dyDescent="0.2">
      <c r="E951" t="str">
        <f t="shared" si="32"/>
        <v/>
      </c>
      <c r="H951" t="str">
        <f t="shared" si="33"/>
        <v/>
      </c>
    </row>
    <row r="952" spans="5:8" x14ac:dyDescent="0.2">
      <c r="E952" t="str">
        <f t="shared" si="32"/>
        <v/>
      </c>
      <c r="H952" t="str">
        <f t="shared" si="33"/>
        <v/>
      </c>
    </row>
    <row r="953" spans="5:8" x14ac:dyDescent="0.2">
      <c r="E953" t="str">
        <f t="shared" si="32"/>
        <v/>
      </c>
      <c r="H953" t="str">
        <f t="shared" si="33"/>
        <v/>
      </c>
    </row>
    <row r="954" spans="5:8" x14ac:dyDescent="0.2">
      <c r="E954" t="str">
        <f t="shared" si="32"/>
        <v/>
      </c>
      <c r="H954" t="str">
        <f t="shared" si="33"/>
        <v/>
      </c>
    </row>
    <row r="955" spans="5:8" x14ac:dyDescent="0.2">
      <c r="E955" t="str">
        <f t="shared" si="32"/>
        <v/>
      </c>
      <c r="H955" t="str">
        <f t="shared" si="33"/>
        <v/>
      </c>
    </row>
    <row r="956" spans="5:8" x14ac:dyDescent="0.2">
      <c r="E956" t="str">
        <f t="shared" si="32"/>
        <v/>
      </c>
      <c r="H956" t="str">
        <f t="shared" si="33"/>
        <v/>
      </c>
    </row>
    <row r="957" spans="5:8" x14ac:dyDescent="0.2">
      <c r="E957" t="str">
        <f t="shared" si="32"/>
        <v/>
      </c>
      <c r="H957" t="str">
        <f t="shared" si="33"/>
        <v/>
      </c>
    </row>
    <row r="958" spans="5:8" x14ac:dyDescent="0.2">
      <c r="E958" t="str">
        <f t="shared" si="32"/>
        <v/>
      </c>
      <c r="H958" t="str">
        <f t="shared" si="33"/>
        <v/>
      </c>
    </row>
    <row r="959" spans="5:8" x14ac:dyDescent="0.2">
      <c r="E959" t="str">
        <f t="shared" si="32"/>
        <v/>
      </c>
      <c r="H959" t="str">
        <f t="shared" si="33"/>
        <v/>
      </c>
    </row>
    <row r="960" spans="5:8" x14ac:dyDescent="0.2">
      <c r="E960" t="str">
        <f t="shared" si="32"/>
        <v/>
      </c>
      <c r="H960" t="str">
        <f t="shared" si="33"/>
        <v/>
      </c>
    </row>
    <row r="961" spans="5:8" x14ac:dyDescent="0.2">
      <c r="E961" t="str">
        <f t="shared" si="32"/>
        <v/>
      </c>
      <c r="H961" t="str">
        <f t="shared" si="33"/>
        <v/>
      </c>
    </row>
    <row r="962" spans="5:8" x14ac:dyDescent="0.2">
      <c r="E962" t="str">
        <f t="shared" si="32"/>
        <v/>
      </c>
      <c r="H962" t="str">
        <f t="shared" si="33"/>
        <v/>
      </c>
    </row>
    <row r="963" spans="5:8" x14ac:dyDescent="0.2">
      <c r="E963" t="str">
        <f t="shared" si="32"/>
        <v/>
      </c>
      <c r="H963" t="str">
        <f t="shared" si="33"/>
        <v/>
      </c>
    </row>
    <row r="964" spans="5:8" x14ac:dyDescent="0.2">
      <c r="E964" t="str">
        <f t="shared" si="32"/>
        <v/>
      </c>
      <c r="H964" t="str">
        <f t="shared" si="33"/>
        <v/>
      </c>
    </row>
    <row r="965" spans="5:8" x14ac:dyDescent="0.2">
      <c r="E965" t="str">
        <f t="shared" si="32"/>
        <v/>
      </c>
      <c r="H965" t="str">
        <f t="shared" si="33"/>
        <v/>
      </c>
    </row>
    <row r="966" spans="5:8" x14ac:dyDescent="0.2">
      <c r="E966" t="str">
        <f t="shared" si="32"/>
        <v/>
      </c>
      <c r="H966" t="str">
        <f t="shared" si="33"/>
        <v/>
      </c>
    </row>
    <row r="967" spans="5:8" x14ac:dyDescent="0.2">
      <c r="E967" t="str">
        <f t="shared" si="32"/>
        <v/>
      </c>
      <c r="H967" t="str">
        <f t="shared" si="33"/>
        <v/>
      </c>
    </row>
    <row r="968" spans="5:8" x14ac:dyDescent="0.2">
      <c r="E968" t="str">
        <f t="shared" ref="E968:E1024" si="34">IF(D968="","","Bittrex")</f>
        <v/>
      </c>
      <c r="H968" t="str">
        <f t="shared" ref="H968:H1016" si="35">IF(G968="","","Bittrex")</f>
        <v/>
      </c>
    </row>
    <row r="969" spans="5:8" x14ac:dyDescent="0.2">
      <c r="E969" t="str">
        <f t="shared" si="34"/>
        <v/>
      </c>
      <c r="H969" t="str">
        <f t="shared" si="35"/>
        <v/>
      </c>
    </row>
    <row r="970" spans="5:8" x14ac:dyDescent="0.2">
      <c r="E970" t="str">
        <f t="shared" si="34"/>
        <v/>
      </c>
      <c r="H970" t="str">
        <f t="shared" si="35"/>
        <v/>
      </c>
    </row>
    <row r="971" spans="5:8" x14ac:dyDescent="0.2">
      <c r="E971" t="str">
        <f t="shared" si="34"/>
        <v/>
      </c>
      <c r="H971" t="str">
        <f t="shared" si="35"/>
        <v/>
      </c>
    </row>
    <row r="972" spans="5:8" x14ac:dyDescent="0.2">
      <c r="E972" t="str">
        <f t="shared" si="34"/>
        <v/>
      </c>
      <c r="H972" t="str">
        <f t="shared" si="35"/>
        <v/>
      </c>
    </row>
    <row r="973" spans="5:8" x14ac:dyDescent="0.2">
      <c r="E973" t="str">
        <f t="shared" si="34"/>
        <v/>
      </c>
      <c r="H973" t="str">
        <f t="shared" si="35"/>
        <v/>
      </c>
    </row>
    <row r="974" spans="5:8" x14ac:dyDescent="0.2">
      <c r="E974" t="str">
        <f t="shared" si="34"/>
        <v/>
      </c>
      <c r="H974" t="str">
        <f t="shared" si="35"/>
        <v/>
      </c>
    </row>
    <row r="975" spans="5:8" x14ac:dyDescent="0.2">
      <c r="E975" t="str">
        <f t="shared" si="34"/>
        <v/>
      </c>
      <c r="H975" t="str">
        <f t="shared" si="35"/>
        <v/>
      </c>
    </row>
    <row r="976" spans="5:8" x14ac:dyDescent="0.2">
      <c r="E976" t="str">
        <f t="shared" si="34"/>
        <v/>
      </c>
      <c r="H976" t="str">
        <f t="shared" si="35"/>
        <v/>
      </c>
    </row>
    <row r="977" spans="5:8" x14ac:dyDescent="0.2">
      <c r="E977" t="str">
        <f t="shared" si="34"/>
        <v/>
      </c>
      <c r="H977" t="str">
        <f t="shared" si="35"/>
        <v/>
      </c>
    </row>
    <row r="978" spans="5:8" x14ac:dyDescent="0.2">
      <c r="E978" t="str">
        <f t="shared" si="34"/>
        <v/>
      </c>
      <c r="H978" t="str">
        <f t="shared" si="35"/>
        <v/>
      </c>
    </row>
    <row r="979" spans="5:8" x14ac:dyDescent="0.2">
      <c r="E979" t="str">
        <f t="shared" si="34"/>
        <v/>
      </c>
      <c r="H979" t="str">
        <f t="shared" si="35"/>
        <v/>
      </c>
    </row>
    <row r="980" spans="5:8" x14ac:dyDescent="0.2">
      <c r="E980" t="str">
        <f t="shared" si="34"/>
        <v/>
      </c>
      <c r="H980" t="str">
        <f t="shared" si="35"/>
        <v/>
      </c>
    </row>
    <row r="981" spans="5:8" x14ac:dyDescent="0.2">
      <c r="E981" t="str">
        <f t="shared" si="34"/>
        <v/>
      </c>
      <c r="H981" t="str">
        <f t="shared" si="35"/>
        <v/>
      </c>
    </row>
    <row r="982" spans="5:8" x14ac:dyDescent="0.2">
      <c r="E982" t="str">
        <f t="shared" si="34"/>
        <v/>
      </c>
      <c r="H982" t="str">
        <f t="shared" si="35"/>
        <v/>
      </c>
    </row>
    <row r="983" spans="5:8" x14ac:dyDescent="0.2">
      <c r="E983" t="str">
        <f t="shared" si="34"/>
        <v/>
      </c>
      <c r="H983" t="str">
        <f t="shared" si="35"/>
        <v/>
      </c>
    </row>
    <row r="984" spans="5:8" x14ac:dyDescent="0.2">
      <c r="E984" t="str">
        <f t="shared" si="34"/>
        <v/>
      </c>
      <c r="H984" t="str">
        <f t="shared" si="35"/>
        <v/>
      </c>
    </row>
    <row r="985" spans="5:8" x14ac:dyDescent="0.2">
      <c r="E985" t="str">
        <f t="shared" si="34"/>
        <v/>
      </c>
      <c r="H985" t="str">
        <f t="shared" si="35"/>
        <v/>
      </c>
    </row>
    <row r="986" spans="5:8" x14ac:dyDescent="0.2">
      <c r="E986" t="str">
        <f t="shared" si="34"/>
        <v/>
      </c>
      <c r="H986" t="str">
        <f t="shared" si="35"/>
        <v/>
      </c>
    </row>
    <row r="987" spans="5:8" x14ac:dyDescent="0.2">
      <c r="E987" t="str">
        <f t="shared" si="34"/>
        <v/>
      </c>
      <c r="H987" t="str">
        <f t="shared" si="35"/>
        <v/>
      </c>
    </row>
    <row r="988" spans="5:8" x14ac:dyDescent="0.2">
      <c r="E988" t="str">
        <f t="shared" si="34"/>
        <v/>
      </c>
      <c r="H988" t="str">
        <f t="shared" si="35"/>
        <v/>
      </c>
    </row>
    <row r="989" spans="5:8" x14ac:dyDescent="0.2">
      <c r="E989" t="str">
        <f t="shared" si="34"/>
        <v/>
      </c>
      <c r="H989" t="str">
        <f t="shared" si="35"/>
        <v/>
      </c>
    </row>
    <row r="990" spans="5:8" x14ac:dyDescent="0.2">
      <c r="E990" t="str">
        <f t="shared" si="34"/>
        <v/>
      </c>
      <c r="H990" t="str">
        <f t="shared" si="35"/>
        <v/>
      </c>
    </row>
    <row r="991" spans="5:8" x14ac:dyDescent="0.2">
      <c r="E991" t="str">
        <f t="shared" si="34"/>
        <v/>
      </c>
      <c r="H991" t="str">
        <f t="shared" si="35"/>
        <v/>
      </c>
    </row>
    <row r="992" spans="5:8" x14ac:dyDescent="0.2">
      <c r="E992" t="str">
        <f t="shared" si="34"/>
        <v/>
      </c>
      <c r="H992" t="str">
        <f t="shared" si="35"/>
        <v/>
      </c>
    </row>
    <row r="993" spans="5:8" x14ac:dyDescent="0.2">
      <c r="E993" t="str">
        <f t="shared" si="34"/>
        <v/>
      </c>
      <c r="H993" t="str">
        <f t="shared" si="35"/>
        <v/>
      </c>
    </row>
    <row r="994" spans="5:8" x14ac:dyDescent="0.2">
      <c r="E994" t="str">
        <f t="shared" si="34"/>
        <v/>
      </c>
      <c r="H994" t="str">
        <f t="shared" si="35"/>
        <v/>
      </c>
    </row>
    <row r="995" spans="5:8" x14ac:dyDescent="0.2">
      <c r="E995" t="str">
        <f t="shared" si="34"/>
        <v/>
      </c>
      <c r="H995" t="str">
        <f t="shared" si="35"/>
        <v/>
      </c>
    </row>
    <row r="996" spans="5:8" x14ac:dyDescent="0.2">
      <c r="E996" t="str">
        <f t="shared" si="34"/>
        <v/>
      </c>
      <c r="H996" t="str">
        <f t="shared" si="35"/>
        <v/>
      </c>
    </row>
    <row r="997" spans="5:8" x14ac:dyDescent="0.2">
      <c r="E997" t="str">
        <f t="shared" si="34"/>
        <v/>
      </c>
      <c r="H997" t="str">
        <f t="shared" si="35"/>
        <v/>
      </c>
    </row>
    <row r="998" spans="5:8" x14ac:dyDescent="0.2">
      <c r="E998" t="str">
        <f t="shared" si="34"/>
        <v/>
      </c>
      <c r="H998" t="str">
        <f t="shared" si="35"/>
        <v/>
      </c>
    </row>
    <row r="999" spans="5:8" x14ac:dyDescent="0.2">
      <c r="E999" t="str">
        <f t="shared" si="34"/>
        <v/>
      </c>
      <c r="H999" t="str">
        <f t="shared" si="35"/>
        <v/>
      </c>
    </row>
    <row r="1000" spans="5:8" x14ac:dyDescent="0.2">
      <c r="E1000" t="str">
        <f t="shared" si="34"/>
        <v/>
      </c>
      <c r="H1000" t="str">
        <f t="shared" si="35"/>
        <v/>
      </c>
    </row>
    <row r="1001" spans="5:8" x14ac:dyDescent="0.2">
      <c r="E1001" t="str">
        <f t="shared" si="34"/>
        <v/>
      </c>
      <c r="H1001" t="str">
        <f t="shared" si="35"/>
        <v/>
      </c>
    </row>
    <row r="1002" spans="5:8" x14ac:dyDescent="0.2">
      <c r="E1002" t="str">
        <f t="shared" si="34"/>
        <v/>
      </c>
      <c r="H1002" t="str">
        <f t="shared" si="35"/>
        <v/>
      </c>
    </row>
    <row r="1003" spans="5:8" x14ac:dyDescent="0.2">
      <c r="E1003" t="str">
        <f t="shared" si="34"/>
        <v/>
      </c>
      <c r="H1003" t="str">
        <f t="shared" si="35"/>
        <v/>
      </c>
    </row>
    <row r="1004" spans="5:8" x14ac:dyDescent="0.2">
      <c r="E1004" t="str">
        <f t="shared" si="34"/>
        <v/>
      </c>
      <c r="H1004" t="str">
        <f t="shared" si="35"/>
        <v/>
      </c>
    </row>
    <row r="1005" spans="5:8" x14ac:dyDescent="0.2">
      <c r="E1005" t="str">
        <f t="shared" si="34"/>
        <v/>
      </c>
      <c r="H1005" t="str">
        <f t="shared" si="35"/>
        <v/>
      </c>
    </row>
    <row r="1006" spans="5:8" x14ac:dyDescent="0.2">
      <c r="E1006" t="str">
        <f t="shared" si="34"/>
        <v/>
      </c>
      <c r="H1006" t="str">
        <f t="shared" si="35"/>
        <v/>
      </c>
    </row>
    <row r="1007" spans="5:8" x14ac:dyDescent="0.2">
      <c r="E1007" t="str">
        <f t="shared" si="34"/>
        <v/>
      </c>
      <c r="H1007" t="str">
        <f t="shared" si="35"/>
        <v/>
      </c>
    </row>
    <row r="1008" spans="5:8" x14ac:dyDescent="0.2">
      <c r="E1008" t="str">
        <f t="shared" si="34"/>
        <v/>
      </c>
      <c r="H1008" t="str">
        <f t="shared" si="35"/>
        <v/>
      </c>
    </row>
    <row r="1009" spans="5:8" x14ac:dyDescent="0.2">
      <c r="E1009" t="str">
        <f t="shared" si="34"/>
        <v/>
      </c>
      <c r="H1009" t="str">
        <f t="shared" si="35"/>
        <v/>
      </c>
    </row>
    <row r="1010" spans="5:8" x14ac:dyDescent="0.2">
      <c r="E1010" t="str">
        <f t="shared" si="34"/>
        <v/>
      </c>
      <c r="H1010" t="str">
        <f t="shared" si="35"/>
        <v/>
      </c>
    </row>
    <row r="1011" spans="5:8" x14ac:dyDescent="0.2">
      <c r="E1011" t="str">
        <f t="shared" si="34"/>
        <v/>
      </c>
      <c r="H1011" t="str">
        <f t="shared" si="35"/>
        <v/>
      </c>
    </row>
    <row r="1012" spans="5:8" x14ac:dyDescent="0.2">
      <c r="E1012" t="str">
        <f t="shared" si="34"/>
        <v/>
      </c>
      <c r="H1012" t="str">
        <f t="shared" si="35"/>
        <v/>
      </c>
    </row>
    <row r="1013" spans="5:8" x14ac:dyDescent="0.2">
      <c r="E1013" t="str">
        <f t="shared" si="34"/>
        <v/>
      </c>
      <c r="H1013" t="str">
        <f t="shared" si="35"/>
        <v/>
      </c>
    </row>
    <row r="1014" spans="5:8" x14ac:dyDescent="0.2">
      <c r="E1014" t="str">
        <f t="shared" si="34"/>
        <v/>
      </c>
      <c r="H1014" t="str">
        <f t="shared" si="35"/>
        <v/>
      </c>
    </row>
    <row r="1015" spans="5:8" x14ac:dyDescent="0.2">
      <c r="E1015" t="str">
        <f t="shared" si="34"/>
        <v/>
      </c>
      <c r="H1015" t="str">
        <f t="shared" si="35"/>
        <v/>
      </c>
    </row>
    <row r="1016" spans="5:8" x14ac:dyDescent="0.2">
      <c r="E1016" t="str">
        <f t="shared" si="34"/>
        <v/>
      </c>
      <c r="H1016" t="str">
        <f t="shared" si="35"/>
        <v/>
      </c>
    </row>
    <row r="1017" spans="5:8" x14ac:dyDescent="0.2">
      <c r="E1017" t="str">
        <f t="shared" si="34"/>
        <v/>
      </c>
    </row>
    <row r="1018" spans="5:8" x14ac:dyDescent="0.2">
      <c r="E1018" t="str">
        <f t="shared" si="34"/>
        <v/>
      </c>
    </row>
    <row r="1019" spans="5:8" x14ac:dyDescent="0.2">
      <c r="E1019" t="str">
        <f t="shared" si="34"/>
        <v/>
      </c>
    </row>
    <row r="1020" spans="5:8" x14ac:dyDescent="0.2">
      <c r="E1020" t="str">
        <f t="shared" si="34"/>
        <v/>
      </c>
    </row>
    <row r="1021" spans="5:8" x14ac:dyDescent="0.2">
      <c r="E1021" t="str">
        <f t="shared" si="34"/>
        <v/>
      </c>
    </row>
    <row r="1022" spans="5:8" x14ac:dyDescent="0.2">
      <c r="E1022" t="str">
        <f t="shared" si="34"/>
        <v/>
      </c>
    </row>
    <row r="1023" spans="5:8" x14ac:dyDescent="0.2">
      <c r="E1023" t="str">
        <f t="shared" si="34"/>
        <v/>
      </c>
    </row>
    <row r="1024" spans="5:8" x14ac:dyDescent="0.2">
      <c r="E1024" t="str">
        <f t="shared" si="34"/>
        <v/>
      </c>
    </row>
  </sheetData>
  <dataValidations count="3">
    <dataValidation type="textLength" allowBlank="1" showInputMessage="1" showErrorMessage="1" errorTitle="Invalid Symbol" error="Received currency must be equal to 3-4 characters. For fiat currencies. enter the fiat abbreviation (i.e; USD, EUR, etc.). For cryptocurrencies, enter the crypto abbreviation found on CoinMarketCap (i.e; BTC, ETH, etc.)." sqref="G1" xr:uid="{00000000-0002-0000-0100-000000000000}">
      <formula1>3</formula1>
      <formula2>4</formula2>
    </dataValidation>
    <dataValidation type="textLength" allowBlank="1" showInputMessage="1" showErrorMessage="1" errorTitle="Invalid Symbol" error="Sent currency must be equal to 3-4 characters. For fiat currencies. enter the fiat abbreviation (i.e; USD, EUR, etc.). For cryptocurrencies, enter the crypto abbreviation found on CoinMarketCap (i.e; BTC, ETH, etc.)." sqref="D1" xr:uid="{00000000-0002-0000-0100-000001000000}">
      <formula1>3</formula1>
      <formula2>4</formula2>
    </dataValidation>
    <dataValidation type="textLength" operator="equal" allowBlank="1" showInputMessage="1" showErrorMessage="1" errorTitle="Invalid Symbol" error="Sent currency must be equal to 3 characters. For fiat currencies. enter the fiat abbreviation (i.e; USD, EUR, etc.). For cryptocurrencies, enter the crypto abbreviation found on CoinMarketCap (i.e; BTC, ETH, etc.)." sqref="F1" xr:uid="{00000000-0002-0000-0100-000002000000}">
      <formula1>3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3000000}">
          <x14:formula1>
            <xm:f>'/Users/b/Library/Containers/com.microsoft.Excel/Data/Documents/C:\Users\austi\Downloads\[CSVuploadExample (4).xlsx]Lists'!#REF!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DF1B3-F053-416B-9409-20D1437804B8}">
  <sheetPr codeName="Sheet3">
    <tabColor theme="1"/>
  </sheetPr>
  <dimension ref="C1:K1001"/>
  <sheetViews>
    <sheetView workbookViewId="0">
      <selection activeCell="A11" sqref="A11"/>
    </sheetView>
  </sheetViews>
  <sheetFormatPr baseColWidth="10" defaultColWidth="8.83203125" defaultRowHeight="15" x14ac:dyDescent="0.2"/>
  <cols>
    <col min="3" max="3" width="15" bestFit="1" customWidth="1"/>
    <col min="4" max="5" width="9.6640625" bestFit="1" customWidth="1"/>
    <col min="6" max="7" width="17.5" bestFit="1" customWidth="1"/>
    <col min="8" max="8" width="12.33203125" bestFit="1" customWidth="1"/>
    <col min="9" max="9" width="12.1640625" bestFit="1" customWidth="1"/>
    <col min="10" max="10" width="16.1640625" bestFit="1" customWidth="1"/>
    <col min="11" max="11" width="16" bestFit="1" customWidth="1"/>
  </cols>
  <sheetData>
    <row r="1" spans="3:11" x14ac:dyDescent="0.2">
      <c r="C1" s="2" t="s">
        <v>0</v>
      </c>
      <c r="D1" s="2" t="s">
        <v>1</v>
      </c>
      <c r="E1" s="2" t="s">
        <v>2</v>
      </c>
      <c r="F1" s="2" t="s">
        <v>4</v>
      </c>
      <c r="G1" s="2" t="s">
        <v>3</v>
      </c>
      <c r="H1" s="2" t="s">
        <v>5</v>
      </c>
      <c r="I1" s="2" t="s">
        <v>7</v>
      </c>
      <c r="J1" s="2" t="s">
        <v>6</v>
      </c>
      <c r="K1" s="2" t="s">
        <v>8</v>
      </c>
    </row>
    <row r="2" spans="3:11" x14ac:dyDescent="0.2">
      <c r="C2" t="str">
        <f>IF('Bittrex Data'!A2="","",IF(AND('Bittrex Data'!C2="LIMIT_SELL",Bittrex!D2="USD"),"Sale",IF(AND('Bittrex Data'!C2="LIMIT_BUY",Bittrex!D2="USD"),"Buy","Trade")))</f>
        <v/>
      </c>
      <c r="D2" t="str">
        <f>IF('Bittrex Data'!B2="","",LEFT(LEFT('Bittrex Data'!B2,SEARCH("-",'Bittrex Data'!B2,1)),LEN(LEFT('Bittrex Data'!B2,SEARCH("-",'Bittrex Data'!B2,1)))-1))</f>
        <v/>
      </c>
      <c r="E2" t="str">
        <f>IF('Bittrex Data'!B2="","",RIGHT(RIGHT('Bittrex Data'!B2,LEN('Bittrex Data'!B2)-SEARCH("-",'Bittrex Data'!B2,1)+1),LEN(RIGHT('Bittrex Data'!B2,LEN('Bittrex Data'!B2)-SEARCH("-",'Bittrex Data'!B2,1)+1))-1))</f>
        <v/>
      </c>
      <c r="F2" t="str">
        <f>IF('Bittrex Data'!C2="","",IF('Bittrex Data'!C2="Limit_Sell",'Bittrex Data'!G2-'Bittrex Data'!F2,IF('Bittrex Data'!C2="Limit_Buy",'Bittrex Data'!G2+'Bittrex Data'!F2,"")))</f>
        <v/>
      </c>
      <c r="G2" t="str">
        <f>IF('Bittrex Data'!B2="","",'Bittrex Data'!D2)</f>
        <v/>
      </c>
      <c r="H2" t="str">
        <f>IF('Bittrex Data'!C2="","",IF(Bittrex!C2="Buy",Bittrex!D2,IF(Bittrex!C2="Sale",Bittrex!E2,IF(AND(Bittrex!C2="Trade",'Bittrex Data'!C2="Limit_Sell"),Bittrex!E2,IF(AND(Bittrex!C2="Trade",'Bittrex Data'!C2="Limit_Buy"),Bittrex!D2,"")))))</f>
        <v/>
      </c>
      <c r="I2" t="str">
        <f>IF('Bittrex Data'!C2="","",IF(Bittrex!C2="Buy",F2,IF(C2="Sale",Bittrex!G2,IF(AND(C2="Trade",'Bittrex Data'!C2="Limit_Sell"),Bittrex!G2,IF(AND(Bittrex!C2="Trade",'Bittrex Data'!C2="Limit_Buy"),F2,"")))))</f>
        <v/>
      </c>
      <c r="J2" t="str">
        <f>IF('Bittrex Data'!B2="","",IF('Bittrex Data'!B2="","",IF(Bittrex!H2=Bittrex!E2,D2,Bittrex!E2)))</f>
        <v/>
      </c>
      <c r="K2" t="str">
        <f>IF('Bittrex Data'!B2="","",IF(Bittrex!I2=Bittrex!G2,Bittrex!F2,Bittrex!G2))</f>
        <v/>
      </c>
    </row>
    <row r="3" spans="3:11" x14ac:dyDescent="0.2">
      <c r="C3" t="str">
        <f>IF('Bittrex Data'!A3="","",IF(AND('Bittrex Data'!C3="LIMIT_SELL",Bittrex!D3="USD"),"Sale",IF(AND('Bittrex Data'!C3="LIMIT_BUY",Bittrex!D3="USD"),"Buy","Trade")))</f>
        <v/>
      </c>
      <c r="D3" t="str">
        <f>IF('Bittrex Data'!B3="","",LEFT(LEFT('Bittrex Data'!B3,SEARCH("-",'Bittrex Data'!B3,1)),LEN(LEFT('Bittrex Data'!B3,SEARCH("-",'Bittrex Data'!B3,1)))-1))</f>
        <v/>
      </c>
      <c r="E3" t="str">
        <f>IF('Bittrex Data'!B3="","",RIGHT(RIGHT('Bittrex Data'!B3,LEN('Bittrex Data'!B3)-SEARCH("-",'Bittrex Data'!B3,1)+1),LEN(RIGHT('Bittrex Data'!B3,LEN('Bittrex Data'!B3)-SEARCH("-",'Bittrex Data'!B3,1)+1))-1))</f>
        <v/>
      </c>
      <c r="F3" t="str">
        <f>IF('Bittrex Data'!C3="","",IF('Bittrex Data'!C3="Limit_Sell",'Bittrex Data'!G3-'Bittrex Data'!F3,IF('Bittrex Data'!C3="Limit_Buy",'Bittrex Data'!G3+'Bittrex Data'!F3,"")))</f>
        <v/>
      </c>
      <c r="G3" t="str">
        <f>IF('Bittrex Data'!B3="","",'Bittrex Data'!D3)</f>
        <v/>
      </c>
      <c r="H3" t="str">
        <f>IF('Bittrex Data'!C3="","",IF(Bittrex!C3="Buy",Bittrex!D3,IF(Bittrex!C3="Sale",Bittrex!E3,IF(AND(Bittrex!C3="Trade",'Bittrex Data'!C3="Limit_Sell"),Bittrex!E3,IF(AND(Bittrex!C3="Trade",'Bittrex Data'!C3="Limit_Buy"),Bittrex!D3,"")))))</f>
        <v/>
      </c>
      <c r="I3" t="str">
        <f>IF('Bittrex Data'!C3="","",IF(Bittrex!C3="Buy",F3,IF(C3="Sale",Bittrex!G3,IF(AND(C3="Trade",'Bittrex Data'!C3="Limit_Sell"),Bittrex!G3,IF(AND(Bittrex!C3="Trade",'Bittrex Data'!C3="Limit_Buy"),F3,"")))))</f>
        <v/>
      </c>
      <c r="J3" t="str">
        <f>IF('Bittrex Data'!B3="","",IF('Bittrex Data'!B3="","",IF(Bittrex!H3=Bittrex!E3,D3,Bittrex!E3)))</f>
        <v/>
      </c>
      <c r="K3" t="str">
        <f>IF('Bittrex Data'!B3="","",IF(Bittrex!I3=Bittrex!G3,Bittrex!F3,Bittrex!G3))</f>
        <v/>
      </c>
    </row>
    <row r="4" spans="3:11" x14ac:dyDescent="0.2">
      <c r="C4" t="str">
        <f>IF('Bittrex Data'!A4="","",IF(AND('Bittrex Data'!C4="LIMIT_SELL",Bittrex!D4="USD"),"Sale",IF(AND('Bittrex Data'!C4="LIMIT_BUY",Bittrex!D4="USD"),"Buy","Trade")))</f>
        <v/>
      </c>
      <c r="D4" t="str">
        <f>IF('Bittrex Data'!B4="","",LEFT(LEFT('Bittrex Data'!B4,SEARCH("-",'Bittrex Data'!B4,1)),LEN(LEFT('Bittrex Data'!B4,SEARCH("-",'Bittrex Data'!B4,1)))-1))</f>
        <v/>
      </c>
      <c r="E4" t="str">
        <f>IF('Bittrex Data'!B4="","",RIGHT(RIGHT('Bittrex Data'!B4,LEN('Bittrex Data'!B4)-SEARCH("-",'Bittrex Data'!B4,1)+1),LEN(RIGHT('Bittrex Data'!B4,LEN('Bittrex Data'!B4)-SEARCH("-",'Bittrex Data'!B4,1)+1))-1))</f>
        <v/>
      </c>
      <c r="F4" t="str">
        <f>IF('Bittrex Data'!C4="","",IF('Bittrex Data'!C4="Limit_Sell",'Bittrex Data'!G4-'Bittrex Data'!F4,IF('Bittrex Data'!C4="Limit_Buy",'Bittrex Data'!G4+'Bittrex Data'!F4,"")))</f>
        <v/>
      </c>
      <c r="G4" t="str">
        <f>IF('Bittrex Data'!B4="","",'Bittrex Data'!D4)</f>
        <v/>
      </c>
      <c r="H4" t="str">
        <f>IF('Bittrex Data'!C4="","",IF(Bittrex!C4="Buy",Bittrex!D4,IF(Bittrex!C4="Sale",Bittrex!E4,IF(AND(Bittrex!C4="Trade",'Bittrex Data'!C4="Limit_Sell"),Bittrex!E4,IF(AND(Bittrex!C4="Trade",'Bittrex Data'!C4="Limit_Buy"),Bittrex!D4,"")))))</f>
        <v/>
      </c>
      <c r="I4" t="str">
        <f>IF('Bittrex Data'!C4="","",IF(Bittrex!C4="Buy",F4,IF(C4="Sale",Bittrex!G4,IF(AND(C4="Trade",'Bittrex Data'!C4="Limit_Sell"),Bittrex!G4,IF(AND(Bittrex!C4="Trade",'Bittrex Data'!C4="Limit_Buy"),F4,"")))))</f>
        <v/>
      </c>
      <c r="J4" t="str">
        <f>IF('Bittrex Data'!B4="","",IF('Bittrex Data'!B4="","",IF(Bittrex!H4=Bittrex!E4,D4,Bittrex!E4)))</f>
        <v/>
      </c>
      <c r="K4" t="str">
        <f>IF('Bittrex Data'!B4="","",IF(Bittrex!I4=Bittrex!G4,Bittrex!F4,Bittrex!G4))</f>
        <v/>
      </c>
    </row>
    <row r="5" spans="3:11" x14ac:dyDescent="0.2">
      <c r="C5" t="str">
        <f>IF('Bittrex Data'!A5="","",IF(AND('Bittrex Data'!C5="LIMIT_SELL",Bittrex!D5="USD"),"Sale",IF(AND('Bittrex Data'!C5="LIMIT_BUY",Bittrex!D5="USD"),"Buy","Trade")))</f>
        <v/>
      </c>
      <c r="D5" t="str">
        <f>IF('Bittrex Data'!B5="","",LEFT(LEFT('Bittrex Data'!B5,SEARCH("-",'Bittrex Data'!B5,1)),LEN(LEFT('Bittrex Data'!B5,SEARCH("-",'Bittrex Data'!B5,1)))-1))</f>
        <v/>
      </c>
      <c r="E5" t="str">
        <f>IF('Bittrex Data'!B5="","",RIGHT(RIGHT('Bittrex Data'!B5,LEN('Bittrex Data'!B5)-SEARCH("-",'Bittrex Data'!B5,1)+1),LEN(RIGHT('Bittrex Data'!B5,LEN('Bittrex Data'!B5)-SEARCH("-",'Bittrex Data'!B5,1)+1))-1))</f>
        <v/>
      </c>
      <c r="F5" t="str">
        <f>IF('Bittrex Data'!C5="","",IF('Bittrex Data'!C5="Limit_Sell",'Bittrex Data'!G5-'Bittrex Data'!F5,IF('Bittrex Data'!C5="Limit_Buy",'Bittrex Data'!G5+'Bittrex Data'!F5,"")))</f>
        <v/>
      </c>
      <c r="G5" t="str">
        <f>IF('Bittrex Data'!B5="","",'Bittrex Data'!D5)</f>
        <v/>
      </c>
      <c r="H5" t="str">
        <f>IF('Bittrex Data'!C5="","",IF(Bittrex!C5="Buy",Bittrex!D5,IF(Bittrex!C5="Sale",Bittrex!E5,IF(AND(Bittrex!C5="Trade",'Bittrex Data'!C5="Limit_Sell"),Bittrex!E5,IF(AND(Bittrex!C5="Trade",'Bittrex Data'!C5="Limit_Buy"),Bittrex!D5,"")))))</f>
        <v/>
      </c>
      <c r="I5" t="str">
        <f>IF('Bittrex Data'!C5="","",IF(Bittrex!C5="Buy",F5,IF(C5="Sale",Bittrex!G5,IF(AND(C5="Trade",'Bittrex Data'!C5="Limit_Sell"),Bittrex!G5,IF(AND(Bittrex!C5="Trade",'Bittrex Data'!C5="Limit_Buy"),F5,"")))))</f>
        <v/>
      </c>
      <c r="J5" t="str">
        <f>IF('Bittrex Data'!B5="","",IF('Bittrex Data'!B5="","",IF(Bittrex!H5=Bittrex!E5,D5,Bittrex!E5)))</f>
        <v/>
      </c>
      <c r="K5" t="str">
        <f>IF('Bittrex Data'!B5="","",IF(Bittrex!I5=Bittrex!G5,Bittrex!F5,Bittrex!G5))</f>
        <v/>
      </c>
    </row>
    <row r="6" spans="3:11" x14ac:dyDescent="0.2">
      <c r="C6" t="str">
        <f>IF('Bittrex Data'!A6="","",IF(AND('Bittrex Data'!C6="LIMIT_SELL",Bittrex!D6="USD"),"Sale",IF(AND('Bittrex Data'!C6="LIMIT_BUY",Bittrex!D6="USD"),"Buy","Trade")))</f>
        <v/>
      </c>
      <c r="D6" t="str">
        <f>IF('Bittrex Data'!B6="","",LEFT(LEFT('Bittrex Data'!B6,SEARCH("-",'Bittrex Data'!B6,1)),LEN(LEFT('Bittrex Data'!B6,SEARCH("-",'Bittrex Data'!B6,1)))-1))</f>
        <v/>
      </c>
      <c r="E6" t="str">
        <f>IF('Bittrex Data'!B6="","",RIGHT(RIGHT('Bittrex Data'!B6,LEN('Bittrex Data'!B6)-SEARCH("-",'Bittrex Data'!B6,1)+1),LEN(RIGHT('Bittrex Data'!B6,LEN('Bittrex Data'!B6)-SEARCH("-",'Bittrex Data'!B6,1)+1))-1))</f>
        <v/>
      </c>
      <c r="F6" t="str">
        <f>IF('Bittrex Data'!C6="","",IF('Bittrex Data'!C6="Limit_Sell",'Bittrex Data'!G6-'Bittrex Data'!F6,IF('Bittrex Data'!C6="Limit_Buy",'Bittrex Data'!G6+'Bittrex Data'!F6,"")))</f>
        <v/>
      </c>
      <c r="G6" t="str">
        <f>IF('Bittrex Data'!B6="","",'Bittrex Data'!D6)</f>
        <v/>
      </c>
      <c r="H6" t="str">
        <f>IF('Bittrex Data'!C6="","",IF(Bittrex!C6="Buy",Bittrex!D6,IF(Bittrex!C6="Sale",Bittrex!E6,IF(AND(Bittrex!C6="Trade",'Bittrex Data'!C6="Limit_Sell"),Bittrex!E6,IF(AND(Bittrex!C6="Trade",'Bittrex Data'!C6="Limit_Buy"),Bittrex!D6,"")))))</f>
        <v/>
      </c>
      <c r="I6" t="str">
        <f>IF('Bittrex Data'!C6="","",IF(Bittrex!C6="Buy",F6,IF(C6="Sale",Bittrex!G6,IF(AND(C6="Trade",'Bittrex Data'!C6="Limit_Sell"),Bittrex!G6,IF(AND(Bittrex!C6="Trade",'Bittrex Data'!C6="Limit_Buy"),F6,"")))))</f>
        <v/>
      </c>
      <c r="J6" t="str">
        <f>IF('Bittrex Data'!B6="","",IF('Bittrex Data'!B6="","",IF(Bittrex!H6=Bittrex!E6,D6,Bittrex!E6)))</f>
        <v/>
      </c>
      <c r="K6" t="str">
        <f>IF('Bittrex Data'!B6="","",IF(Bittrex!I6=Bittrex!G6,Bittrex!F6,Bittrex!G6))</f>
        <v/>
      </c>
    </row>
    <row r="7" spans="3:11" x14ac:dyDescent="0.2">
      <c r="C7" t="str">
        <f>IF('Bittrex Data'!A7="","",IF(AND('Bittrex Data'!C7="LIMIT_SELL",Bittrex!D7="USD"),"Sale",IF(AND('Bittrex Data'!C7="LIMIT_BUY",Bittrex!D7="USD"),"Buy","Trade")))</f>
        <v/>
      </c>
      <c r="D7" t="str">
        <f>IF('Bittrex Data'!B7="","",LEFT(LEFT('Bittrex Data'!B7,SEARCH("-",'Bittrex Data'!B7,1)),LEN(LEFT('Bittrex Data'!B7,SEARCH("-",'Bittrex Data'!B7,1)))-1))</f>
        <v/>
      </c>
      <c r="E7" t="str">
        <f>IF('Bittrex Data'!B7="","",RIGHT(RIGHT('Bittrex Data'!B7,LEN('Bittrex Data'!B7)-SEARCH("-",'Bittrex Data'!B7,1)+1),LEN(RIGHT('Bittrex Data'!B7,LEN('Bittrex Data'!B7)-SEARCH("-",'Bittrex Data'!B7,1)+1))-1))</f>
        <v/>
      </c>
      <c r="F7" t="str">
        <f>IF('Bittrex Data'!C7="","",IF('Bittrex Data'!C7="Limit_Sell",'Bittrex Data'!G7-'Bittrex Data'!F7,IF('Bittrex Data'!C7="Limit_Buy",'Bittrex Data'!G7+'Bittrex Data'!F7,"")))</f>
        <v/>
      </c>
      <c r="G7" t="str">
        <f>IF('Bittrex Data'!B7="","",'Bittrex Data'!D7)</f>
        <v/>
      </c>
      <c r="H7" t="str">
        <f>IF('Bittrex Data'!C7="","",IF(Bittrex!C7="Buy",Bittrex!D7,IF(Bittrex!C7="Sale",Bittrex!E7,IF(AND(Bittrex!C7="Trade",'Bittrex Data'!C7="Limit_Sell"),Bittrex!E7,IF(AND(Bittrex!C7="Trade",'Bittrex Data'!C7="Limit_Buy"),Bittrex!D7,"")))))</f>
        <v/>
      </c>
      <c r="I7" t="str">
        <f>IF('Bittrex Data'!C7="","",IF(Bittrex!C7="Buy",F7,IF(C7="Sale",Bittrex!G7,IF(AND(C7="Trade",'Bittrex Data'!C7="Limit_Sell"),Bittrex!G7,IF(AND(Bittrex!C7="Trade",'Bittrex Data'!C7="Limit_Buy"),F7,"")))))</f>
        <v/>
      </c>
      <c r="J7" t="str">
        <f>IF('Bittrex Data'!B7="","",IF('Bittrex Data'!B7="","",IF(Bittrex!H7=Bittrex!E7,D7,Bittrex!E7)))</f>
        <v/>
      </c>
      <c r="K7" t="str">
        <f>IF('Bittrex Data'!B7="","",IF(Bittrex!I7=Bittrex!G7,Bittrex!F7,Bittrex!G7))</f>
        <v/>
      </c>
    </row>
    <row r="8" spans="3:11" x14ac:dyDescent="0.2">
      <c r="C8" t="str">
        <f>IF('Bittrex Data'!A8="","",IF(AND('Bittrex Data'!C8="LIMIT_SELL",Bittrex!D8="USD"),"Sale",IF(AND('Bittrex Data'!C8="LIMIT_BUY",Bittrex!D8="USD"),"Buy","Trade")))</f>
        <v/>
      </c>
      <c r="D8" t="str">
        <f>IF('Bittrex Data'!B8="","",LEFT(LEFT('Bittrex Data'!B8,SEARCH("-",'Bittrex Data'!B8,1)),LEN(LEFT('Bittrex Data'!B8,SEARCH("-",'Bittrex Data'!B8,1)))-1))</f>
        <v/>
      </c>
      <c r="E8" t="str">
        <f>IF('Bittrex Data'!B8="","",RIGHT(RIGHT('Bittrex Data'!B8,LEN('Bittrex Data'!B8)-SEARCH("-",'Bittrex Data'!B8,1)+1),LEN(RIGHT('Bittrex Data'!B8,LEN('Bittrex Data'!B8)-SEARCH("-",'Bittrex Data'!B8,1)+1))-1))</f>
        <v/>
      </c>
      <c r="F8" t="str">
        <f>IF('Bittrex Data'!C8="","",IF('Bittrex Data'!C8="Limit_Sell",'Bittrex Data'!G8-'Bittrex Data'!F8,IF('Bittrex Data'!C8="Limit_Buy",'Bittrex Data'!G8+'Bittrex Data'!F8,"")))</f>
        <v/>
      </c>
      <c r="G8" t="str">
        <f>IF('Bittrex Data'!B8="","",'Bittrex Data'!D8)</f>
        <v/>
      </c>
      <c r="H8" t="str">
        <f>IF('Bittrex Data'!C8="","",IF(Bittrex!C8="Buy",Bittrex!D8,IF(Bittrex!C8="Sale",Bittrex!E8,IF(AND(Bittrex!C8="Trade",'Bittrex Data'!C8="Limit_Sell"),Bittrex!E8,IF(AND(Bittrex!C8="Trade",'Bittrex Data'!C8="Limit_Buy"),Bittrex!D8,"")))))</f>
        <v/>
      </c>
      <c r="I8" t="str">
        <f>IF('Bittrex Data'!C8="","",IF(Bittrex!C8="Buy",F8,IF(C8="Sale",Bittrex!G8,IF(AND(C8="Trade",'Bittrex Data'!C8="Limit_Sell"),Bittrex!G8,IF(AND(Bittrex!C8="Trade",'Bittrex Data'!C8="Limit_Buy"),F8,"")))))</f>
        <v/>
      </c>
      <c r="J8" t="str">
        <f>IF('Bittrex Data'!B8="","",IF('Bittrex Data'!B8="","",IF(Bittrex!H8=Bittrex!E8,D8,Bittrex!E8)))</f>
        <v/>
      </c>
      <c r="K8" t="str">
        <f>IF('Bittrex Data'!B8="","",IF(Bittrex!I8=Bittrex!G8,Bittrex!F8,Bittrex!G8))</f>
        <v/>
      </c>
    </row>
    <row r="9" spans="3:11" x14ac:dyDescent="0.2">
      <c r="C9" t="str">
        <f>IF('Bittrex Data'!A9="","",IF(AND('Bittrex Data'!C9="LIMIT_SELL",Bittrex!D9="USD"),"Sale",IF(AND('Bittrex Data'!C9="LIMIT_BUY",Bittrex!D9="USD"),"Buy","Trade")))</f>
        <v/>
      </c>
      <c r="D9" t="str">
        <f>IF('Bittrex Data'!B9="","",LEFT(LEFT('Bittrex Data'!B9,SEARCH("-",'Bittrex Data'!B9,1)),LEN(LEFT('Bittrex Data'!B9,SEARCH("-",'Bittrex Data'!B9,1)))-1))</f>
        <v/>
      </c>
      <c r="E9" t="str">
        <f>IF('Bittrex Data'!B9="","",RIGHT(RIGHT('Bittrex Data'!B9,LEN('Bittrex Data'!B9)-SEARCH("-",'Bittrex Data'!B9,1)+1),LEN(RIGHT('Bittrex Data'!B9,LEN('Bittrex Data'!B9)-SEARCH("-",'Bittrex Data'!B9,1)+1))-1))</f>
        <v/>
      </c>
      <c r="F9" t="str">
        <f>IF('Bittrex Data'!C9="","",IF('Bittrex Data'!C9="Limit_Sell",'Bittrex Data'!G9-'Bittrex Data'!F9,IF('Bittrex Data'!C9="Limit_Buy",'Bittrex Data'!G9+'Bittrex Data'!F9,"")))</f>
        <v/>
      </c>
      <c r="G9" t="str">
        <f>IF('Bittrex Data'!B9="","",'Bittrex Data'!D9)</f>
        <v/>
      </c>
      <c r="H9" t="str">
        <f>IF('Bittrex Data'!C9="","",IF(Bittrex!C9="Buy",Bittrex!D9,IF(Bittrex!C9="Sale",Bittrex!E9,IF(AND(Bittrex!C9="Trade",'Bittrex Data'!C9="Limit_Sell"),Bittrex!E9,IF(AND(Bittrex!C9="Trade",'Bittrex Data'!C9="Limit_Buy"),Bittrex!D9,"")))))</f>
        <v/>
      </c>
      <c r="I9" t="str">
        <f>IF('Bittrex Data'!C9="","",IF(Bittrex!C9="Buy",F9,IF(C9="Sale",Bittrex!G9,IF(AND(C9="Trade",'Bittrex Data'!C9="Limit_Sell"),Bittrex!G9,IF(AND(Bittrex!C9="Trade",'Bittrex Data'!C9="Limit_Buy"),F9,"")))))</f>
        <v/>
      </c>
      <c r="J9" t="str">
        <f>IF('Bittrex Data'!B9="","",IF('Bittrex Data'!B9="","",IF(Bittrex!H9=Bittrex!E9,D9,Bittrex!E9)))</f>
        <v/>
      </c>
      <c r="K9" t="str">
        <f>IF('Bittrex Data'!B9="","",IF(Bittrex!I9=Bittrex!G9,Bittrex!F9,Bittrex!G9))</f>
        <v/>
      </c>
    </row>
    <row r="10" spans="3:11" x14ac:dyDescent="0.2">
      <c r="C10" t="str">
        <f>IF('Bittrex Data'!A10="","",IF(AND('Bittrex Data'!C10="LIMIT_SELL",Bittrex!D10="USD"),"Sale",IF(AND('Bittrex Data'!C10="LIMIT_BUY",Bittrex!D10="USD"),"Buy","Trade")))</f>
        <v/>
      </c>
      <c r="D10" t="str">
        <f>IF('Bittrex Data'!B10="","",LEFT(LEFT('Bittrex Data'!B10,SEARCH("-",'Bittrex Data'!B10,1)),LEN(LEFT('Bittrex Data'!B10,SEARCH("-",'Bittrex Data'!B10,1)))-1))</f>
        <v/>
      </c>
      <c r="E10" t="str">
        <f>IF('Bittrex Data'!B10="","",RIGHT(RIGHT('Bittrex Data'!B10,LEN('Bittrex Data'!B10)-SEARCH("-",'Bittrex Data'!B10,1)+1),LEN(RIGHT('Bittrex Data'!B10,LEN('Bittrex Data'!B10)-SEARCH("-",'Bittrex Data'!B10,1)+1))-1))</f>
        <v/>
      </c>
      <c r="F10" t="str">
        <f>IF('Bittrex Data'!C10="","",IF('Bittrex Data'!C10="Limit_Sell",'Bittrex Data'!G10-'Bittrex Data'!F10,IF('Bittrex Data'!C10="Limit_Buy",'Bittrex Data'!G10+'Bittrex Data'!F10,"")))</f>
        <v/>
      </c>
      <c r="G10" t="str">
        <f>IF('Bittrex Data'!B10="","",'Bittrex Data'!D10)</f>
        <v/>
      </c>
      <c r="H10" t="str">
        <f>IF('Bittrex Data'!C10="","",IF(Bittrex!C10="Buy",Bittrex!D10,IF(Bittrex!C10="Sale",Bittrex!E10,IF(AND(Bittrex!C10="Trade",'Bittrex Data'!C10="Limit_Sell"),Bittrex!E10,IF(AND(Bittrex!C10="Trade",'Bittrex Data'!C10="Limit_Buy"),Bittrex!D10,"")))))</f>
        <v/>
      </c>
      <c r="I10" t="str">
        <f>IF('Bittrex Data'!C10="","",IF(Bittrex!C10="Buy",F10,IF(C10="Sale",Bittrex!G10,IF(AND(C10="Trade",'Bittrex Data'!C10="Limit_Sell"),Bittrex!G10,IF(AND(Bittrex!C10="Trade",'Bittrex Data'!C10="Limit_Buy"),F10,"")))))</f>
        <v/>
      </c>
      <c r="J10" t="str">
        <f>IF('Bittrex Data'!B10="","",IF('Bittrex Data'!B10="","",IF(Bittrex!H10=Bittrex!E10,D10,Bittrex!E10)))</f>
        <v/>
      </c>
      <c r="K10" t="str">
        <f>IF('Bittrex Data'!B10="","",IF(Bittrex!I10=Bittrex!G10,Bittrex!F10,Bittrex!G10))</f>
        <v/>
      </c>
    </row>
    <row r="11" spans="3:11" x14ac:dyDescent="0.2">
      <c r="C11" t="str">
        <f>IF('Bittrex Data'!A11="","",IF(AND('Bittrex Data'!C11="LIMIT_SELL",Bittrex!D11="USD"),"Sale",IF(AND('Bittrex Data'!C11="LIMIT_BUY",Bittrex!D11="USD"),"Buy","Trade")))</f>
        <v/>
      </c>
      <c r="D11" t="str">
        <f>IF('Bittrex Data'!B11="","",LEFT(LEFT('Bittrex Data'!B11,SEARCH("-",'Bittrex Data'!B11,1)),LEN(LEFT('Bittrex Data'!B11,SEARCH("-",'Bittrex Data'!B11,1)))-1))</f>
        <v/>
      </c>
      <c r="E11" t="str">
        <f>IF('Bittrex Data'!B11="","",RIGHT(RIGHT('Bittrex Data'!B11,LEN('Bittrex Data'!B11)-SEARCH("-",'Bittrex Data'!B11,1)+1),LEN(RIGHT('Bittrex Data'!B11,LEN('Bittrex Data'!B11)-SEARCH("-",'Bittrex Data'!B11,1)+1))-1))</f>
        <v/>
      </c>
      <c r="F11" t="str">
        <f>IF('Bittrex Data'!C11="","",IF('Bittrex Data'!C11="Limit_Sell",'Bittrex Data'!G11-'Bittrex Data'!F11,IF('Bittrex Data'!C11="Limit_Buy",'Bittrex Data'!G11+'Bittrex Data'!F11,"")))</f>
        <v/>
      </c>
      <c r="G11" t="str">
        <f>IF('Bittrex Data'!B11="","",'Bittrex Data'!D11)</f>
        <v/>
      </c>
      <c r="H11" t="str">
        <f>IF('Bittrex Data'!C11="","",IF(Bittrex!C11="Buy",Bittrex!D11,IF(Bittrex!C11="Sale",Bittrex!E11,IF(AND(Bittrex!C11="Trade",'Bittrex Data'!C11="Limit_Sell"),Bittrex!E11,IF(AND(Bittrex!C11="Trade",'Bittrex Data'!C11="Limit_Buy"),Bittrex!D11,"")))))</f>
        <v/>
      </c>
      <c r="I11" t="str">
        <f>IF('Bittrex Data'!C11="","",IF(Bittrex!C11="Buy",F11,IF(C11="Sale",Bittrex!G11,IF(AND(C11="Trade",'Bittrex Data'!C11="Limit_Sell"),Bittrex!G11,IF(AND(Bittrex!C11="Trade",'Bittrex Data'!C11="Limit_Buy"),F11,"")))))</f>
        <v/>
      </c>
      <c r="J11" t="str">
        <f>IF('Bittrex Data'!B11="","",IF('Bittrex Data'!B11="","",IF(Bittrex!H11=Bittrex!E11,D11,Bittrex!E11)))</f>
        <v/>
      </c>
      <c r="K11" t="str">
        <f>IF('Bittrex Data'!B11="","",IF(Bittrex!I11=Bittrex!G11,Bittrex!F11,Bittrex!G11))</f>
        <v/>
      </c>
    </row>
    <row r="12" spans="3:11" x14ac:dyDescent="0.2">
      <c r="C12" t="str">
        <f>IF('Bittrex Data'!A12="","",IF(AND('Bittrex Data'!C12="LIMIT_SELL",Bittrex!D12="USD"),"Sale",IF(AND('Bittrex Data'!C12="LIMIT_BUY",Bittrex!D12="USD"),"Buy","Trade")))</f>
        <v/>
      </c>
      <c r="D12" t="str">
        <f>IF('Bittrex Data'!B12="","",LEFT(LEFT('Bittrex Data'!B12,SEARCH("-",'Bittrex Data'!B12,1)),LEN(LEFT('Bittrex Data'!B12,SEARCH("-",'Bittrex Data'!B12,1)))-1))</f>
        <v/>
      </c>
      <c r="E12" t="str">
        <f>IF('Bittrex Data'!B12="","",RIGHT(RIGHT('Bittrex Data'!B12,LEN('Bittrex Data'!B12)-SEARCH("-",'Bittrex Data'!B12,1)+1),LEN(RIGHT('Bittrex Data'!B12,LEN('Bittrex Data'!B12)-SEARCH("-",'Bittrex Data'!B12,1)+1))-1))</f>
        <v/>
      </c>
      <c r="F12" t="str">
        <f>IF('Bittrex Data'!C12="","",IF('Bittrex Data'!C12="Limit_Sell",'Bittrex Data'!G12-'Bittrex Data'!F12,IF('Bittrex Data'!C12="Limit_Buy",'Bittrex Data'!G12+'Bittrex Data'!F12,"")))</f>
        <v/>
      </c>
      <c r="G12" t="str">
        <f>IF('Bittrex Data'!B12="","",'Bittrex Data'!D12)</f>
        <v/>
      </c>
      <c r="H12" t="str">
        <f>IF('Bittrex Data'!C12="","",IF(Bittrex!C12="Buy",Bittrex!D12,IF(Bittrex!C12="Sale",Bittrex!E12,IF(AND(Bittrex!C12="Trade",'Bittrex Data'!C12="Limit_Sell"),Bittrex!E12,IF(AND(Bittrex!C12="Trade",'Bittrex Data'!C12="Limit_Buy"),Bittrex!D12,"")))))</f>
        <v/>
      </c>
      <c r="I12" t="str">
        <f>IF('Bittrex Data'!C12="","",IF(Bittrex!C12="Buy",F12,IF(C12="Sale",Bittrex!G12,IF(AND(C12="Trade",'Bittrex Data'!C12="Limit_Sell"),Bittrex!G12,IF(AND(Bittrex!C12="Trade",'Bittrex Data'!C12="Limit_Buy"),F12,"")))))</f>
        <v/>
      </c>
      <c r="J12" t="str">
        <f>IF('Bittrex Data'!B12="","",IF('Bittrex Data'!B12="","",IF(Bittrex!H12=Bittrex!E12,D12,Bittrex!E12)))</f>
        <v/>
      </c>
      <c r="K12" t="str">
        <f>IF('Bittrex Data'!B12="","",IF(Bittrex!I12=Bittrex!G12,Bittrex!F12,Bittrex!G12))</f>
        <v/>
      </c>
    </row>
    <row r="13" spans="3:11" x14ac:dyDescent="0.2">
      <c r="C13" t="str">
        <f>IF('Bittrex Data'!A13="","",IF(AND('Bittrex Data'!C13="LIMIT_SELL",Bittrex!D13="USD"),"Sale",IF(AND('Bittrex Data'!C13="LIMIT_BUY",Bittrex!D13="USD"),"Buy","Trade")))</f>
        <v/>
      </c>
      <c r="D13" t="str">
        <f>IF('Bittrex Data'!B13="","",LEFT(LEFT('Bittrex Data'!B13,SEARCH("-",'Bittrex Data'!B13,1)),LEN(LEFT('Bittrex Data'!B13,SEARCH("-",'Bittrex Data'!B13,1)))-1))</f>
        <v/>
      </c>
      <c r="E13" t="str">
        <f>IF('Bittrex Data'!B13="","",RIGHT(RIGHT('Bittrex Data'!B13,LEN('Bittrex Data'!B13)-SEARCH("-",'Bittrex Data'!B13,1)+1),LEN(RIGHT('Bittrex Data'!B13,LEN('Bittrex Data'!B13)-SEARCH("-",'Bittrex Data'!B13,1)+1))-1))</f>
        <v/>
      </c>
      <c r="F13" t="str">
        <f>IF('Bittrex Data'!C13="","",IF('Bittrex Data'!C13="Limit_Sell",'Bittrex Data'!G13-'Bittrex Data'!F13,IF('Bittrex Data'!C13="Limit_Buy",'Bittrex Data'!G13+'Bittrex Data'!F13,"")))</f>
        <v/>
      </c>
      <c r="G13" t="str">
        <f>IF('Bittrex Data'!B13="","",'Bittrex Data'!D13)</f>
        <v/>
      </c>
      <c r="H13" t="str">
        <f>IF('Bittrex Data'!C13="","",IF(Bittrex!C13="Buy",Bittrex!D13,IF(Bittrex!C13="Sale",Bittrex!E13,IF(AND(Bittrex!C13="Trade",'Bittrex Data'!C13="Limit_Sell"),Bittrex!E13,IF(AND(Bittrex!C13="Trade",'Bittrex Data'!C13="Limit_Buy"),Bittrex!D13,"")))))</f>
        <v/>
      </c>
      <c r="I13" t="str">
        <f>IF('Bittrex Data'!C13="","",IF(Bittrex!C13="Buy",F13,IF(C13="Sale",Bittrex!G13,IF(AND(C13="Trade",'Bittrex Data'!C13="Limit_Sell"),Bittrex!G13,IF(AND(Bittrex!C13="Trade",'Bittrex Data'!C13="Limit_Buy"),F13,"")))))</f>
        <v/>
      </c>
      <c r="J13" t="str">
        <f>IF('Bittrex Data'!B13="","",IF('Bittrex Data'!B13="","",IF(Bittrex!H13=Bittrex!E13,D13,Bittrex!E13)))</f>
        <v/>
      </c>
      <c r="K13" t="str">
        <f>IF('Bittrex Data'!B13="","",IF(Bittrex!I13=Bittrex!G13,Bittrex!F13,Bittrex!G13))</f>
        <v/>
      </c>
    </row>
    <row r="14" spans="3:11" x14ac:dyDescent="0.2">
      <c r="C14" t="str">
        <f>IF('Bittrex Data'!A14="","",IF(AND('Bittrex Data'!C14="LIMIT_SELL",Bittrex!D14="USD"),"Sale",IF(AND('Bittrex Data'!C14="LIMIT_BUY",Bittrex!D14="USD"),"Buy","Trade")))</f>
        <v/>
      </c>
      <c r="D14" t="str">
        <f>IF('Bittrex Data'!B14="","",LEFT(LEFT('Bittrex Data'!B14,SEARCH("-",'Bittrex Data'!B14,1)),LEN(LEFT('Bittrex Data'!B14,SEARCH("-",'Bittrex Data'!B14,1)))-1))</f>
        <v/>
      </c>
      <c r="E14" t="str">
        <f>IF('Bittrex Data'!B14="","",RIGHT(RIGHT('Bittrex Data'!B14,LEN('Bittrex Data'!B14)-SEARCH("-",'Bittrex Data'!B14,1)+1),LEN(RIGHT('Bittrex Data'!B14,LEN('Bittrex Data'!B14)-SEARCH("-",'Bittrex Data'!B14,1)+1))-1))</f>
        <v/>
      </c>
      <c r="F14" t="str">
        <f>IF('Bittrex Data'!C14="","",IF('Bittrex Data'!C14="Limit_Sell",'Bittrex Data'!G14-'Bittrex Data'!F14,IF('Bittrex Data'!C14="Limit_Buy",'Bittrex Data'!G14+'Bittrex Data'!F14,"")))</f>
        <v/>
      </c>
      <c r="G14" t="str">
        <f>IF('Bittrex Data'!B14="","",'Bittrex Data'!D14)</f>
        <v/>
      </c>
      <c r="H14" t="str">
        <f>IF('Bittrex Data'!C14="","",IF(Bittrex!C14="Buy",Bittrex!D14,IF(Bittrex!C14="Sale",Bittrex!E14,IF(AND(Bittrex!C14="Trade",'Bittrex Data'!C14="Limit_Sell"),Bittrex!E14,IF(AND(Bittrex!C14="Trade",'Bittrex Data'!C14="Limit_Buy"),Bittrex!D14,"")))))</f>
        <v/>
      </c>
      <c r="I14" t="str">
        <f>IF('Bittrex Data'!C14="","",IF(Bittrex!C14="Buy",F14,IF(C14="Sale",Bittrex!G14,IF(AND(C14="Trade",'Bittrex Data'!C14="Limit_Sell"),Bittrex!G14,IF(AND(Bittrex!C14="Trade",'Bittrex Data'!C14="Limit_Buy"),F14,"")))))</f>
        <v/>
      </c>
      <c r="J14" t="str">
        <f>IF('Bittrex Data'!B14="","",IF('Bittrex Data'!B14="","",IF(Bittrex!H14=Bittrex!E14,D14,Bittrex!E14)))</f>
        <v/>
      </c>
      <c r="K14" t="str">
        <f>IF('Bittrex Data'!B14="","",IF(Bittrex!I14=Bittrex!G14,Bittrex!F14,Bittrex!G14))</f>
        <v/>
      </c>
    </row>
    <row r="15" spans="3:11" x14ac:dyDescent="0.2">
      <c r="C15" t="str">
        <f>IF('Bittrex Data'!A15="","",IF(AND('Bittrex Data'!C15="LIMIT_SELL",Bittrex!D15="USD"),"Sale",IF(AND('Bittrex Data'!C15="LIMIT_BUY",Bittrex!D15="USD"),"Buy","Trade")))</f>
        <v/>
      </c>
      <c r="D15" t="str">
        <f>IF('Bittrex Data'!B15="","",LEFT(LEFT('Bittrex Data'!B15,SEARCH("-",'Bittrex Data'!B15,1)),LEN(LEFT('Bittrex Data'!B15,SEARCH("-",'Bittrex Data'!B15,1)))-1))</f>
        <v/>
      </c>
      <c r="E15" t="str">
        <f>IF('Bittrex Data'!B15="","",RIGHT(RIGHT('Bittrex Data'!B15,LEN('Bittrex Data'!B15)-SEARCH("-",'Bittrex Data'!B15,1)+1),LEN(RIGHT('Bittrex Data'!B15,LEN('Bittrex Data'!B15)-SEARCH("-",'Bittrex Data'!B15,1)+1))-1))</f>
        <v/>
      </c>
      <c r="F15" t="str">
        <f>IF('Bittrex Data'!C15="","",IF('Bittrex Data'!C15="Limit_Sell",'Bittrex Data'!G15-'Bittrex Data'!F15,IF('Bittrex Data'!C15="Limit_Buy",'Bittrex Data'!G15+'Bittrex Data'!F15,"")))</f>
        <v/>
      </c>
      <c r="G15" t="str">
        <f>IF('Bittrex Data'!B15="","",'Bittrex Data'!D15)</f>
        <v/>
      </c>
      <c r="H15" t="str">
        <f>IF('Bittrex Data'!C15="","",IF(Bittrex!C15="Buy",Bittrex!D15,IF(Bittrex!C15="Sale",Bittrex!E15,IF(AND(Bittrex!C15="Trade",'Bittrex Data'!C15="Limit_Sell"),Bittrex!E15,IF(AND(Bittrex!C15="Trade",'Bittrex Data'!C15="Limit_Buy"),Bittrex!D15,"")))))</f>
        <v/>
      </c>
      <c r="I15" t="str">
        <f>IF('Bittrex Data'!C15="","",IF(Bittrex!C15="Buy",F15,IF(C15="Sale",Bittrex!G15,IF(AND(C15="Trade",'Bittrex Data'!C15="Limit_Sell"),Bittrex!G15,IF(AND(Bittrex!C15="Trade",'Bittrex Data'!C15="Limit_Buy"),F15,"")))))</f>
        <v/>
      </c>
      <c r="J15" t="str">
        <f>IF('Bittrex Data'!B15="","",IF('Bittrex Data'!B15="","",IF(Bittrex!H15=Bittrex!E15,D15,Bittrex!E15)))</f>
        <v/>
      </c>
      <c r="K15" t="str">
        <f>IF('Bittrex Data'!B15="","",IF(Bittrex!I15=Bittrex!G15,Bittrex!F15,Bittrex!G15))</f>
        <v/>
      </c>
    </row>
    <row r="16" spans="3:11" x14ac:dyDescent="0.2">
      <c r="C16" t="str">
        <f>IF('Bittrex Data'!A16="","",IF(AND('Bittrex Data'!C16="LIMIT_SELL",Bittrex!D16="USD"),"Sale",IF(AND('Bittrex Data'!C16="LIMIT_BUY",Bittrex!D16="USD"),"Buy","Trade")))</f>
        <v/>
      </c>
      <c r="D16" t="str">
        <f>IF('Bittrex Data'!B16="","",LEFT(LEFT('Bittrex Data'!B16,SEARCH("-",'Bittrex Data'!B16,1)),LEN(LEFT('Bittrex Data'!B16,SEARCH("-",'Bittrex Data'!B16,1)))-1))</f>
        <v/>
      </c>
      <c r="E16" t="str">
        <f>IF('Bittrex Data'!B16="","",RIGHT(RIGHT('Bittrex Data'!B16,LEN('Bittrex Data'!B16)-SEARCH("-",'Bittrex Data'!B16,1)+1),LEN(RIGHT('Bittrex Data'!B16,LEN('Bittrex Data'!B16)-SEARCH("-",'Bittrex Data'!B16,1)+1))-1))</f>
        <v/>
      </c>
      <c r="F16" t="str">
        <f>IF('Bittrex Data'!C16="","",IF('Bittrex Data'!C16="Limit_Sell",'Bittrex Data'!G16-'Bittrex Data'!F16,IF('Bittrex Data'!C16="Limit_Buy",'Bittrex Data'!G16+'Bittrex Data'!F16,"")))</f>
        <v/>
      </c>
      <c r="G16" t="str">
        <f>IF('Bittrex Data'!B16="","",'Bittrex Data'!D16)</f>
        <v/>
      </c>
      <c r="H16" t="str">
        <f>IF('Bittrex Data'!C16="","",IF(Bittrex!C16="Buy",Bittrex!D16,IF(Bittrex!C16="Sale",Bittrex!E16,IF(AND(Bittrex!C16="Trade",'Bittrex Data'!C16="Limit_Sell"),Bittrex!E16,IF(AND(Bittrex!C16="Trade",'Bittrex Data'!C16="Limit_Buy"),Bittrex!D16,"")))))</f>
        <v/>
      </c>
      <c r="I16" t="str">
        <f>IF('Bittrex Data'!C16="","",IF(Bittrex!C16="Buy",F16,IF(C16="Sale",Bittrex!G16,IF(AND(C16="Trade",'Bittrex Data'!C16="Limit_Sell"),Bittrex!G16,IF(AND(Bittrex!C16="Trade",'Bittrex Data'!C16="Limit_Buy"),F16,"")))))</f>
        <v/>
      </c>
      <c r="J16" t="str">
        <f>IF('Bittrex Data'!B16="","",IF('Bittrex Data'!B16="","",IF(Bittrex!H16=Bittrex!E16,D16,Bittrex!E16)))</f>
        <v/>
      </c>
      <c r="K16" t="str">
        <f>IF('Bittrex Data'!B16="","",IF(Bittrex!I16=Bittrex!G16,Bittrex!F16,Bittrex!G16))</f>
        <v/>
      </c>
    </row>
    <row r="17" spans="3:11" x14ac:dyDescent="0.2">
      <c r="C17" t="str">
        <f>IF('Bittrex Data'!A17="","",IF(AND('Bittrex Data'!C17="LIMIT_SELL",Bittrex!D17="USD"),"Sale",IF(AND('Bittrex Data'!C17="LIMIT_BUY",Bittrex!D17="USD"),"Buy","Trade")))</f>
        <v/>
      </c>
      <c r="D17" t="str">
        <f>IF('Bittrex Data'!B17="","",LEFT(LEFT('Bittrex Data'!B17,SEARCH("-",'Bittrex Data'!B17,1)),LEN(LEFT('Bittrex Data'!B17,SEARCH("-",'Bittrex Data'!B17,1)))-1))</f>
        <v/>
      </c>
      <c r="E17" t="str">
        <f>IF('Bittrex Data'!B17="","",RIGHT(RIGHT('Bittrex Data'!B17,LEN('Bittrex Data'!B17)-SEARCH("-",'Bittrex Data'!B17,1)+1),LEN(RIGHT('Bittrex Data'!B17,LEN('Bittrex Data'!B17)-SEARCH("-",'Bittrex Data'!B17,1)+1))-1))</f>
        <v/>
      </c>
      <c r="F17" t="str">
        <f>IF('Bittrex Data'!C17="","",IF('Bittrex Data'!C17="Limit_Sell",'Bittrex Data'!G17-'Bittrex Data'!F17,IF('Bittrex Data'!C17="Limit_Buy",'Bittrex Data'!G17+'Bittrex Data'!F17,"")))</f>
        <v/>
      </c>
      <c r="G17" t="str">
        <f>IF('Bittrex Data'!B17="","",'Bittrex Data'!D17)</f>
        <v/>
      </c>
      <c r="H17" t="str">
        <f>IF('Bittrex Data'!C17="","",IF(Bittrex!C17="Buy",Bittrex!D17,IF(Bittrex!C17="Sale",Bittrex!E17,IF(AND(Bittrex!C17="Trade",'Bittrex Data'!C17="Limit_Sell"),Bittrex!E17,IF(AND(Bittrex!C17="Trade",'Bittrex Data'!C17="Limit_Buy"),Bittrex!D17,"")))))</f>
        <v/>
      </c>
      <c r="I17" t="str">
        <f>IF('Bittrex Data'!C17="","",IF(Bittrex!C17="Buy",F17,IF(C17="Sale",Bittrex!G17,IF(AND(C17="Trade",'Bittrex Data'!C17="Limit_Sell"),Bittrex!G17,IF(AND(Bittrex!C17="Trade",'Bittrex Data'!C17="Limit_Buy"),F17,"")))))</f>
        <v/>
      </c>
      <c r="J17" t="str">
        <f>IF('Bittrex Data'!B17="","",IF('Bittrex Data'!B17="","",IF(Bittrex!H17=Bittrex!E17,D17,Bittrex!E17)))</f>
        <v/>
      </c>
      <c r="K17" t="str">
        <f>IF('Bittrex Data'!B17="","",IF(Bittrex!I17=Bittrex!G17,Bittrex!F17,Bittrex!G17))</f>
        <v/>
      </c>
    </row>
    <row r="18" spans="3:11" x14ac:dyDescent="0.2">
      <c r="C18" t="str">
        <f>IF('Bittrex Data'!A18="","",IF(AND('Bittrex Data'!C18="LIMIT_SELL",Bittrex!D18="USD"),"Sale",IF(AND('Bittrex Data'!C18="LIMIT_BUY",Bittrex!D18="USD"),"Buy","Trade")))</f>
        <v/>
      </c>
      <c r="D18" t="str">
        <f>IF('Bittrex Data'!B18="","",LEFT(LEFT('Bittrex Data'!B18,SEARCH("-",'Bittrex Data'!B18,1)),LEN(LEFT('Bittrex Data'!B18,SEARCH("-",'Bittrex Data'!B18,1)))-1))</f>
        <v/>
      </c>
      <c r="E18" t="str">
        <f>IF('Bittrex Data'!B18="","",RIGHT(RIGHT('Bittrex Data'!B18,LEN('Bittrex Data'!B18)-SEARCH("-",'Bittrex Data'!B18,1)+1),LEN(RIGHT('Bittrex Data'!B18,LEN('Bittrex Data'!B18)-SEARCH("-",'Bittrex Data'!B18,1)+1))-1))</f>
        <v/>
      </c>
      <c r="F18" t="str">
        <f>IF('Bittrex Data'!C18="","",IF('Bittrex Data'!C18="Limit_Sell",'Bittrex Data'!G18-'Bittrex Data'!F18,IF('Bittrex Data'!C18="Limit_Buy",'Bittrex Data'!G18+'Bittrex Data'!F18,"")))</f>
        <v/>
      </c>
      <c r="G18" t="str">
        <f>IF('Bittrex Data'!B18="","",'Bittrex Data'!D18)</f>
        <v/>
      </c>
      <c r="H18" t="str">
        <f>IF('Bittrex Data'!C18="","",IF(Bittrex!C18="Buy",Bittrex!D18,IF(Bittrex!C18="Sale",Bittrex!E18,IF(AND(Bittrex!C18="Trade",'Bittrex Data'!C18="Limit_Sell"),Bittrex!E18,IF(AND(Bittrex!C18="Trade",'Bittrex Data'!C18="Limit_Buy"),Bittrex!D18,"")))))</f>
        <v/>
      </c>
      <c r="I18" t="str">
        <f>IF('Bittrex Data'!C18="","",IF(Bittrex!C18="Buy",F18,IF(C18="Sale",Bittrex!G18,IF(AND(C18="Trade",'Bittrex Data'!C18="Limit_Sell"),Bittrex!G18,IF(AND(Bittrex!C18="Trade",'Bittrex Data'!C18="Limit_Buy"),F18,"")))))</f>
        <v/>
      </c>
      <c r="J18" t="str">
        <f>IF('Bittrex Data'!B18="","",IF('Bittrex Data'!B18="","",IF(Bittrex!H18=Bittrex!E18,D18,Bittrex!E18)))</f>
        <v/>
      </c>
      <c r="K18" t="str">
        <f>IF('Bittrex Data'!B18="","",IF(Bittrex!I18=Bittrex!G18,Bittrex!F18,Bittrex!G18))</f>
        <v/>
      </c>
    </row>
    <row r="19" spans="3:11" x14ac:dyDescent="0.2">
      <c r="C19" t="str">
        <f>IF('Bittrex Data'!A19="","",IF(AND('Bittrex Data'!C19="LIMIT_SELL",Bittrex!D19="USD"),"Sale",IF(AND('Bittrex Data'!C19="LIMIT_BUY",Bittrex!D19="USD"),"Buy","Trade")))</f>
        <v/>
      </c>
      <c r="D19" t="str">
        <f>IF('Bittrex Data'!B19="","",LEFT(LEFT('Bittrex Data'!B19,SEARCH("-",'Bittrex Data'!B19,1)),LEN(LEFT('Bittrex Data'!B19,SEARCH("-",'Bittrex Data'!B19,1)))-1))</f>
        <v/>
      </c>
      <c r="E19" t="str">
        <f>IF('Bittrex Data'!B19="","",RIGHT(RIGHT('Bittrex Data'!B19,LEN('Bittrex Data'!B19)-SEARCH("-",'Bittrex Data'!B19,1)+1),LEN(RIGHT('Bittrex Data'!B19,LEN('Bittrex Data'!B19)-SEARCH("-",'Bittrex Data'!B19,1)+1))-1))</f>
        <v/>
      </c>
      <c r="F19" t="str">
        <f>IF('Bittrex Data'!C19="","",IF('Bittrex Data'!C19="Limit_Sell",'Bittrex Data'!G19-'Bittrex Data'!F19,IF('Bittrex Data'!C19="Limit_Buy",'Bittrex Data'!G19+'Bittrex Data'!F19,"")))</f>
        <v/>
      </c>
      <c r="G19" t="str">
        <f>IF('Bittrex Data'!B19="","",'Bittrex Data'!D19)</f>
        <v/>
      </c>
      <c r="H19" t="str">
        <f>IF('Bittrex Data'!C19="","",IF(Bittrex!C19="Buy",Bittrex!D19,IF(Bittrex!C19="Sale",Bittrex!E19,IF(AND(Bittrex!C19="Trade",'Bittrex Data'!C19="Limit_Sell"),Bittrex!E19,IF(AND(Bittrex!C19="Trade",'Bittrex Data'!C19="Limit_Buy"),Bittrex!D19,"")))))</f>
        <v/>
      </c>
      <c r="I19" t="str">
        <f>IF('Bittrex Data'!C19="","",IF(Bittrex!C19="Buy",F19,IF(C19="Sale",Bittrex!G19,IF(AND(C19="Trade",'Bittrex Data'!C19="Limit_Sell"),Bittrex!G19,IF(AND(Bittrex!C19="Trade",'Bittrex Data'!C19="Limit_Buy"),F19,"")))))</f>
        <v/>
      </c>
      <c r="J19" t="str">
        <f>IF('Bittrex Data'!B19="","",IF('Bittrex Data'!B19="","",IF(Bittrex!H19=Bittrex!E19,D19,Bittrex!E19)))</f>
        <v/>
      </c>
      <c r="K19" t="str">
        <f>IF('Bittrex Data'!B19="","",IF(Bittrex!I19=Bittrex!G19,Bittrex!F19,Bittrex!G19))</f>
        <v/>
      </c>
    </row>
    <row r="20" spans="3:11" x14ac:dyDescent="0.2">
      <c r="C20" t="str">
        <f>IF('Bittrex Data'!A20="","",IF(AND('Bittrex Data'!C20="LIMIT_SELL",Bittrex!D20="USD"),"Sale",IF(AND('Bittrex Data'!C20="LIMIT_BUY",Bittrex!D20="USD"),"Buy","Trade")))</f>
        <v/>
      </c>
      <c r="D20" t="str">
        <f>IF('Bittrex Data'!B20="","",LEFT(LEFT('Bittrex Data'!B20,SEARCH("-",'Bittrex Data'!B20,1)),LEN(LEFT('Bittrex Data'!B20,SEARCH("-",'Bittrex Data'!B20,1)))-1))</f>
        <v/>
      </c>
      <c r="E20" t="str">
        <f>IF('Bittrex Data'!B20="","",RIGHT(RIGHT('Bittrex Data'!B20,LEN('Bittrex Data'!B20)-SEARCH("-",'Bittrex Data'!B20,1)+1),LEN(RIGHT('Bittrex Data'!B20,LEN('Bittrex Data'!B20)-SEARCH("-",'Bittrex Data'!B20,1)+1))-1))</f>
        <v/>
      </c>
      <c r="F20" t="str">
        <f>IF('Bittrex Data'!C20="","",IF('Bittrex Data'!C20="Limit_Sell",'Bittrex Data'!G20-'Bittrex Data'!F20,IF('Bittrex Data'!C20="Limit_Buy",'Bittrex Data'!G20+'Bittrex Data'!F20,"")))</f>
        <v/>
      </c>
      <c r="G20" t="str">
        <f>IF('Bittrex Data'!B20="","",'Bittrex Data'!D20)</f>
        <v/>
      </c>
      <c r="H20" t="str">
        <f>IF('Bittrex Data'!C20="","",IF(Bittrex!C20="Buy",Bittrex!D20,IF(Bittrex!C20="Sale",Bittrex!E20,IF(AND(Bittrex!C20="Trade",'Bittrex Data'!C20="Limit_Sell"),Bittrex!E20,IF(AND(Bittrex!C20="Trade",'Bittrex Data'!C20="Limit_Buy"),Bittrex!D20,"")))))</f>
        <v/>
      </c>
      <c r="I20" t="str">
        <f>IF('Bittrex Data'!C20="","",IF(Bittrex!C20="Buy",F20,IF(C20="Sale",Bittrex!G20,IF(AND(C20="Trade",'Bittrex Data'!C20="Limit_Sell"),Bittrex!G20,IF(AND(Bittrex!C20="Trade",'Bittrex Data'!C20="Limit_Buy"),F20,"")))))</f>
        <v/>
      </c>
      <c r="J20" t="str">
        <f>IF('Bittrex Data'!B20="","",IF('Bittrex Data'!B20="","",IF(Bittrex!H20=Bittrex!E20,D20,Bittrex!E20)))</f>
        <v/>
      </c>
      <c r="K20" t="str">
        <f>IF('Bittrex Data'!B20="","",IF(Bittrex!I20=Bittrex!G20,Bittrex!F20,Bittrex!G20))</f>
        <v/>
      </c>
    </row>
    <row r="21" spans="3:11" x14ac:dyDescent="0.2">
      <c r="C21" t="str">
        <f>IF('Bittrex Data'!A21="","",IF(AND('Bittrex Data'!C21="LIMIT_SELL",Bittrex!D21="USD"),"Sale",IF(AND('Bittrex Data'!C21="LIMIT_BUY",Bittrex!D21="USD"),"Buy","Trade")))</f>
        <v/>
      </c>
      <c r="D21" t="str">
        <f>IF('Bittrex Data'!B21="","",LEFT(LEFT('Bittrex Data'!B21,SEARCH("-",'Bittrex Data'!B21,1)),LEN(LEFT('Bittrex Data'!B21,SEARCH("-",'Bittrex Data'!B21,1)))-1))</f>
        <v/>
      </c>
      <c r="E21" t="str">
        <f>IF('Bittrex Data'!B21="","",RIGHT(RIGHT('Bittrex Data'!B21,LEN('Bittrex Data'!B21)-SEARCH("-",'Bittrex Data'!B21,1)+1),LEN(RIGHT('Bittrex Data'!B21,LEN('Bittrex Data'!B21)-SEARCH("-",'Bittrex Data'!B21,1)+1))-1))</f>
        <v/>
      </c>
      <c r="F21" t="str">
        <f>IF('Bittrex Data'!C21="","",IF('Bittrex Data'!C21="Limit_Sell",'Bittrex Data'!G21-'Bittrex Data'!F21,IF('Bittrex Data'!C21="Limit_Buy",'Bittrex Data'!G21+'Bittrex Data'!F21,"")))</f>
        <v/>
      </c>
      <c r="G21" t="str">
        <f>IF('Bittrex Data'!B21="","",'Bittrex Data'!D21)</f>
        <v/>
      </c>
      <c r="H21" t="str">
        <f>IF('Bittrex Data'!C21="","",IF(Bittrex!C21="Buy",Bittrex!D21,IF(Bittrex!C21="Sale",Bittrex!E21,IF(AND(Bittrex!C21="Trade",'Bittrex Data'!C21="Limit_Sell"),Bittrex!E21,IF(AND(Bittrex!C21="Trade",'Bittrex Data'!C21="Limit_Buy"),Bittrex!D21,"")))))</f>
        <v/>
      </c>
      <c r="I21" t="str">
        <f>IF('Bittrex Data'!C21="","",IF(Bittrex!C21="Buy",F21,IF(C21="Sale",Bittrex!G21,IF(AND(C21="Trade",'Bittrex Data'!C21="Limit_Sell"),Bittrex!G21,IF(AND(Bittrex!C21="Trade",'Bittrex Data'!C21="Limit_Buy"),F21,"")))))</f>
        <v/>
      </c>
      <c r="J21" t="str">
        <f>IF('Bittrex Data'!B21="","",IF('Bittrex Data'!B21="","",IF(Bittrex!H21=Bittrex!E21,D21,Bittrex!E21)))</f>
        <v/>
      </c>
      <c r="K21" t="str">
        <f>IF('Bittrex Data'!B21="","",IF(Bittrex!I21=Bittrex!G21,Bittrex!F21,Bittrex!G21))</f>
        <v/>
      </c>
    </row>
    <row r="22" spans="3:11" x14ac:dyDescent="0.2">
      <c r="C22" t="str">
        <f>IF('Bittrex Data'!A22="","",IF(AND('Bittrex Data'!C22="LIMIT_SELL",Bittrex!D22="USD"),"Sale",IF(AND('Bittrex Data'!C22="LIMIT_BUY",Bittrex!D22="USD"),"Buy","Trade")))</f>
        <v/>
      </c>
      <c r="D22" t="str">
        <f>IF('Bittrex Data'!B22="","",LEFT(LEFT('Bittrex Data'!B22,SEARCH("-",'Bittrex Data'!B22,1)),LEN(LEFT('Bittrex Data'!B22,SEARCH("-",'Bittrex Data'!B22,1)))-1))</f>
        <v/>
      </c>
      <c r="E22" t="str">
        <f>IF('Bittrex Data'!B22="","",RIGHT(RIGHT('Bittrex Data'!B22,LEN('Bittrex Data'!B22)-SEARCH("-",'Bittrex Data'!B22,1)+1),LEN(RIGHT('Bittrex Data'!B22,LEN('Bittrex Data'!B22)-SEARCH("-",'Bittrex Data'!B22,1)+1))-1))</f>
        <v/>
      </c>
      <c r="F22" t="str">
        <f>IF('Bittrex Data'!C22="","",IF('Bittrex Data'!C22="Limit_Sell",'Bittrex Data'!G22-'Bittrex Data'!F22,IF('Bittrex Data'!C22="Limit_Buy",'Bittrex Data'!G22+'Bittrex Data'!F22,"")))</f>
        <v/>
      </c>
      <c r="G22" t="str">
        <f>IF('Bittrex Data'!B22="","",'Bittrex Data'!D22)</f>
        <v/>
      </c>
      <c r="H22" t="str">
        <f>IF('Bittrex Data'!C22="","",IF(Bittrex!C22="Buy",Bittrex!D22,IF(Bittrex!C22="Sale",Bittrex!E22,IF(AND(Bittrex!C22="Trade",'Bittrex Data'!C22="Limit_Sell"),Bittrex!E22,IF(AND(Bittrex!C22="Trade",'Bittrex Data'!C22="Limit_Buy"),Bittrex!D22,"")))))</f>
        <v/>
      </c>
      <c r="I22" t="str">
        <f>IF('Bittrex Data'!C22="","",IF(Bittrex!C22="Buy",F22,IF(C22="Sale",Bittrex!G22,IF(AND(C22="Trade",'Bittrex Data'!C22="Limit_Sell"),Bittrex!G22,IF(AND(Bittrex!C22="Trade",'Bittrex Data'!C22="Limit_Buy"),F22,"")))))</f>
        <v/>
      </c>
      <c r="J22" t="str">
        <f>IF('Bittrex Data'!B22="","",IF('Bittrex Data'!B22="","",IF(Bittrex!H22=Bittrex!E22,D22,Bittrex!E22)))</f>
        <v/>
      </c>
      <c r="K22" t="str">
        <f>IF('Bittrex Data'!B22="","",IF(Bittrex!I22=Bittrex!G22,Bittrex!F22,Bittrex!G22))</f>
        <v/>
      </c>
    </row>
    <row r="23" spans="3:11" x14ac:dyDescent="0.2">
      <c r="C23" t="str">
        <f>IF('Bittrex Data'!A23="","",IF(AND('Bittrex Data'!C23="LIMIT_SELL",Bittrex!D23="USD"),"Sale",IF(AND('Bittrex Data'!C23="LIMIT_BUY",Bittrex!D23="USD"),"Buy","Trade")))</f>
        <v/>
      </c>
      <c r="D23" t="str">
        <f>IF('Bittrex Data'!B23="","",LEFT(LEFT('Bittrex Data'!B23,SEARCH("-",'Bittrex Data'!B23,1)),LEN(LEFT('Bittrex Data'!B23,SEARCH("-",'Bittrex Data'!B23,1)))-1))</f>
        <v/>
      </c>
      <c r="E23" t="str">
        <f>IF('Bittrex Data'!B23="","",RIGHT(RIGHT('Bittrex Data'!B23,LEN('Bittrex Data'!B23)-SEARCH("-",'Bittrex Data'!B23,1)+1),LEN(RIGHT('Bittrex Data'!B23,LEN('Bittrex Data'!B23)-SEARCH("-",'Bittrex Data'!B23,1)+1))-1))</f>
        <v/>
      </c>
      <c r="F23" t="str">
        <f>IF('Bittrex Data'!C23="","",IF('Bittrex Data'!C23="Limit_Sell",'Bittrex Data'!G23-'Bittrex Data'!F23,IF('Bittrex Data'!C23="Limit_Buy",'Bittrex Data'!G23+'Bittrex Data'!F23,"")))</f>
        <v/>
      </c>
      <c r="G23" t="str">
        <f>IF('Bittrex Data'!B23="","",'Bittrex Data'!D23)</f>
        <v/>
      </c>
      <c r="H23" t="str">
        <f>IF('Bittrex Data'!C23="","",IF(Bittrex!C23="Buy",Bittrex!D23,IF(Bittrex!C23="Sale",Bittrex!E23,IF(AND(Bittrex!C23="Trade",'Bittrex Data'!C23="Limit_Sell"),Bittrex!E23,IF(AND(Bittrex!C23="Trade",'Bittrex Data'!C23="Limit_Buy"),Bittrex!D23,"")))))</f>
        <v/>
      </c>
      <c r="I23" t="str">
        <f>IF('Bittrex Data'!C23="","",IF(Bittrex!C23="Buy",F23,IF(C23="Sale",Bittrex!G23,IF(AND(C23="Trade",'Bittrex Data'!C23="Limit_Sell"),Bittrex!G23,IF(AND(Bittrex!C23="Trade",'Bittrex Data'!C23="Limit_Buy"),F23,"")))))</f>
        <v/>
      </c>
      <c r="J23" t="str">
        <f>IF('Bittrex Data'!B23="","",IF('Bittrex Data'!B23="","",IF(Bittrex!H23=Bittrex!E23,D23,Bittrex!E23)))</f>
        <v/>
      </c>
      <c r="K23" t="str">
        <f>IF('Bittrex Data'!B23="","",IF(Bittrex!I23=Bittrex!G23,Bittrex!F23,Bittrex!G23))</f>
        <v/>
      </c>
    </row>
    <row r="24" spans="3:11" x14ac:dyDescent="0.2">
      <c r="C24" t="str">
        <f>IF('Bittrex Data'!A24="","",IF(AND('Bittrex Data'!C24="LIMIT_SELL",Bittrex!D24="USD"),"Sale",IF(AND('Bittrex Data'!C24="LIMIT_BUY",Bittrex!D24="USD"),"Buy","Trade")))</f>
        <v/>
      </c>
      <c r="D24" t="str">
        <f>IF('Bittrex Data'!B24="","",LEFT(LEFT('Bittrex Data'!B24,SEARCH("-",'Bittrex Data'!B24,1)),LEN(LEFT('Bittrex Data'!B24,SEARCH("-",'Bittrex Data'!B24,1)))-1))</f>
        <v/>
      </c>
      <c r="E24" t="str">
        <f>IF('Bittrex Data'!B24="","",RIGHT(RIGHT('Bittrex Data'!B24,LEN('Bittrex Data'!B24)-SEARCH("-",'Bittrex Data'!B24,1)+1),LEN(RIGHT('Bittrex Data'!B24,LEN('Bittrex Data'!B24)-SEARCH("-",'Bittrex Data'!B24,1)+1))-1))</f>
        <v/>
      </c>
      <c r="F24" t="str">
        <f>IF('Bittrex Data'!C24="","",IF('Bittrex Data'!C24="Limit_Sell",'Bittrex Data'!G24-'Bittrex Data'!F24,IF('Bittrex Data'!C24="Limit_Buy",'Bittrex Data'!G24+'Bittrex Data'!F24,"")))</f>
        <v/>
      </c>
      <c r="G24" t="str">
        <f>IF('Bittrex Data'!B24="","",'Bittrex Data'!D24)</f>
        <v/>
      </c>
      <c r="H24" t="str">
        <f>IF('Bittrex Data'!C24="","",IF(Bittrex!C24="Buy",Bittrex!D24,IF(Bittrex!C24="Sale",Bittrex!E24,IF(AND(Bittrex!C24="Trade",'Bittrex Data'!C24="Limit_Sell"),Bittrex!E24,IF(AND(Bittrex!C24="Trade",'Bittrex Data'!C24="Limit_Buy"),Bittrex!D24,"")))))</f>
        <v/>
      </c>
      <c r="I24" t="str">
        <f>IF('Bittrex Data'!C24="","",IF(Bittrex!C24="Buy",F24,IF(C24="Sale",Bittrex!G24,IF(AND(C24="Trade",'Bittrex Data'!C24="Limit_Sell"),Bittrex!G24,IF(AND(Bittrex!C24="Trade",'Bittrex Data'!C24="Limit_Buy"),F24,"")))))</f>
        <v/>
      </c>
      <c r="J24" t="str">
        <f>IF('Bittrex Data'!B24="","",IF('Bittrex Data'!B24="","",IF(Bittrex!H24=Bittrex!E24,D24,Bittrex!E24)))</f>
        <v/>
      </c>
      <c r="K24" t="str">
        <f>IF('Bittrex Data'!B24="","",IF(Bittrex!I24=Bittrex!G24,Bittrex!F24,Bittrex!G24))</f>
        <v/>
      </c>
    </row>
    <row r="25" spans="3:11" x14ac:dyDescent="0.2">
      <c r="C25" t="str">
        <f>IF('Bittrex Data'!A25="","",IF(AND('Bittrex Data'!C25="LIMIT_SELL",Bittrex!D25="USD"),"Sale",IF(AND('Bittrex Data'!C25="LIMIT_BUY",Bittrex!D25="USD"),"Buy","Trade")))</f>
        <v/>
      </c>
      <c r="D25" t="str">
        <f>IF('Bittrex Data'!B25="","",LEFT(LEFT('Bittrex Data'!B25,SEARCH("-",'Bittrex Data'!B25,1)),LEN(LEFT('Bittrex Data'!B25,SEARCH("-",'Bittrex Data'!B25,1)))-1))</f>
        <v/>
      </c>
      <c r="E25" t="str">
        <f>IF('Bittrex Data'!B25="","",RIGHT(RIGHT('Bittrex Data'!B25,LEN('Bittrex Data'!B25)-SEARCH("-",'Bittrex Data'!B25,1)+1),LEN(RIGHT('Bittrex Data'!B25,LEN('Bittrex Data'!B25)-SEARCH("-",'Bittrex Data'!B25,1)+1))-1))</f>
        <v/>
      </c>
      <c r="F25" t="str">
        <f>IF('Bittrex Data'!C25="","",IF('Bittrex Data'!C25="Limit_Sell",'Bittrex Data'!G25-'Bittrex Data'!F25,IF('Bittrex Data'!C25="Limit_Buy",'Bittrex Data'!G25+'Bittrex Data'!F25,"")))</f>
        <v/>
      </c>
      <c r="G25" t="str">
        <f>IF('Bittrex Data'!B25="","",'Bittrex Data'!D25)</f>
        <v/>
      </c>
      <c r="H25" t="str">
        <f>IF('Bittrex Data'!C25="","",IF(Bittrex!C25="Buy",Bittrex!D25,IF(Bittrex!C25="Sale",Bittrex!E25,IF(AND(Bittrex!C25="Trade",'Bittrex Data'!C25="Limit_Sell"),Bittrex!E25,IF(AND(Bittrex!C25="Trade",'Bittrex Data'!C25="Limit_Buy"),Bittrex!D25,"")))))</f>
        <v/>
      </c>
      <c r="I25" t="str">
        <f>IF('Bittrex Data'!C25="","",IF(Bittrex!C25="Buy",F25,IF(C25="Sale",Bittrex!G25,IF(AND(C25="Trade",'Bittrex Data'!C25="Limit_Sell"),Bittrex!G25,IF(AND(Bittrex!C25="Trade",'Bittrex Data'!C25="Limit_Buy"),F25,"")))))</f>
        <v/>
      </c>
      <c r="J25" t="str">
        <f>IF('Bittrex Data'!B25="","",IF('Bittrex Data'!B25="","",IF(Bittrex!H25=Bittrex!E25,D25,Bittrex!E25)))</f>
        <v/>
      </c>
      <c r="K25" t="str">
        <f>IF('Bittrex Data'!B25="","",IF(Bittrex!I25=Bittrex!G25,Bittrex!F25,Bittrex!G25))</f>
        <v/>
      </c>
    </row>
    <row r="26" spans="3:11" x14ac:dyDescent="0.2">
      <c r="C26" t="str">
        <f>IF('Bittrex Data'!A26="","",IF(AND('Bittrex Data'!C26="LIMIT_SELL",Bittrex!D26="USD"),"Sale",IF(AND('Bittrex Data'!C26="LIMIT_BUY",Bittrex!D26="USD"),"Buy","Trade")))</f>
        <v/>
      </c>
      <c r="D26" t="str">
        <f>IF('Bittrex Data'!B26="","",LEFT(LEFT('Bittrex Data'!B26,SEARCH("-",'Bittrex Data'!B26,1)),LEN(LEFT('Bittrex Data'!B26,SEARCH("-",'Bittrex Data'!B26,1)))-1))</f>
        <v/>
      </c>
      <c r="E26" t="str">
        <f>IF('Bittrex Data'!B26="","",RIGHT(RIGHT('Bittrex Data'!B26,LEN('Bittrex Data'!B26)-SEARCH("-",'Bittrex Data'!B26,1)+1),LEN(RIGHT('Bittrex Data'!B26,LEN('Bittrex Data'!B26)-SEARCH("-",'Bittrex Data'!B26,1)+1))-1))</f>
        <v/>
      </c>
      <c r="F26" t="str">
        <f>IF('Bittrex Data'!C26="","",IF('Bittrex Data'!C26="Limit_Sell",'Bittrex Data'!G26-'Bittrex Data'!F26,IF('Bittrex Data'!C26="Limit_Buy",'Bittrex Data'!G26+'Bittrex Data'!F26,"")))</f>
        <v/>
      </c>
      <c r="G26" t="str">
        <f>IF('Bittrex Data'!B26="","",'Bittrex Data'!D26)</f>
        <v/>
      </c>
      <c r="H26" t="str">
        <f>IF('Bittrex Data'!C26="","",IF(Bittrex!C26="Buy",Bittrex!D26,IF(Bittrex!C26="Sale",Bittrex!E26,IF(AND(Bittrex!C26="Trade",'Bittrex Data'!C26="Limit_Sell"),Bittrex!E26,IF(AND(Bittrex!C26="Trade",'Bittrex Data'!C26="Limit_Buy"),Bittrex!D26,"")))))</f>
        <v/>
      </c>
      <c r="I26" t="str">
        <f>IF('Bittrex Data'!C26="","",IF(Bittrex!C26="Buy",F26,IF(C26="Sale",Bittrex!G26,IF(AND(C26="Trade",'Bittrex Data'!C26="Limit_Sell"),Bittrex!G26,IF(AND(Bittrex!C26="Trade",'Bittrex Data'!C26="Limit_Buy"),F26,"")))))</f>
        <v/>
      </c>
      <c r="J26" t="str">
        <f>IF('Bittrex Data'!B26="","",IF('Bittrex Data'!B26="","",IF(Bittrex!H26=Bittrex!E26,D26,Bittrex!E26)))</f>
        <v/>
      </c>
      <c r="K26" t="str">
        <f>IF('Bittrex Data'!B26="","",IF(Bittrex!I26=Bittrex!G26,Bittrex!F26,Bittrex!G26))</f>
        <v/>
      </c>
    </row>
    <row r="27" spans="3:11" x14ac:dyDescent="0.2">
      <c r="C27" t="str">
        <f>IF('Bittrex Data'!A27="","",IF(AND('Bittrex Data'!C27="LIMIT_SELL",Bittrex!D27="USD"),"Sale",IF(AND('Bittrex Data'!C27="LIMIT_BUY",Bittrex!D27="USD"),"Buy","Trade")))</f>
        <v/>
      </c>
      <c r="D27" t="str">
        <f>IF('Bittrex Data'!B27="","",LEFT(LEFT('Bittrex Data'!B27,SEARCH("-",'Bittrex Data'!B27,1)),LEN(LEFT('Bittrex Data'!B27,SEARCH("-",'Bittrex Data'!B27,1)))-1))</f>
        <v/>
      </c>
      <c r="E27" t="str">
        <f>IF('Bittrex Data'!B27="","",RIGHT(RIGHT('Bittrex Data'!B27,LEN('Bittrex Data'!B27)-SEARCH("-",'Bittrex Data'!B27,1)+1),LEN(RIGHT('Bittrex Data'!B27,LEN('Bittrex Data'!B27)-SEARCH("-",'Bittrex Data'!B27,1)+1))-1))</f>
        <v/>
      </c>
      <c r="F27" t="str">
        <f>IF('Bittrex Data'!C27="","",IF('Bittrex Data'!C27="Limit_Sell",'Bittrex Data'!G27-'Bittrex Data'!F27,IF('Bittrex Data'!C27="Limit_Buy",'Bittrex Data'!G27+'Bittrex Data'!F27,"")))</f>
        <v/>
      </c>
      <c r="G27" t="str">
        <f>IF('Bittrex Data'!B27="","",'Bittrex Data'!D27)</f>
        <v/>
      </c>
      <c r="H27" t="str">
        <f>IF('Bittrex Data'!C27="","",IF(Bittrex!C27="Buy",Bittrex!D27,IF(Bittrex!C27="Sale",Bittrex!E27,IF(AND(Bittrex!C27="Trade",'Bittrex Data'!C27="Limit_Sell"),Bittrex!E27,IF(AND(Bittrex!C27="Trade",'Bittrex Data'!C27="Limit_Buy"),Bittrex!D27,"")))))</f>
        <v/>
      </c>
      <c r="I27" t="str">
        <f>IF('Bittrex Data'!C27="","",IF(Bittrex!C27="Buy",F27,IF(C27="Sale",Bittrex!G27,IF(AND(C27="Trade",'Bittrex Data'!C27="Limit_Sell"),Bittrex!G27,IF(AND(Bittrex!C27="Trade",'Bittrex Data'!C27="Limit_Buy"),F27,"")))))</f>
        <v/>
      </c>
      <c r="J27" t="str">
        <f>IF('Bittrex Data'!B27="","",IF('Bittrex Data'!B27="","",IF(Bittrex!H27=Bittrex!E27,D27,Bittrex!E27)))</f>
        <v/>
      </c>
      <c r="K27" t="str">
        <f>IF('Bittrex Data'!B27="","",IF(Bittrex!I27=Bittrex!G27,Bittrex!F27,Bittrex!G27))</f>
        <v/>
      </c>
    </row>
    <row r="28" spans="3:11" x14ac:dyDescent="0.2">
      <c r="C28" t="str">
        <f>IF('Bittrex Data'!A28="","",IF(AND('Bittrex Data'!C28="LIMIT_SELL",Bittrex!D28="USD"),"Sale",IF(AND('Bittrex Data'!C28="LIMIT_BUY",Bittrex!D28="USD"),"Buy","Trade")))</f>
        <v/>
      </c>
      <c r="D28" t="str">
        <f>IF('Bittrex Data'!B28="","",LEFT(LEFT('Bittrex Data'!B28,SEARCH("-",'Bittrex Data'!B28,1)),LEN(LEFT('Bittrex Data'!B28,SEARCH("-",'Bittrex Data'!B28,1)))-1))</f>
        <v/>
      </c>
      <c r="E28" t="str">
        <f>IF('Bittrex Data'!B28="","",RIGHT(RIGHT('Bittrex Data'!B28,LEN('Bittrex Data'!B28)-SEARCH("-",'Bittrex Data'!B28,1)+1),LEN(RIGHT('Bittrex Data'!B28,LEN('Bittrex Data'!B28)-SEARCH("-",'Bittrex Data'!B28,1)+1))-1))</f>
        <v/>
      </c>
      <c r="F28" t="str">
        <f>IF('Bittrex Data'!C28="","",IF('Bittrex Data'!C28="Limit_Sell",'Bittrex Data'!G28-'Bittrex Data'!F28,IF('Bittrex Data'!C28="Limit_Buy",'Bittrex Data'!G28+'Bittrex Data'!F28,"")))</f>
        <v/>
      </c>
      <c r="G28" t="str">
        <f>IF('Bittrex Data'!B28="","",'Bittrex Data'!D28)</f>
        <v/>
      </c>
      <c r="H28" t="str">
        <f>IF('Bittrex Data'!C28="","",IF(Bittrex!C28="Buy",Bittrex!D28,IF(Bittrex!C28="Sale",Bittrex!E28,IF(AND(Bittrex!C28="Trade",'Bittrex Data'!C28="Limit_Sell"),Bittrex!E28,IF(AND(Bittrex!C28="Trade",'Bittrex Data'!C28="Limit_Buy"),Bittrex!D28,"")))))</f>
        <v/>
      </c>
      <c r="I28" t="str">
        <f>IF('Bittrex Data'!C28="","",IF(Bittrex!C28="Buy",F28,IF(C28="Sale",Bittrex!G28,IF(AND(C28="Trade",'Bittrex Data'!C28="Limit_Sell"),Bittrex!G28,IF(AND(Bittrex!C28="Trade",'Bittrex Data'!C28="Limit_Buy"),F28,"")))))</f>
        <v/>
      </c>
      <c r="J28" t="str">
        <f>IF('Bittrex Data'!B28="","",IF('Bittrex Data'!B28="","",IF(Bittrex!H28=Bittrex!E28,D28,Bittrex!E28)))</f>
        <v/>
      </c>
      <c r="K28" t="str">
        <f>IF('Bittrex Data'!B28="","",IF(Bittrex!I28=Bittrex!G28,Bittrex!F28,Bittrex!G28))</f>
        <v/>
      </c>
    </row>
    <row r="29" spans="3:11" x14ac:dyDescent="0.2">
      <c r="C29" t="str">
        <f>IF('Bittrex Data'!A29="","",IF(AND('Bittrex Data'!C29="LIMIT_SELL",Bittrex!D29="USD"),"Sale",IF(AND('Bittrex Data'!C29="LIMIT_BUY",Bittrex!D29="USD"),"Buy","Trade")))</f>
        <v/>
      </c>
      <c r="D29" t="str">
        <f>IF('Bittrex Data'!B29="","",LEFT(LEFT('Bittrex Data'!B29,SEARCH("-",'Bittrex Data'!B29,1)),LEN(LEFT('Bittrex Data'!B29,SEARCH("-",'Bittrex Data'!B29,1)))-1))</f>
        <v/>
      </c>
      <c r="E29" t="str">
        <f>IF('Bittrex Data'!B29="","",RIGHT(RIGHT('Bittrex Data'!B29,LEN('Bittrex Data'!B29)-SEARCH("-",'Bittrex Data'!B29,1)+1),LEN(RIGHT('Bittrex Data'!B29,LEN('Bittrex Data'!B29)-SEARCH("-",'Bittrex Data'!B29,1)+1))-1))</f>
        <v/>
      </c>
      <c r="F29" t="str">
        <f>IF('Bittrex Data'!C29="","",IF('Bittrex Data'!C29="Limit_Sell",'Bittrex Data'!G29-'Bittrex Data'!F29,IF('Bittrex Data'!C29="Limit_Buy",'Bittrex Data'!G29+'Bittrex Data'!F29,"")))</f>
        <v/>
      </c>
      <c r="G29" t="str">
        <f>IF('Bittrex Data'!B29="","",'Bittrex Data'!D29)</f>
        <v/>
      </c>
      <c r="H29" t="str">
        <f>IF('Bittrex Data'!C29="","",IF(Bittrex!C29="Buy",Bittrex!D29,IF(Bittrex!C29="Sale",Bittrex!E29,IF(AND(Bittrex!C29="Trade",'Bittrex Data'!C29="Limit_Sell"),Bittrex!E29,IF(AND(Bittrex!C29="Trade",'Bittrex Data'!C29="Limit_Buy"),Bittrex!D29,"")))))</f>
        <v/>
      </c>
      <c r="I29" t="str">
        <f>IF('Bittrex Data'!C29="","",IF(Bittrex!C29="Buy",F29,IF(C29="Sale",Bittrex!G29,IF(AND(C29="Trade",'Bittrex Data'!C29="Limit_Sell"),Bittrex!G29,IF(AND(Bittrex!C29="Trade",'Bittrex Data'!C29="Limit_Buy"),F29,"")))))</f>
        <v/>
      </c>
      <c r="J29" t="str">
        <f>IF('Bittrex Data'!B29="","",IF('Bittrex Data'!B29="","",IF(Bittrex!H29=Bittrex!E29,D29,Bittrex!E29)))</f>
        <v/>
      </c>
      <c r="K29" t="str">
        <f>IF('Bittrex Data'!B29="","",IF(Bittrex!I29=Bittrex!G29,Bittrex!F29,Bittrex!G29))</f>
        <v/>
      </c>
    </row>
    <row r="30" spans="3:11" x14ac:dyDescent="0.2">
      <c r="C30" t="str">
        <f>IF('Bittrex Data'!A30="","",IF(AND('Bittrex Data'!C30="LIMIT_SELL",Bittrex!D30="USD"),"Sale",IF(AND('Bittrex Data'!C30="LIMIT_BUY",Bittrex!D30="USD"),"Buy","Trade")))</f>
        <v/>
      </c>
      <c r="D30" t="str">
        <f>IF('Bittrex Data'!B30="","",LEFT(LEFT('Bittrex Data'!B30,SEARCH("-",'Bittrex Data'!B30,1)),LEN(LEFT('Bittrex Data'!B30,SEARCH("-",'Bittrex Data'!B30,1)))-1))</f>
        <v/>
      </c>
      <c r="E30" t="str">
        <f>IF('Bittrex Data'!B30="","",RIGHT(RIGHT('Bittrex Data'!B30,LEN('Bittrex Data'!B30)-SEARCH("-",'Bittrex Data'!B30,1)+1),LEN(RIGHT('Bittrex Data'!B30,LEN('Bittrex Data'!B30)-SEARCH("-",'Bittrex Data'!B30,1)+1))-1))</f>
        <v/>
      </c>
      <c r="F30" t="str">
        <f>IF('Bittrex Data'!C30="","",IF('Bittrex Data'!C30="Limit_Sell",'Bittrex Data'!G30-'Bittrex Data'!F30,IF('Bittrex Data'!C30="Limit_Buy",'Bittrex Data'!G30+'Bittrex Data'!F30,"")))</f>
        <v/>
      </c>
      <c r="G30" t="str">
        <f>IF('Bittrex Data'!B30="","",'Bittrex Data'!D30)</f>
        <v/>
      </c>
      <c r="H30" t="str">
        <f>IF('Bittrex Data'!C30="","",IF(Bittrex!C30="Buy",Bittrex!D30,IF(Bittrex!C30="Sale",Bittrex!E30,IF(AND(Bittrex!C30="Trade",'Bittrex Data'!C30="Limit_Sell"),Bittrex!E30,IF(AND(Bittrex!C30="Trade",'Bittrex Data'!C30="Limit_Buy"),Bittrex!D30,"")))))</f>
        <v/>
      </c>
      <c r="I30" t="str">
        <f>IF('Bittrex Data'!C30="","",IF(Bittrex!C30="Buy",F30,IF(C30="Sale",Bittrex!G30,IF(AND(C30="Trade",'Bittrex Data'!C30="Limit_Sell"),Bittrex!G30,IF(AND(Bittrex!C30="Trade",'Bittrex Data'!C30="Limit_Buy"),F30,"")))))</f>
        <v/>
      </c>
      <c r="J30" t="str">
        <f>IF('Bittrex Data'!B30="","",IF('Bittrex Data'!B30="","",IF(Bittrex!H30=Bittrex!E30,D30,Bittrex!E30)))</f>
        <v/>
      </c>
      <c r="K30" t="str">
        <f>IF('Bittrex Data'!B30="","",IF(Bittrex!I30=Bittrex!G30,Bittrex!F30,Bittrex!G30))</f>
        <v/>
      </c>
    </row>
    <row r="31" spans="3:11" x14ac:dyDescent="0.2">
      <c r="C31" t="str">
        <f>IF('Bittrex Data'!A31="","",IF(AND('Bittrex Data'!C31="LIMIT_SELL",Bittrex!D31="USD"),"Sale",IF(AND('Bittrex Data'!C31="LIMIT_BUY",Bittrex!D31="USD"),"Buy","Trade")))</f>
        <v/>
      </c>
      <c r="D31" t="str">
        <f>IF('Bittrex Data'!B31="","",LEFT(LEFT('Bittrex Data'!B31,SEARCH("-",'Bittrex Data'!B31,1)),LEN(LEFT('Bittrex Data'!B31,SEARCH("-",'Bittrex Data'!B31,1)))-1))</f>
        <v/>
      </c>
      <c r="E31" t="str">
        <f>IF('Bittrex Data'!B31="","",RIGHT(RIGHT('Bittrex Data'!B31,LEN('Bittrex Data'!B31)-SEARCH("-",'Bittrex Data'!B31,1)+1),LEN(RIGHT('Bittrex Data'!B31,LEN('Bittrex Data'!B31)-SEARCH("-",'Bittrex Data'!B31,1)+1))-1))</f>
        <v/>
      </c>
      <c r="F31" t="str">
        <f>IF('Bittrex Data'!C31="","",IF('Bittrex Data'!C31="Limit_Sell",'Bittrex Data'!G31-'Bittrex Data'!F31,IF('Bittrex Data'!C31="Limit_Buy",'Bittrex Data'!G31+'Bittrex Data'!F31,"")))</f>
        <v/>
      </c>
      <c r="G31" t="str">
        <f>IF('Bittrex Data'!B31="","",'Bittrex Data'!D31)</f>
        <v/>
      </c>
      <c r="H31" t="str">
        <f>IF('Bittrex Data'!C31="","",IF(Bittrex!C31="Buy",Bittrex!D31,IF(Bittrex!C31="Sale",Bittrex!E31,IF(AND(Bittrex!C31="Trade",'Bittrex Data'!C31="Limit_Sell"),Bittrex!E31,IF(AND(Bittrex!C31="Trade",'Bittrex Data'!C31="Limit_Buy"),Bittrex!D31,"")))))</f>
        <v/>
      </c>
      <c r="I31" t="str">
        <f>IF('Bittrex Data'!C31="","",IF(Bittrex!C31="Buy",F31,IF(C31="Sale",Bittrex!G31,IF(AND(C31="Trade",'Bittrex Data'!C31="Limit_Sell"),Bittrex!G31,IF(AND(Bittrex!C31="Trade",'Bittrex Data'!C31="Limit_Buy"),F31,"")))))</f>
        <v/>
      </c>
      <c r="J31" t="str">
        <f>IF('Bittrex Data'!B31="","",IF('Bittrex Data'!B31="","",IF(Bittrex!H31=Bittrex!E31,D31,Bittrex!E31)))</f>
        <v/>
      </c>
      <c r="K31" t="str">
        <f>IF('Bittrex Data'!B31="","",IF(Bittrex!I31=Bittrex!G31,Bittrex!F31,Bittrex!G31))</f>
        <v/>
      </c>
    </row>
    <row r="32" spans="3:11" x14ac:dyDescent="0.2">
      <c r="C32" t="str">
        <f>IF('Bittrex Data'!A32="","",IF(AND('Bittrex Data'!C32="LIMIT_SELL",Bittrex!D32="USD"),"Sale",IF(AND('Bittrex Data'!C32="LIMIT_BUY",Bittrex!D32="USD"),"Buy","Trade")))</f>
        <v/>
      </c>
      <c r="D32" t="str">
        <f>IF('Bittrex Data'!B32="","",LEFT(LEFT('Bittrex Data'!B32,SEARCH("-",'Bittrex Data'!B32,1)),LEN(LEFT('Bittrex Data'!B32,SEARCH("-",'Bittrex Data'!B32,1)))-1))</f>
        <v/>
      </c>
      <c r="E32" t="str">
        <f>IF('Bittrex Data'!B32="","",RIGHT(RIGHT('Bittrex Data'!B32,LEN('Bittrex Data'!B32)-SEARCH("-",'Bittrex Data'!B32,1)+1),LEN(RIGHT('Bittrex Data'!B32,LEN('Bittrex Data'!B32)-SEARCH("-",'Bittrex Data'!B32,1)+1))-1))</f>
        <v/>
      </c>
      <c r="F32" t="str">
        <f>IF('Bittrex Data'!C32="","",IF('Bittrex Data'!C32="Limit_Sell",'Bittrex Data'!G32-'Bittrex Data'!F32,IF('Bittrex Data'!C32="Limit_Buy",'Bittrex Data'!G32+'Bittrex Data'!F32,"")))</f>
        <v/>
      </c>
      <c r="G32" t="str">
        <f>IF('Bittrex Data'!B32="","",'Bittrex Data'!D32)</f>
        <v/>
      </c>
      <c r="H32" t="str">
        <f>IF('Bittrex Data'!C32="","",IF(Bittrex!C32="Buy",Bittrex!D32,IF(Bittrex!C32="Sale",Bittrex!E32,IF(AND(Bittrex!C32="Trade",'Bittrex Data'!C32="Limit_Sell"),Bittrex!E32,IF(AND(Bittrex!C32="Trade",'Bittrex Data'!C32="Limit_Buy"),Bittrex!D32,"")))))</f>
        <v/>
      </c>
      <c r="I32" t="str">
        <f>IF('Bittrex Data'!C32="","",IF(Bittrex!C32="Buy",F32,IF(C32="Sale",Bittrex!G32,IF(AND(C32="Trade",'Bittrex Data'!C32="Limit_Sell"),Bittrex!G32,IF(AND(Bittrex!C32="Trade",'Bittrex Data'!C32="Limit_Buy"),F32,"")))))</f>
        <v/>
      </c>
      <c r="J32" t="str">
        <f>IF('Bittrex Data'!B32="","",IF('Bittrex Data'!B32="","",IF(Bittrex!H32=Bittrex!E32,D32,Bittrex!E32)))</f>
        <v/>
      </c>
      <c r="K32" t="str">
        <f>IF('Bittrex Data'!B32="","",IF(Bittrex!I32=Bittrex!G32,Bittrex!F32,Bittrex!G32))</f>
        <v/>
      </c>
    </row>
    <row r="33" spans="3:11" x14ac:dyDescent="0.2">
      <c r="C33" t="str">
        <f>IF('Bittrex Data'!A33="","",IF(AND('Bittrex Data'!C33="LIMIT_SELL",Bittrex!D33="USD"),"Sale",IF(AND('Bittrex Data'!C33="LIMIT_BUY",Bittrex!D33="USD"),"Buy","Trade")))</f>
        <v/>
      </c>
      <c r="D33" t="str">
        <f>IF('Bittrex Data'!B33="","",LEFT(LEFT('Bittrex Data'!B33,SEARCH("-",'Bittrex Data'!B33,1)),LEN(LEFT('Bittrex Data'!B33,SEARCH("-",'Bittrex Data'!B33,1)))-1))</f>
        <v/>
      </c>
      <c r="E33" t="str">
        <f>IF('Bittrex Data'!B33="","",RIGHT(RIGHT('Bittrex Data'!B33,LEN('Bittrex Data'!B33)-SEARCH("-",'Bittrex Data'!B33,1)+1),LEN(RIGHT('Bittrex Data'!B33,LEN('Bittrex Data'!B33)-SEARCH("-",'Bittrex Data'!B33,1)+1))-1))</f>
        <v/>
      </c>
      <c r="F33" t="str">
        <f>IF('Bittrex Data'!C33="","",IF('Bittrex Data'!C33="Limit_Sell",'Bittrex Data'!G33-'Bittrex Data'!F33,IF('Bittrex Data'!C33="Limit_Buy",'Bittrex Data'!G33+'Bittrex Data'!F33,"")))</f>
        <v/>
      </c>
      <c r="G33" t="str">
        <f>IF('Bittrex Data'!B33="","",'Bittrex Data'!D33)</f>
        <v/>
      </c>
      <c r="H33" t="str">
        <f>IF('Bittrex Data'!C33="","",IF(Bittrex!C33="Buy",Bittrex!D33,IF(Bittrex!C33="Sale",Bittrex!E33,IF(AND(Bittrex!C33="Trade",'Bittrex Data'!C33="Limit_Sell"),Bittrex!E33,IF(AND(Bittrex!C33="Trade",'Bittrex Data'!C33="Limit_Buy"),Bittrex!D33,"")))))</f>
        <v/>
      </c>
      <c r="I33" t="str">
        <f>IF('Bittrex Data'!C33="","",IF(Bittrex!C33="Buy",F33,IF(C33="Sale",Bittrex!G33,IF(AND(C33="Trade",'Bittrex Data'!C33="Limit_Sell"),Bittrex!G33,IF(AND(Bittrex!C33="Trade",'Bittrex Data'!C33="Limit_Buy"),F33,"")))))</f>
        <v/>
      </c>
      <c r="J33" t="str">
        <f>IF('Bittrex Data'!B33="","",IF('Bittrex Data'!B33="","",IF(Bittrex!H33=Bittrex!E33,D33,Bittrex!E33)))</f>
        <v/>
      </c>
      <c r="K33" t="str">
        <f>IF('Bittrex Data'!B33="","",IF(Bittrex!I33=Bittrex!G33,Bittrex!F33,Bittrex!G33))</f>
        <v/>
      </c>
    </row>
    <row r="34" spans="3:11" x14ac:dyDescent="0.2">
      <c r="C34" t="str">
        <f>IF('Bittrex Data'!A34="","",IF(AND('Bittrex Data'!C34="LIMIT_SELL",Bittrex!D34="USD"),"Sale",IF(AND('Bittrex Data'!C34="LIMIT_BUY",Bittrex!D34="USD"),"Buy","Trade")))</f>
        <v/>
      </c>
      <c r="D34" t="str">
        <f>IF('Bittrex Data'!B34="","",LEFT(LEFT('Bittrex Data'!B34,SEARCH("-",'Bittrex Data'!B34,1)),LEN(LEFT('Bittrex Data'!B34,SEARCH("-",'Bittrex Data'!B34,1)))-1))</f>
        <v/>
      </c>
      <c r="E34" t="str">
        <f>IF('Bittrex Data'!B34="","",RIGHT(RIGHT('Bittrex Data'!B34,LEN('Bittrex Data'!B34)-SEARCH("-",'Bittrex Data'!B34,1)+1),LEN(RIGHT('Bittrex Data'!B34,LEN('Bittrex Data'!B34)-SEARCH("-",'Bittrex Data'!B34,1)+1))-1))</f>
        <v/>
      </c>
      <c r="F34" t="str">
        <f>IF('Bittrex Data'!C34="","",IF('Bittrex Data'!C34="Limit_Sell",'Bittrex Data'!G34-'Bittrex Data'!F34,IF('Bittrex Data'!C34="Limit_Buy",'Bittrex Data'!G34+'Bittrex Data'!F34,"")))</f>
        <v/>
      </c>
      <c r="G34" t="str">
        <f>IF('Bittrex Data'!B34="","",'Bittrex Data'!D34)</f>
        <v/>
      </c>
      <c r="H34" t="str">
        <f>IF('Bittrex Data'!C34="","",IF(Bittrex!C34="Buy",Bittrex!D34,IF(Bittrex!C34="Sale",Bittrex!E34,IF(AND(Bittrex!C34="Trade",'Bittrex Data'!C34="Limit_Sell"),Bittrex!E34,IF(AND(Bittrex!C34="Trade",'Bittrex Data'!C34="Limit_Buy"),Bittrex!D34,"")))))</f>
        <v/>
      </c>
      <c r="I34" t="str">
        <f>IF('Bittrex Data'!C34="","",IF(Bittrex!C34="Buy",F34,IF(C34="Sale",Bittrex!G34,IF(AND(C34="Trade",'Bittrex Data'!C34="Limit_Sell"),Bittrex!G34,IF(AND(Bittrex!C34="Trade",'Bittrex Data'!C34="Limit_Buy"),F34,"")))))</f>
        <v/>
      </c>
      <c r="J34" t="str">
        <f>IF('Bittrex Data'!B34="","",IF('Bittrex Data'!B34="","",IF(Bittrex!H34=Bittrex!E34,D34,Bittrex!E34)))</f>
        <v/>
      </c>
      <c r="K34" t="str">
        <f>IF('Bittrex Data'!B34="","",IF(Bittrex!I34=Bittrex!G34,Bittrex!F34,Bittrex!G34))</f>
        <v/>
      </c>
    </row>
    <row r="35" spans="3:11" x14ac:dyDescent="0.2">
      <c r="C35" t="str">
        <f>IF('Bittrex Data'!A35="","",IF(AND('Bittrex Data'!C35="LIMIT_SELL",Bittrex!D35="USD"),"Sale",IF(AND('Bittrex Data'!C35="LIMIT_BUY",Bittrex!D35="USD"),"Buy","Trade")))</f>
        <v/>
      </c>
      <c r="D35" t="str">
        <f>IF('Bittrex Data'!B35="","",LEFT(LEFT('Bittrex Data'!B35,SEARCH("-",'Bittrex Data'!B35,1)),LEN(LEFT('Bittrex Data'!B35,SEARCH("-",'Bittrex Data'!B35,1)))-1))</f>
        <v/>
      </c>
      <c r="E35" t="str">
        <f>IF('Bittrex Data'!B35="","",RIGHT(RIGHT('Bittrex Data'!B35,LEN('Bittrex Data'!B35)-SEARCH("-",'Bittrex Data'!B35,1)+1),LEN(RIGHT('Bittrex Data'!B35,LEN('Bittrex Data'!B35)-SEARCH("-",'Bittrex Data'!B35,1)+1))-1))</f>
        <v/>
      </c>
      <c r="F35" t="str">
        <f>IF('Bittrex Data'!C35="","",IF('Bittrex Data'!C35="Limit_Sell",'Bittrex Data'!G35-'Bittrex Data'!F35,IF('Bittrex Data'!C35="Limit_Buy",'Bittrex Data'!G35+'Bittrex Data'!F35,"")))</f>
        <v/>
      </c>
      <c r="G35" t="str">
        <f>IF('Bittrex Data'!B35="","",'Bittrex Data'!D35)</f>
        <v/>
      </c>
      <c r="H35" t="str">
        <f>IF('Bittrex Data'!C35="","",IF(Bittrex!C35="Buy",Bittrex!D35,IF(Bittrex!C35="Sale",Bittrex!E35,IF(AND(Bittrex!C35="Trade",'Bittrex Data'!C35="Limit_Sell"),Bittrex!E35,IF(AND(Bittrex!C35="Trade",'Bittrex Data'!C35="Limit_Buy"),Bittrex!D35,"")))))</f>
        <v/>
      </c>
      <c r="I35" t="str">
        <f>IF('Bittrex Data'!C35="","",IF(Bittrex!C35="Buy",F35,IF(C35="Sale",Bittrex!G35,IF(AND(C35="Trade",'Bittrex Data'!C35="Limit_Sell"),Bittrex!G35,IF(AND(Bittrex!C35="Trade",'Bittrex Data'!C35="Limit_Buy"),F35,"")))))</f>
        <v/>
      </c>
      <c r="J35" t="str">
        <f>IF('Bittrex Data'!B35="","",IF('Bittrex Data'!B35="","",IF(Bittrex!H35=Bittrex!E35,D35,Bittrex!E35)))</f>
        <v/>
      </c>
      <c r="K35" t="str">
        <f>IF('Bittrex Data'!B35="","",IF(Bittrex!I35=Bittrex!G35,Bittrex!F35,Bittrex!G35))</f>
        <v/>
      </c>
    </row>
    <row r="36" spans="3:11" x14ac:dyDescent="0.2">
      <c r="C36" t="str">
        <f>IF('Bittrex Data'!A36="","",IF(AND('Bittrex Data'!C36="LIMIT_SELL",Bittrex!D36="USD"),"Sale",IF(AND('Bittrex Data'!C36="LIMIT_BUY",Bittrex!D36="USD"),"Buy","Trade")))</f>
        <v/>
      </c>
      <c r="D36" t="str">
        <f>IF('Bittrex Data'!B36="","",LEFT(LEFT('Bittrex Data'!B36,SEARCH("-",'Bittrex Data'!B36,1)),LEN(LEFT('Bittrex Data'!B36,SEARCH("-",'Bittrex Data'!B36,1)))-1))</f>
        <v/>
      </c>
      <c r="E36" t="str">
        <f>IF('Bittrex Data'!B36="","",RIGHT(RIGHT('Bittrex Data'!B36,LEN('Bittrex Data'!B36)-SEARCH("-",'Bittrex Data'!B36,1)+1),LEN(RIGHT('Bittrex Data'!B36,LEN('Bittrex Data'!B36)-SEARCH("-",'Bittrex Data'!B36,1)+1))-1))</f>
        <v/>
      </c>
      <c r="F36" t="str">
        <f>IF('Bittrex Data'!C36="","",IF('Bittrex Data'!C36="Limit_Sell",'Bittrex Data'!G36-'Bittrex Data'!F36,IF('Bittrex Data'!C36="Limit_Buy",'Bittrex Data'!G36+'Bittrex Data'!F36,"")))</f>
        <v/>
      </c>
      <c r="G36" t="str">
        <f>IF('Bittrex Data'!B36="","",'Bittrex Data'!D36)</f>
        <v/>
      </c>
      <c r="H36" t="str">
        <f>IF('Bittrex Data'!C36="","",IF(Bittrex!C36="Buy",Bittrex!D36,IF(Bittrex!C36="Sale",Bittrex!E36,IF(AND(Bittrex!C36="Trade",'Bittrex Data'!C36="Limit_Sell"),Bittrex!E36,IF(AND(Bittrex!C36="Trade",'Bittrex Data'!C36="Limit_Buy"),Bittrex!D36,"")))))</f>
        <v/>
      </c>
      <c r="I36" t="str">
        <f>IF('Bittrex Data'!C36="","",IF(Bittrex!C36="Buy",F36,IF(C36="Sale",Bittrex!G36,IF(AND(C36="Trade",'Bittrex Data'!C36="Limit_Sell"),Bittrex!G36,IF(AND(Bittrex!C36="Trade",'Bittrex Data'!C36="Limit_Buy"),F36,"")))))</f>
        <v/>
      </c>
      <c r="J36" t="str">
        <f>IF('Bittrex Data'!B36="","",IF('Bittrex Data'!B36="","",IF(Bittrex!H36=Bittrex!E36,D36,Bittrex!E36)))</f>
        <v/>
      </c>
      <c r="K36" t="str">
        <f>IF('Bittrex Data'!B36="","",IF(Bittrex!I36=Bittrex!G36,Bittrex!F36,Bittrex!G36))</f>
        <v/>
      </c>
    </row>
    <row r="37" spans="3:11" x14ac:dyDescent="0.2">
      <c r="C37" t="str">
        <f>IF('Bittrex Data'!A37="","",IF(AND('Bittrex Data'!C37="LIMIT_SELL",Bittrex!D37="USD"),"Sale",IF(AND('Bittrex Data'!C37="LIMIT_BUY",Bittrex!D37="USD"),"Buy","Trade")))</f>
        <v/>
      </c>
      <c r="D37" t="str">
        <f>IF('Bittrex Data'!B37="","",LEFT(LEFT('Bittrex Data'!B37,SEARCH("-",'Bittrex Data'!B37,1)),LEN(LEFT('Bittrex Data'!B37,SEARCH("-",'Bittrex Data'!B37,1)))-1))</f>
        <v/>
      </c>
      <c r="E37" t="str">
        <f>IF('Bittrex Data'!B37="","",RIGHT(RIGHT('Bittrex Data'!B37,LEN('Bittrex Data'!B37)-SEARCH("-",'Bittrex Data'!B37,1)+1),LEN(RIGHT('Bittrex Data'!B37,LEN('Bittrex Data'!B37)-SEARCH("-",'Bittrex Data'!B37,1)+1))-1))</f>
        <v/>
      </c>
      <c r="F37" t="str">
        <f>IF('Bittrex Data'!C37="","",IF('Bittrex Data'!C37="Limit_Sell",'Bittrex Data'!G37-'Bittrex Data'!F37,IF('Bittrex Data'!C37="Limit_Buy",'Bittrex Data'!G37+'Bittrex Data'!F37,"")))</f>
        <v/>
      </c>
      <c r="G37" t="str">
        <f>IF('Bittrex Data'!B37="","",'Bittrex Data'!D37)</f>
        <v/>
      </c>
      <c r="H37" t="str">
        <f>IF('Bittrex Data'!C37="","",IF(Bittrex!C37="Buy",Bittrex!D37,IF(Bittrex!C37="Sale",Bittrex!E37,IF(AND(Bittrex!C37="Trade",'Bittrex Data'!C37="Limit_Sell"),Bittrex!E37,IF(AND(Bittrex!C37="Trade",'Bittrex Data'!C37="Limit_Buy"),Bittrex!D37,"")))))</f>
        <v/>
      </c>
      <c r="I37" t="str">
        <f>IF('Bittrex Data'!C37="","",IF(Bittrex!C37="Buy",F37,IF(C37="Sale",Bittrex!G37,IF(AND(C37="Trade",'Bittrex Data'!C37="Limit_Sell"),Bittrex!G37,IF(AND(Bittrex!C37="Trade",'Bittrex Data'!C37="Limit_Buy"),F37,"")))))</f>
        <v/>
      </c>
      <c r="J37" t="str">
        <f>IF('Bittrex Data'!B37="","",IF('Bittrex Data'!B37="","",IF(Bittrex!H37=Bittrex!E37,D37,Bittrex!E37)))</f>
        <v/>
      </c>
      <c r="K37" t="str">
        <f>IF('Bittrex Data'!B37="","",IF(Bittrex!I37=Bittrex!G37,Bittrex!F37,Bittrex!G37))</f>
        <v/>
      </c>
    </row>
    <row r="38" spans="3:11" x14ac:dyDescent="0.2">
      <c r="C38" t="str">
        <f>IF('Bittrex Data'!A38="","",IF(AND('Bittrex Data'!C38="LIMIT_SELL",Bittrex!D38="USD"),"Sale",IF(AND('Bittrex Data'!C38="LIMIT_BUY",Bittrex!D38="USD"),"Buy","Trade")))</f>
        <v/>
      </c>
      <c r="D38" t="str">
        <f>IF('Bittrex Data'!B38="","",LEFT(LEFT('Bittrex Data'!B38,SEARCH("-",'Bittrex Data'!B38,1)),LEN(LEFT('Bittrex Data'!B38,SEARCH("-",'Bittrex Data'!B38,1)))-1))</f>
        <v/>
      </c>
      <c r="E38" t="str">
        <f>IF('Bittrex Data'!B38="","",RIGHT(RIGHT('Bittrex Data'!B38,LEN('Bittrex Data'!B38)-SEARCH("-",'Bittrex Data'!B38,1)+1),LEN(RIGHT('Bittrex Data'!B38,LEN('Bittrex Data'!B38)-SEARCH("-",'Bittrex Data'!B38,1)+1))-1))</f>
        <v/>
      </c>
      <c r="F38" t="str">
        <f>IF('Bittrex Data'!C38="","",IF('Bittrex Data'!C38="Limit_Sell",'Bittrex Data'!G38-'Bittrex Data'!F38,IF('Bittrex Data'!C38="Limit_Buy",'Bittrex Data'!G38+'Bittrex Data'!F38,"")))</f>
        <v/>
      </c>
      <c r="G38" t="str">
        <f>IF('Bittrex Data'!B38="","",'Bittrex Data'!D38)</f>
        <v/>
      </c>
      <c r="H38" t="str">
        <f>IF('Bittrex Data'!C38="","",IF(Bittrex!C38="Buy",Bittrex!D38,IF(Bittrex!C38="Sale",Bittrex!E38,IF(AND(Bittrex!C38="Trade",'Bittrex Data'!C38="Limit_Sell"),Bittrex!E38,IF(AND(Bittrex!C38="Trade",'Bittrex Data'!C38="Limit_Buy"),Bittrex!D38,"")))))</f>
        <v/>
      </c>
      <c r="I38" t="str">
        <f>IF('Bittrex Data'!C38="","",IF(Bittrex!C38="Buy",F38,IF(C38="Sale",Bittrex!G38,IF(AND(C38="Trade",'Bittrex Data'!C38="Limit_Sell"),Bittrex!G38,IF(AND(Bittrex!C38="Trade",'Bittrex Data'!C38="Limit_Buy"),F38,"")))))</f>
        <v/>
      </c>
      <c r="J38" t="str">
        <f>IF('Bittrex Data'!B38="","",IF('Bittrex Data'!B38="","",IF(Bittrex!H38=Bittrex!E38,D38,Bittrex!E38)))</f>
        <v/>
      </c>
      <c r="K38" t="str">
        <f>IF('Bittrex Data'!B38="","",IF(Bittrex!I38=Bittrex!G38,Bittrex!F38,Bittrex!G38))</f>
        <v/>
      </c>
    </row>
    <row r="39" spans="3:11" x14ac:dyDescent="0.2">
      <c r="C39" t="str">
        <f>IF('Bittrex Data'!A39="","",IF(AND('Bittrex Data'!C39="LIMIT_SELL",Bittrex!D39="USD"),"Sale",IF(AND('Bittrex Data'!C39="LIMIT_BUY",Bittrex!D39="USD"),"Buy","Trade")))</f>
        <v/>
      </c>
      <c r="D39" t="str">
        <f>IF('Bittrex Data'!B39="","",LEFT(LEFT('Bittrex Data'!B39,SEARCH("-",'Bittrex Data'!B39,1)),LEN(LEFT('Bittrex Data'!B39,SEARCH("-",'Bittrex Data'!B39,1)))-1))</f>
        <v/>
      </c>
      <c r="E39" t="str">
        <f>IF('Bittrex Data'!B39="","",RIGHT(RIGHT('Bittrex Data'!B39,LEN('Bittrex Data'!B39)-SEARCH("-",'Bittrex Data'!B39,1)+1),LEN(RIGHT('Bittrex Data'!B39,LEN('Bittrex Data'!B39)-SEARCH("-",'Bittrex Data'!B39,1)+1))-1))</f>
        <v/>
      </c>
      <c r="F39" t="str">
        <f>IF('Bittrex Data'!C39="","",IF('Bittrex Data'!C39="Limit_Sell",'Bittrex Data'!G39-'Bittrex Data'!F39,IF('Bittrex Data'!C39="Limit_Buy",'Bittrex Data'!G39+'Bittrex Data'!F39,"")))</f>
        <v/>
      </c>
      <c r="G39" t="str">
        <f>IF('Bittrex Data'!B39="","",'Bittrex Data'!D39)</f>
        <v/>
      </c>
      <c r="H39" t="str">
        <f>IF('Bittrex Data'!C39="","",IF(Bittrex!C39="Buy",Bittrex!D39,IF(Bittrex!C39="Sale",Bittrex!E39,IF(AND(Bittrex!C39="Trade",'Bittrex Data'!C39="Limit_Sell"),Bittrex!E39,IF(AND(Bittrex!C39="Trade",'Bittrex Data'!C39="Limit_Buy"),Bittrex!D39,"")))))</f>
        <v/>
      </c>
      <c r="I39" t="str">
        <f>IF('Bittrex Data'!C39="","",IF(Bittrex!C39="Buy",F39,IF(C39="Sale",Bittrex!G39,IF(AND(C39="Trade",'Bittrex Data'!C39="Limit_Sell"),Bittrex!G39,IF(AND(Bittrex!C39="Trade",'Bittrex Data'!C39="Limit_Buy"),F39,"")))))</f>
        <v/>
      </c>
      <c r="J39" t="str">
        <f>IF('Bittrex Data'!B39="","",IF('Bittrex Data'!B39="","",IF(Bittrex!H39=Bittrex!E39,D39,Bittrex!E39)))</f>
        <v/>
      </c>
      <c r="K39" t="str">
        <f>IF('Bittrex Data'!B39="","",IF(Bittrex!I39=Bittrex!G39,Bittrex!F39,Bittrex!G39))</f>
        <v/>
      </c>
    </row>
    <row r="40" spans="3:11" x14ac:dyDescent="0.2">
      <c r="C40" t="str">
        <f>IF('Bittrex Data'!A40="","",IF(AND('Bittrex Data'!C40="LIMIT_SELL",Bittrex!D40="USD"),"Sale",IF(AND('Bittrex Data'!C40="LIMIT_BUY",Bittrex!D40="USD"),"Buy","Trade")))</f>
        <v/>
      </c>
      <c r="D40" t="str">
        <f>IF('Bittrex Data'!B40="","",LEFT(LEFT('Bittrex Data'!B40,SEARCH("-",'Bittrex Data'!B40,1)),LEN(LEFT('Bittrex Data'!B40,SEARCH("-",'Bittrex Data'!B40,1)))-1))</f>
        <v/>
      </c>
      <c r="E40" t="str">
        <f>IF('Bittrex Data'!B40="","",RIGHT(RIGHT('Bittrex Data'!B40,LEN('Bittrex Data'!B40)-SEARCH("-",'Bittrex Data'!B40,1)+1),LEN(RIGHT('Bittrex Data'!B40,LEN('Bittrex Data'!B40)-SEARCH("-",'Bittrex Data'!B40,1)+1))-1))</f>
        <v/>
      </c>
      <c r="F40" t="str">
        <f>IF('Bittrex Data'!C40="","",IF('Bittrex Data'!C40="Limit_Sell",'Bittrex Data'!G40-'Bittrex Data'!F40,IF('Bittrex Data'!C40="Limit_Buy",'Bittrex Data'!G40+'Bittrex Data'!F40,"")))</f>
        <v/>
      </c>
      <c r="G40" t="str">
        <f>IF('Bittrex Data'!B40="","",'Bittrex Data'!D40)</f>
        <v/>
      </c>
      <c r="H40" t="str">
        <f>IF('Bittrex Data'!C40="","",IF(Bittrex!C40="Buy",Bittrex!D40,IF(Bittrex!C40="Sale",Bittrex!E40,IF(AND(Bittrex!C40="Trade",'Bittrex Data'!C40="Limit_Sell"),Bittrex!E40,IF(AND(Bittrex!C40="Trade",'Bittrex Data'!C40="Limit_Buy"),Bittrex!D40,"")))))</f>
        <v/>
      </c>
      <c r="I40" t="str">
        <f>IF('Bittrex Data'!C40="","",IF(Bittrex!C40="Buy",F40,IF(C40="Sale",Bittrex!G40,IF(AND(C40="Trade",'Bittrex Data'!C40="Limit_Sell"),Bittrex!G40,IF(AND(Bittrex!C40="Trade",'Bittrex Data'!C40="Limit_Buy"),F40,"")))))</f>
        <v/>
      </c>
      <c r="J40" t="str">
        <f>IF('Bittrex Data'!B40="","",IF('Bittrex Data'!B40="","",IF(Bittrex!H40=Bittrex!E40,D40,Bittrex!E40)))</f>
        <v/>
      </c>
      <c r="K40" t="str">
        <f>IF('Bittrex Data'!B40="","",IF(Bittrex!I40=Bittrex!G40,Bittrex!F40,Bittrex!G40))</f>
        <v/>
      </c>
    </row>
    <row r="41" spans="3:11" x14ac:dyDescent="0.2">
      <c r="C41" t="str">
        <f>IF('Bittrex Data'!A41="","",IF(AND('Bittrex Data'!C41="LIMIT_SELL",Bittrex!D41="USD"),"Sale",IF(AND('Bittrex Data'!C41="LIMIT_BUY",Bittrex!D41="USD"),"Buy","Trade")))</f>
        <v/>
      </c>
      <c r="D41" t="str">
        <f>IF('Bittrex Data'!B41="","",LEFT(LEFT('Bittrex Data'!B41,SEARCH("-",'Bittrex Data'!B41,1)),LEN(LEFT('Bittrex Data'!B41,SEARCH("-",'Bittrex Data'!B41,1)))-1))</f>
        <v/>
      </c>
      <c r="E41" t="str">
        <f>IF('Bittrex Data'!B41="","",RIGHT(RIGHT('Bittrex Data'!B41,LEN('Bittrex Data'!B41)-SEARCH("-",'Bittrex Data'!B41,1)+1),LEN(RIGHT('Bittrex Data'!B41,LEN('Bittrex Data'!B41)-SEARCH("-",'Bittrex Data'!B41,1)+1))-1))</f>
        <v/>
      </c>
      <c r="F41" t="str">
        <f>IF('Bittrex Data'!C41="","",IF('Bittrex Data'!C41="Limit_Sell",'Bittrex Data'!G41-'Bittrex Data'!F41,IF('Bittrex Data'!C41="Limit_Buy",'Bittrex Data'!G41+'Bittrex Data'!F41,"")))</f>
        <v/>
      </c>
      <c r="G41" t="str">
        <f>IF('Bittrex Data'!B41="","",'Bittrex Data'!D41)</f>
        <v/>
      </c>
      <c r="H41" t="str">
        <f>IF('Bittrex Data'!C41="","",IF(Bittrex!C41="Buy",Bittrex!D41,IF(Bittrex!C41="Sale",Bittrex!E41,IF(AND(Bittrex!C41="Trade",'Bittrex Data'!C41="Limit_Sell"),Bittrex!E41,IF(AND(Bittrex!C41="Trade",'Bittrex Data'!C41="Limit_Buy"),Bittrex!D41,"")))))</f>
        <v/>
      </c>
      <c r="I41" t="str">
        <f>IF('Bittrex Data'!C41="","",IF(Bittrex!C41="Buy",F41,IF(C41="Sale",Bittrex!G41,IF(AND(C41="Trade",'Bittrex Data'!C41="Limit_Sell"),Bittrex!G41,IF(AND(Bittrex!C41="Trade",'Bittrex Data'!C41="Limit_Buy"),F41,"")))))</f>
        <v/>
      </c>
      <c r="J41" t="str">
        <f>IF('Bittrex Data'!B41="","",IF('Bittrex Data'!B41="","",IF(Bittrex!H41=Bittrex!E41,D41,Bittrex!E41)))</f>
        <v/>
      </c>
      <c r="K41" t="str">
        <f>IF('Bittrex Data'!B41="","",IF(Bittrex!I41=Bittrex!G41,Bittrex!F41,Bittrex!G41))</f>
        <v/>
      </c>
    </row>
    <row r="42" spans="3:11" x14ac:dyDescent="0.2">
      <c r="C42" t="str">
        <f>IF('Bittrex Data'!A42="","",IF(AND('Bittrex Data'!C42="LIMIT_SELL",Bittrex!D42="USD"),"Sale",IF(AND('Bittrex Data'!C42="LIMIT_BUY",Bittrex!D42="USD"),"Buy","Trade")))</f>
        <v/>
      </c>
      <c r="D42" t="str">
        <f>IF('Bittrex Data'!B42="","",LEFT(LEFT('Bittrex Data'!B42,SEARCH("-",'Bittrex Data'!B42,1)),LEN(LEFT('Bittrex Data'!B42,SEARCH("-",'Bittrex Data'!B42,1)))-1))</f>
        <v/>
      </c>
      <c r="E42" t="str">
        <f>IF('Bittrex Data'!B42="","",RIGHT(RIGHT('Bittrex Data'!B42,LEN('Bittrex Data'!B42)-SEARCH("-",'Bittrex Data'!B42,1)+1),LEN(RIGHT('Bittrex Data'!B42,LEN('Bittrex Data'!B42)-SEARCH("-",'Bittrex Data'!B42,1)+1))-1))</f>
        <v/>
      </c>
      <c r="F42" t="str">
        <f>IF('Bittrex Data'!C42="","",IF('Bittrex Data'!C42="Limit_Sell",'Bittrex Data'!G42-'Bittrex Data'!F42,IF('Bittrex Data'!C42="Limit_Buy",'Bittrex Data'!G42+'Bittrex Data'!F42,"")))</f>
        <v/>
      </c>
      <c r="G42" t="str">
        <f>IF('Bittrex Data'!B42="","",'Bittrex Data'!D42)</f>
        <v/>
      </c>
      <c r="H42" t="str">
        <f>IF('Bittrex Data'!C42="","",IF(Bittrex!C42="Buy",Bittrex!D42,IF(Bittrex!C42="Sale",Bittrex!E42,IF(AND(Bittrex!C42="Trade",'Bittrex Data'!C42="Limit_Sell"),Bittrex!E42,IF(AND(Bittrex!C42="Trade",'Bittrex Data'!C42="Limit_Buy"),Bittrex!D42,"")))))</f>
        <v/>
      </c>
      <c r="I42" t="str">
        <f>IF('Bittrex Data'!C42="","",IF(Bittrex!C42="Buy",F42,IF(C42="Sale",Bittrex!G42,IF(AND(C42="Trade",'Bittrex Data'!C42="Limit_Sell"),Bittrex!G42,IF(AND(Bittrex!C42="Trade",'Bittrex Data'!C42="Limit_Buy"),F42,"")))))</f>
        <v/>
      </c>
      <c r="J42" t="str">
        <f>IF('Bittrex Data'!B42="","",IF('Bittrex Data'!B42="","",IF(Bittrex!H42=Bittrex!E42,D42,Bittrex!E42)))</f>
        <v/>
      </c>
      <c r="K42" t="str">
        <f>IF('Bittrex Data'!B42="","",IF(Bittrex!I42=Bittrex!G42,Bittrex!F42,Bittrex!G42))</f>
        <v/>
      </c>
    </row>
    <row r="43" spans="3:11" x14ac:dyDescent="0.2">
      <c r="C43" t="str">
        <f>IF('Bittrex Data'!A43="","",IF(AND('Bittrex Data'!C43="LIMIT_SELL",Bittrex!D43="USD"),"Sale",IF(AND('Bittrex Data'!C43="LIMIT_BUY",Bittrex!D43="USD"),"Buy","Trade")))</f>
        <v/>
      </c>
      <c r="D43" t="str">
        <f>IF('Bittrex Data'!B43="","",LEFT(LEFT('Bittrex Data'!B43,SEARCH("-",'Bittrex Data'!B43,1)),LEN(LEFT('Bittrex Data'!B43,SEARCH("-",'Bittrex Data'!B43,1)))-1))</f>
        <v/>
      </c>
      <c r="E43" t="str">
        <f>IF('Bittrex Data'!B43="","",RIGHT(RIGHT('Bittrex Data'!B43,LEN('Bittrex Data'!B43)-SEARCH("-",'Bittrex Data'!B43,1)+1),LEN(RIGHT('Bittrex Data'!B43,LEN('Bittrex Data'!B43)-SEARCH("-",'Bittrex Data'!B43,1)+1))-1))</f>
        <v/>
      </c>
      <c r="F43" t="str">
        <f>IF('Bittrex Data'!C43="","",IF('Bittrex Data'!C43="Limit_Sell",'Bittrex Data'!G43-'Bittrex Data'!F43,IF('Bittrex Data'!C43="Limit_Buy",'Bittrex Data'!G43+'Bittrex Data'!F43,"")))</f>
        <v/>
      </c>
      <c r="G43" t="str">
        <f>IF('Bittrex Data'!B43="","",'Bittrex Data'!D43)</f>
        <v/>
      </c>
      <c r="H43" t="str">
        <f>IF('Bittrex Data'!C43="","",IF(Bittrex!C43="Buy",Bittrex!D43,IF(Bittrex!C43="Sale",Bittrex!E43,IF(AND(Bittrex!C43="Trade",'Bittrex Data'!C43="Limit_Sell"),Bittrex!E43,IF(AND(Bittrex!C43="Trade",'Bittrex Data'!C43="Limit_Buy"),Bittrex!D43,"")))))</f>
        <v/>
      </c>
      <c r="I43" t="str">
        <f>IF('Bittrex Data'!C43="","",IF(Bittrex!C43="Buy",F43,IF(C43="Sale",Bittrex!G43,IF(AND(C43="Trade",'Bittrex Data'!C43="Limit_Sell"),Bittrex!G43,IF(AND(Bittrex!C43="Trade",'Bittrex Data'!C43="Limit_Buy"),F43,"")))))</f>
        <v/>
      </c>
      <c r="J43" t="str">
        <f>IF('Bittrex Data'!B43="","",IF('Bittrex Data'!B43="","",IF(Bittrex!H43=Bittrex!E43,D43,Bittrex!E43)))</f>
        <v/>
      </c>
      <c r="K43" t="str">
        <f>IF('Bittrex Data'!B43="","",IF(Bittrex!I43=Bittrex!G43,Bittrex!F43,Bittrex!G43))</f>
        <v/>
      </c>
    </row>
    <row r="44" spans="3:11" x14ac:dyDescent="0.2">
      <c r="C44" t="str">
        <f>IF('Bittrex Data'!A44="","",IF(AND('Bittrex Data'!C44="LIMIT_SELL",Bittrex!D44="USD"),"Sale",IF(AND('Bittrex Data'!C44="LIMIT_BUY",Bittrex!D44="USD"),"Buy","Trade")))</f>
        <v/>
      </c>
      <c r="D44" t="str">
        <f>IF('Bittrex Data'!B44="","",LEFT(LEFT('Bittrex Data'!B44,SEARCH("-",'Bittrex Data'!B44,1)),LEN(LEFT('Bittrex Data'!B44,SEARCH("-",'Bittrex Data'!B44,1)))-1))</f>
        <v/>
      </c>
      <c r="E44" t="str">
        <f>IF('Bittrex Data'!B44="","",RIGHT(RIGHT('Bittrex Data'!B44,LEN('Bittrex Data'!B44)-SEARCH("-",'Bittrex Data'!B44,1)+1),LEN(RIGHT('Bittrex Data'!B44,LEN('Bittrex Data'!B44)-SEARCH("-",'Bittrex Data'!B44,1)+1))-1))</f>
        <v/>
      </c>
      <c r="F44" t="str">
        <f>IF('Bittrex Data'!C44="","",IF('Bittrex Data'!C44="Limit_Sell",'Bittrex Data'!G44-'Bittrex Data'!F44,IF('Bittrex Data'!C44="Limit_Buy",'Bittrex Data'!G44+'Bittrex Data'!F44,"")))</f>
        <v/>
      </c>
      <c r="G44" t="str">
        <f>IF('Bittrex Data'!B44="","",'Bittrex Data'!D44)</f>
        <v/>
      </c>
      <c r="H44" t="str">
        <f>IF('Bittrex Data'!C44="","",IF(Bittrex!C44="Buy",Bittrex!D44,IF(Bittrex!C44="Sale",Bittrex!E44,IF(AND(Bittrex!C44="Trade",'Bittrex Data'!C44="Limit_Sell"),Bittrex!E44,IF(AND(Bittrex!C44="Trade",'Bittrex Data'!C44="Limit_Buy"),Bittrex!D44,"")))))</f>
        <v/>
      </c>
      <c r="I44" t="str">
        <f>IF('Bittrex Data'!C44="","",IF(Bittrex!C44="Buy",F44,IF(C44="Sale",Bittrex!G44,IF(AND(C44="Trade",'Bittrex Data'!C44="Limit_Sell"),Bittrex!G44,IF(AND(Bittrex!C44="Trade",'Bittrex Data'!C44="Limit_Buy"),F44,"")))))</f>
        <v/>
      </c>
      <c r="J44" t="str">
        <f>IF('Bittrex Data'!B44="","",IF('Bittrex Data'!B44="","",IF(Bittrex!H44=Bittrex!E44,D44,Bittrex!E44)))</f>
        <v/>
      </c>
      <c r="K44" t="str">
        <f>IF('Bittrex Data'!B44="","",IF(Bittrex!I44=Bittrex!G44,Bittrex!F44,Bittrex!G44))</f>
        <v/>
      </c>
    </row>
    <row r="45" spans="3:11" x14ac:dyDescent="0.2">
      <c r="C45" t="str">
        <f>IF('Bittrex Data'!A45="","",IF(AND('Bittrex Data'!C45="LIMIT_SELL",Bittrex!D45="USD"),"Sale",IF(AND('Bittrex Data'!C45="LIMIT_BUY",Bittrex!D45="USD"),"Buy","Trade")))</f>
        <v/>
      </c>
      <c r="D45" t="str">
        <f>IF('Bittrex Data'!B45="","",LEFT(LEFT('Bittrex Data'!B45,SEARCH("-",'Bittrex Data'!B45,1)),LEN(LEFT('Bittrex Data'!B45,SEARCH("-",'Bittrex Data'!B45,1)))-1))</f>
        <v/>
      </c>
      <c r="E45" t="str">
        <f>IF('Bittrex Data'!B45="","",RIGHT(RIGHT('Bittrex Data'!B45,LEN('Bittrex Data'!B45)-SEARCH("-",'Bittrex Data'!B45,1)+1),LEN(RIGHT('Bittrex Data'!B45,LEN('Bittrex Data'!B45)-SEARCH("-",'Bittrex Data'!B45,1)+1))-1))</f>
        <v/>
      </c>
      <c r="F45" t="str">
        <f>IF('Bittrex Data'!C45="","",IF('Bittrex Data'!C45="Limit_Sell",'Bittrex Data'!G45-'Bittrex Data'!F45,IF('Bittrex Data'!C45="Limit_Buy",'Bittrex Data'!G45+'Bittrex Data'!F45,"")))</f>
        <v/>
      </c>
      <c r="G45" t="str">
        <f>IF('Bittrex Data'!B45="","",'Bittrex Data'!D45)</f>
        <v/>
      </c>
      <c r="H45" t="str">
        <f>IF('Bittrex Data'!C45="","",IF(Bittrex!C45="Buy",Bittrex!D45,IF(Bittrex!C45="Sale",Bittrex!E45,IF(AND(Bittrex!C45="Trade",'Bittrex Data'!C45="Limit_Sell"),Bittrex!E45,IF(AND(Bittrex!C45="Trade",'Bittrex Data'!C45="Limit_Buy"),Bittrex!D45,"")))))</f>
        <v/>
      </c>
      <c r="I45" t="str">
        <f>IF('Bittrex Data'!C45="","",IF(Bittrex!C45="Buy",F45,IF(C45="Sale",Bittrex!G45,IF(AND(C45="Trade",'Bittrex Data'!C45="Limit_Sell"),Bittrex!G45,IF(AND(Bittrex!C45="Trade",'Bittrex Data'!C45="Limit_Buy"),F45,"")))))</f>
        <v/>
      </c>
      <c r="J45" t="str">
        <f>IF('Bittrex Data'!B45="","",IF('Bittrex Data'!B45="","",IF(Bittrex!H45=Bittrex!E45,D45,Bittrex!E45)))</f>
        <v/>
      </c>
      <c r="K45" t="str">
        <f>IF('Bittrex Data'!B45="","",IF(Bittrex!I45=Bittrex!G45,Bittrex!F45,Bittrex!G45))</f>
        <v/>
      </c>
    </row>
    <row r="46" spans="3:11" x14ac:dyDescent="0.2">
      <c r="C46" t="str">
        <f>IF('Bittrex Data'!A46="","",IF(AND('Bittrex Data'!C46="LIMIT_SELL",Bittrex!D46="USD"),"Sale",IF(AND('Bittrex Data'!C46="LIMIT_BUY",Bittrex!D46="USD"),"Buy","Trade")))</f>
        <v/>
      </c>
      <c r="D46" t="str">
        <f>IF('Bittrex Data'!B46="","",LEFT(LEFT('Bittrex Data'!B46,SEARCH("-",'Bittrex Data'!B46,1)),LEN(LEFT('Bittrex Data'!B46,SEARCH("-",'Bittrex Data'!B46,1)))-1))</f>
        <v/>
      </c>
      <c r="E46" t="str">
        <f>IF('Bittrex Data'!B46="","",RIGHT(RIGHT('Bittrex Data'!B46,LEN('Bittrex Data'!B46)-SEARCH("-",'Bittrex Data'!B46,1)+1),LEN(RIGHT('Bittrex Data'!B46,LEN('Bittrex Data'!B46)-SEARCH("-",'Bittrex Data'!B46,1)+1))-1))</f>
        <v/>
      </c>
      <c r="F46" t="str">
        <f>IF('Bittrex Data'!C46="","",IF('Bittrex Data'!C46="Limit_Sell",'Bittrex Data'!G46-'Bittrex Data'!F46,IF('Bittrex Data'!C46="Limit_Buy",'Bittrex Data'!G46+'Bittrex Data'!F46,"")))</f>
        <v/>
      </c>
      <c r="G46" t="str">
        <f>IF('Bittrex Data'!B46="","",'Bittrex Data'!D46)</f>
        <v/>
      </c>
      <c r="H46" t="str">
        <f>IF('Bittrex Data'!C46="","",IF(Bittrex!C46="Buy",Bittrex!D46,IF(Bittrex!C46="Sale",Bittrex!E46,IF(AND(Bittrex!C46="Trade",'Bittrex Data'!C46="Limit_Sell"),Bittrex!E46,IF(AND(Bittrex!C46="Trade",'Bittrex Data'!C46="Limit_Buy"),Bittrex!D46,"")))))</f>
        <v/>
      </c>
      <c r="I46" t="str">
        <f>IF('Bittrex Data'!C46="","",IF(Bittrex!C46="Buy",F46,IF(C46="Sale",Bittrex!G46,IF(AND(C46="Trade",'Bittrex Data'!C46="Limit_Sell"),Bittrex!G46,IF(AND(Bittrex!C46="Trade",'Bittrex Data'!C46="Limit_Buy"),F46,"")))))</f>
        <v/>
      </c>
      <c r="J46" t="str">
        <f>IF('Bittrex Data'!B46="","",IF('Bittrex Data'!B46="","",IF(Bittrex!H46=Bittrex!E46,D46,Bittrex!E46)))</f>
        <v/>
      </c>
      <c r="K46" t="str">
        <f>IF('Bittrex Data'!B46="","",IF(Bittrex!I46=Bittrex!G46,Bittrex!F46,Bittrex!G46))</f>
        <v/>
      </c>
    </row>
    <row r="47" spans="3:11" x14ac:dyDescent="0.2">
      <c r="C47" t="str">
        <f>IF('Bittrex Data'!A47="","",IF(AND('Bittrex Data'!C47="LIMIT_SELL",Bittrex!D47="USD"),"Sale",IF(AND('Bittrex Data'!C47="LIMIT_BUY",Bittrex!D47="USD"),"Buy","Trade")))</f>
        <v/>
      </c>
      <c r="D47" t="str">
        <f>IF('Bittrex Data'!B47="","",LEFT(LEFT('Bittrex Data'!B47,SEARCH("-",'Bittrex Data'!B47,1)),LEN(LEFT('Bittrex Data'!B47,SEARCH("-",'Bittrex Data'!B47,1)))-1))</f>
        <v/>
      </c>
      <c r="E47" t="str">
        <f>IF('Bittrex Data'!B47="","",RIGHT(RIGHT('Bittrex Data'!B47,LEN('Bittrex Data'!B47)-SEARCH("-",'Bittrex Data'!B47,1)+1),LEN(RIGHT('Bittrex Data'!B47,LEN('Bittrex Data'!B47)-SEARCH("-",'Bittrex Data'!B47,1)+1))-1))</f>
        <v/>
      </c>
      <c r="F47" t="str">
        <f>IF('Bittrex Data'!C47="","",IF('Bittrex Data'!C47="Limit_Sell",'Bittrex Data'!G47-'Bittrex Data'!F47,IF('Bittrex Data'!C47="Limit_Buy",'Bittrex Data'!G47+'Bittrex Data'!F47,"")))</f>
        <v/>
      </c>
      <c r="G47" t="str">
        <f>IF('Bittrex Data'!B47="","",'Bittrex Data'!D47)</f>
        <v/>
      </c>
      <c r="H47" t="str">
        <f>IF('Bittrex Data'!C47="","",IF(Bittrex!C47="Buy",Bittrex!D47,IF(Bittrex!C47="Sale",Bittrex!E47,IF(AND(Bittrex!C47="Trade",'Bittrex Data'!C47="Limit_Sell"),Bittrex!E47,IF(AND(Bittrex!C47="Trade",'Bittrex Data'!C47="Limit_Buy"),Bittrex!D47,"")))))</f>
        <v/>
      </c>
      <c r="I47" t="str">
        <f>IF('Bittrex Data'!C47="","",IF(Bittrex!C47="Buy",F47,IF(C47="Sale",Bittrex!G47,IF(AND(C47="Trade",'Bittrex Data'!C47="Limit_Sell"),Bittrex!G47,IF(AND(Bittrex!C47="Trade",'Bittrex Data'!C47="Limit_Buy"),F47,"")))))</f>
        <v/>
      </c>
      <c r="J47" t="str">
        <f>IF('Bittrex Data'!B47="","",IF('Bittrex Data'!B47="","",IF(Bittrex!H47=Bittrex!E47,D47,Bittrex!E47)))</f>
        <v/>
      </c>
      <c r="K47" t="str">
        <f>IF('Bittrex Data'!B47="","",IF(Bittrex!I47=Bittrex!G47,Bittrex!F47,Bittrex!G47))</f>
        <v/>
      </c>
    </row>
    <row r="48" spans="3:11" x14ac:dyDescent="0.2">
      <c r="C48" t="str">
        <f>IF('Bittrex Data'!A48="","",IF(AND('Bittrex Data'!C48="LIMIT_SELL",Bittrex!D48="USD"),"Sale",IF(AND('Bittrex Data'!C48="LIMIT_BUY",Bittrex!D48="USD"),"Buy","Trade")))</f>
        <v/>
      </c>
      <c r="D48" t="str">
        <f>IF('Bittrex Data'!B48="","",LEFT(LEFT('Bittrex Data'!B48,SEARCH("-",'Bittrex Data'!B48,1)),LEN(LEFT('Bittrex Data'!B48,SEARCH("-",'Bittrex Data'!B48,1)))-1))</f>
        <v/>
      </c>
      <c r="E48" t="str">
        <f>IF('Bittrex Data'!B48="","",RIGHT(RIGHT('Bittrex Data'!B48,LEN('Bittrex Data'!B48)-SEARCH("-",'Bittrex Data'!B48,1)+1),LEN(RIGHT('Bittrex Data'!B48,LEN('Bittrex Data'!B48)-SEARCH("-",'Bittrex Data'!B48,1)+1))-1))</f>
        <v/>
      </c>
      <c r="F48" t="str">
        <f>IF('Bittrex Data'!C48="","",IF('Bittrex Data'!C48="Limit_Sell",'Bittrex Data'!G48-'Bittrex Data'!F48,IF('Bittrex Data'!C48="Limit_Buy",'Bittrex Data'!G48+'Bittrex Data'!F48,"")))</f>
        <v/>
      </c>
      <c r="G48" t="str">
        <f>IF('Bittrex Data'!B48="","",'Bittrex Data'!D48)</f>
        <v/>
      </c>
      <c r="H48" t="str">
        <f>IF('Bittrex Data'!C48="","",IF(Bittrex!C48="Buy",Bittrex!D48,IF(Bittrex!C48="Sale",Bittrex!E48,IF(AND(Bittrex!C48="Trade",'Bittrex Data'!C48="Limit_Sell"),Bittrex!E48,IF(AND(Bittrex!C48="Trade",'Bittrex Data'!C48="Limit_Buy"),Bittrex!D48,"")))))</f>
        <v/>
      </c>
      <c r="I48" t="str">
        <f>IF('Bittrex Data'!C48="","",IF(Bittrex!C48="Buy",F48,IF(C48="Sale",Bittrex!G48,IF(AND(C48="Trade",'Bittrex Data'!C48="Limit_Sell"),Bittrex!G48,IF(AND(Bittrex!C48="Trade",'Bittrex Data'!C48="Limit_Buy"),F48,"")))))</f>
        <v/>
      </c>
      <c r="J48" t="str">
        <f>IF('Bittrex Data'!B48="","",IF('Bittrex Data'!B48="","",IF(Bittrex!H48=Bittrex!E48,D48,Bittrex!E48)))</f>
        <v/>
      </c>
      <c r="K48" t="str">
        <f>IF('Bittrex Data'!B48="","",IF(Bittrex!I48=Bittrex!G48,Bittrex!F48,Bittrex!G48))</f>
        <v/>
      </c>
    </row>
    <row r="49" spans="3:11" x14ac:dyDescent="0.2">
      <c r="C49" t="str">
        <f>IF('Bittrex Data'!A49="","",IF(AND('Bittrex Data'!C49="LIMIT_SELL",Bittrex!D49="USD"),"Sale",IF(AND('Bittrex Data'!C49="LIMIT_BUY",Bittrex!D49="USD"),"Buy","Trade")))</f>
        <v/>
      </c>
      <c r="D49" t="str">
        <f>IF('Bittrex Data'!B49="","",LEFT(LEFT('Bittrex Data'!B49,SEARCH("-",'Bittrex Data'!B49,1)),LEN(LEFT('Bittrex Data'!B49,SEARCH("-",'Bittrex Data'!B49,1)))-1))</f>
        <v/>
      </c>
      <c r="E49" t="str">
        <f>IF('Bittrex Data'!B49="","",RIGHT(RIGHT('Bittrex Data'!B49,LEN('Bittrex Data'!B49)-SEARCH("-",'Bittrex Data'!B49,1)+1),LEN(RIGHT('Bittrex Data'!B49,LEN('Bittrex Data'!B49)-SEARCH("-",'Bittrex Data'!B49,1)+1))-1))</f>
        <v/>
      </c>
      <c r="F49" t="str">
        <f>IF('Bittrex Data'!C49="","",IF('Bittrex Data'!C49="Limit_Sell",'Bittrex Data'!G49-'Bittrex Data'!F49,IF('Bittrex Data'!C49="Limit_Buy",'Bittrex Data'!G49+'Bittrex Data'!F49,"")))</f>
        <v/>
      </c>
      <c r="G49" t="str">
        <f>IF('Bittrex Data'!B49="","",'Bittrex Data'!D49)</f>
        <v/>
      </c>
      <c r="H49" t="str">
        <f>IF('Bittrex Data'!C49="","",IF(Bittrex!C49="Buy",Bittrex!D49,IF(Bittrex!C49="Sale",Bittrex!E49,IF(AND(Bittrex!C49="Trade",'Bittrex Data'!C49="Limit_Sell"),Bittrex!E49,IF(AND(Bittrex!C49="Trade",'Bittrex Data'!C49="Limit_Buy"),Bittrex!D49,"")))))</f>
        <v/>
      </c>
      <c r="I49" t="str">
        <f>IF('Bittrex Data'!C49="","",IF(Bittrex!C49="Buy",F49,IF(C49="Sale",Bittrex!G49,IF(AND(C49="Trade",'Bittrex Data'!C49="Limit_Sell"),Bittrex!G49,IF(AND(Bittrex!C49="Trade",'Bittrex Data'!C49="Limit_Buy"),F49,"")))))</f>
        <v/>
      </c>
      <c r="J49" t="str">
        <f>IF('Bittrex Data'!B49="","",IF('Bittrex Data'!B49="","",IF(Bittrex!H49=Bittrex!E49,D49,Bittrex!E49)))</f>
        <v/>
      </c>
      <c r="K49" t="str">
        <f>IF('Bittrex Data'!B49="","",IF(Bittrex!I49=Bittrex!G49,Bittrex!F49,Bittrex!G49))</f>
        <v/>
      </c>
    </row>
    <row r="50" spans="3:11" x14ac:dyDescent="0.2">
      <c r="C50" t="str">
        <f>IF('Bittrex Data'!A50="","",IF(AND('Bittrex Data'!C50="LIMIT_SELL",Bittrex!D50="USD"),"Sale",IF(AND('Bittrex Data'!C50="LIMIT_BUY",Bittrex!D50="USD"),"Buy","Trade")))</f>
        <v/>
      </c>
      <c r="D50" t="str">
        <f>IF('Bittrex Data'!B50="","",LEFT(LEFT('Bittrex Data'!B50,SEARCH("-",'Bittrex Data'!B50,1)),LEN(LEFT('Bittrex Data'!B50,SEARCH("-",'Bittrex Data'!B50,1)))-1))</f>
        <v/>
      </c>
      <c r="E50" t="str">
        <f>IF('Bittrex Data'!B50="","",RIGHT(RIGHT('Bittrex Data'!B50,LEN('Bittrex Data'!B50)-SEARCH("-",'Bittrex Data'!B50,1)+1),LEN(RIGHT('Bittrex Data'!B50,LEN('Bittrex Data'!B50)-SEARCH("-",'Bittrex Data'!B50,1)+1))-1))</f>
        <v/>
      </c>
      <c r="F50" t="str">
        <f>IF('Bittrex Data'!C50="","",IF('Bittrex Data'!C50="Limit_Sell",'Bittrex Data'!G50-'Bittrex Data'!F50,IF('Bittrex Data'!C50="Limit_Buy",'Bittrex Data'!G50+'Bittrex Data'!F50,"")))</f>
        <v/>
      </c>
      <c r="G50" t="str">
        <f>IF('Bittrex Data'!B50="","",'Bittrex Data'!D50)</f>
        <v/>
      </c>
      <c r="H50" t="str">
        <f>IF('Bittrex Data'!C50="","",IF(Bittrex!C50="Buy",Bittrex!D50,IF(Bittrex!C50="Sale",Bittrex!E50,IF(AND(Bittrex!C50="Trade",'Bittrex Data'!C50="Limit_Sell"),Bittrex!E50,IF(AND(Bittrex!C50="Trade",'Bittrex Data'!C50="Limit_Buy"),Bittrex!D50,"")))))</f>
        <v/>
      </c>
      <c r="I50" t="str">
        <f>IF('Bittrex Data'!C50="","",IF(Bittrex!C50="Buy",F50,IF(C50="Sale",Bittrex!G50,IF(AND(C50="Trade",'Bittrex Data'!C50="Limit_Sell"),Bittrex!G50,IF(AND(Bittrex!C50="Trade",'Bittrex Data'!C50="Limit_Buy"),F50,"")))))</f>
        <v/>
      </c>
      <c r="J50" t="str">
        <f>IF('Bittrex Data'!B50="","",IF('Bittrex Data'!B50="","",IF(Bittrex!H50=Bittrex!E50,D50,Bittrex!E50)))</f>
        <v/>
      </c>
      <c r="K50" t="str">
        <f>IF('Bittrex Data'!B50="","",IF(Bittrex!I50=Bittrex!G50,Bittrex!F50,Bittrex!G50))</f>
        <v/>
      </c>
    </row>
    <row r="51" spans="3:11" x14ac:dyDescent="0.2">
      <c r="C51" t="str">
        <f>IF('Bittrex Data'!A51="","",IF(AND('Bittrex Data'!C51="LIMIT_SELL",Bittrex!D51="USD"),"Sale",IF(AND('Bittrex Data'!C51="LIMIT_BUY",Bittrex!D51="USD"),"Buy","Trade")))</f>
        <v/>
      </c>
      <c r="D51" t="str">
        <f>IF('Bittrex Data'!B51="","",LEFT(LEFT('Bittrex Data'!B51,SEARCH("-",'Bittrex Data'!B51,1)),LEN(LEFT('Bittrex Data'!B51,SEARCH("-",'Bittrex Data'!B51,1)))-1))</f>
        <v/>
      </c>
      <c r="E51" t="str">
        <f>IF('Bittrex Data'!B51="","",RIGHT(RIGHT('Bittrex Data'!B51,LEN('Bittrex Data'!B51)-SEARCH("-",'Bittrex Data'!B51,1)+1),LEN(RIGHT('Bittrex Data'!B51,LEN('Bittrex Data'!B51)-SEARCH("-",'Bittrex Data'!B51,1)+1))-1))</f>
        <v/>
      </c>
      <c r="F51" t="str">
        <f>IF('Bittrex Data'!C51="","",IF('Bittrex Data'!C51="Limit_Sell",'Bittrex Data'!G51-'Bittrex Data'!F51,IF('Bittrex Data'!C51="Limit_Buy",'Bittrex Data'!G51+'Bittrex Data'!F51,"")))</f>
        <v/>
      </c>
      <c r="G51" t="str">
        <f>IF('Bittrex Data'!B51="","",'Bittrex Data'!D51)</f>
        <v/>
      </c>
      <c r="H51" t="str">
        <f>IF('Bittrex Data'!C51="","",IF(Bittrex!C51="Buy",Bittrex!D51,IF(Bittrex!C51="Sale",Bittrex!E51,IF(AND(Bittrex!C51="Trade",'Bittrex Data'!C51="Limit_Sell"),Bittrex!E51,IF(AND(Bittrex!C51="Trade",'Bittrex Data'!C51="Limit_Buy"),Bittrex!D51,"")))))</f>
        <v/>
      </c>
      <c r="I51" t="str">
        <f>IF('Bittrex Data'!C51="","",IF(Bittrex!C51="Buy",F51,IF(C51="Sale",Bittrex!G51,IF(AND(C51="Trade",'Bittrex Data'!C51="Limit_Sell"),Bittrex!G51,IF(AND(Bittrex!C51="Trade",'Bittrex Data'!C51="Limit_Buy"),F51,"")))))</f>
        <v/>
      </c>
      <c r="J51" t="str">
        <f>IF('Bittrex Data'!B51="","",IF('Bittrex Data'!B51="","",IF(Bittrex!H51=Bittrex!E51,D51,Bittrex!E51)))</f>
        <v/>
      </c>
      <c r="K51" t="str">
        <f>IF('Bittrex Data'!B51="","",IF(Bittrex!I51=Bittrex!G51,Bittrex!F51,Bittrex!G51))</f>
        <v/>
      </c>
    </row>
    <row r="52" spans="3:11" x14ac:dyDescent="0.2">
      <c r="C52" t="str">
        <f>IF('Bittrex Data'!A52="","",IF(AND('Bittrex Data'!C52="LIMIT_SELL",Bittrex!D52="USD"),"Sale",IF(AND('Bittrex Data'!C52="LIMIT_BUY",Bittrex!D52="USD"),"Buy","Trade")))</f>
        <v/>
      </c>
      <c r="D52" t="str">
        <f>IF('Bittrex Data'!B52="","",LEFT(LEFT('Bittrex Data'!B52,SEARCH("-",'Bittrex Data'!B52,1)),LEN(LEFT('Bittrex Data'!B52,SEARCH("-",'Bittrex Data'!B52,1)))-1))</f>
        <v/>
      </c>
      <c r="E52" t="str">
        <f>IF('Bittrex Data'!B52="","",RIGHT(RIGHT('Bittrex Data'!B52,LEN('Bittrex Data'!B52)-SEARCH("-",'Bittrex Data'!B52,1)+1),LEN(RIGHT('Bittrex Data'!B52,LEN('Bittrex Data'!B52)-SEARCH("-",'Bittrex Data'!B52,1)+1))-1))</f>
        <v/>
      </c>
      <c r="F52" t="str">
        <f>IF('Bittrex Data'!C52="","",IF('Bittrex Data'!C52="Limit_Sell",'Bittrex Data'!G52-'Bittrex Data'!F52,IF('Bittrex Data'!C52="Limit_Buy",'Bittrex Data'!G52+'Bittrex Data'!F52,"")))</f>
        <v/>
      </c>
      <c r="G52" t="str">
        <f>IF('Bittrex Data'!B52="","",'Bittrex Data'!D52)</f>
        <v/>
      </c>
      <c r="H52" t="str">
        <f>IF('Bittrex Data'!C52="","",IF(Bittrex!C52="Buy",Bittrex!D52,IF(Bittrex!C52="Sale",Bittrex!E52,IF(AND(Bittrex!C52="Trade",'Bittrex Data'!C52="Limit_Sell"),Bittrex!E52,IF(AND(Bittrex!C52="Trade",'Bittrex Data'!C52="Limit_Buy"),Bittrex!D52,"")))))</f>
        <v/>
      </c>
      <c r="I52" t="str">
        <f>IF('Bittrex Data'!C52="","",IF(Bittrex!C52="Buy",F52,IF(C52="Sale",Bittrex!G52,IF(AND(C52="Trade",'Bittrex Data'!C52="Limit_Sell"),Bittrex!G52,IF(AND(Bittrex!C52="Trade",'Bittrex Data'!C52="Limit_Buy"),F52,"")))))</f>
        <v/>
      </c>
      <c r="J52" t="str">
        <f>IF('Bittrex Data'!B52="","",IF('Bittrex Data'!B52="","",IF(Bittrex!H52=Bittrex!E52,D52,Bittrex!E52)))</f>
        <v/>
      </c>
      <c r="K52" t="str">
        <f>IF('Bittrex Data'!B52="","",IF(Bittrex!I52=Bittrex!G52,Bittrex!F52,Bittrex!G52))</f>
        <v/>
      </c>
    </row>
    <row r="53" spans="3:11" x14ac:dyDescent="0.2">
      <c r="C53" t="str">
        <f>IF('Bittrex Data'!A53="","",IF(AND('Bittrex Data'!C53="LIMIT_SELL",Bittrex!D53="USD"),"Sale",IF(AND('Bittrex Data'!C53="LIMIT_BUY",Bittrex!D53="USD"),"Buy","Trade")))</f>
        <v/>
      </c>
      <c r="D53" t="str">
        <f>IF('Bittrex Data'!B53="","",LEFT(LEFT('Bittrex Data'!B53,SEARCH("-",'Bittrex Data'!B53,1)),LEN(LEFT('Bittrex Data'!B53,SEARCH("-",'Bittrex Data'!B53,1)))-1))</f>
        <v/>
      </c>
      <c r="E53" t="str">
        <f>IF('Bittrex Data'!B53="","",RIGHT(RIGHT('Bittrex Data'!B53,LEN('Bittrex Data'!B53)-SEARCH("-",'Bittrex Data'!B53,1)+1),LEN(RIGHT('Bittrex Data'!B53,LEN('Bittrex Data'!B53)-SEARCH("-",'Bittrex Data'!B53,1)+1))-1))</f>
        <v/>
      </c>
      <c r="F53" t="str">
        <f>IF('Bittrex Data'!C53="","",IF('Bittrex Data'!C53="Limit_Sell",'Bittrex Data'!G53-'Bittrex Data'!F53,IF('Bittrex Data'!C53="Limit_Buy",'Bittrex Data'!G53+'Bittrex Data'!F53,"")))</f>
        <v/>
      </c>
      <c r="G53" t="str">
        <f>IF('Bittrex Data'!B53="","",'Bittrex Data'!D53)</f>
        <v/>
      </c>
      <c r="H53" t="str">
        <f>IF('Bittrex Data'!C53="","",IF(Bittrex!C53="Buy",Bittrex!D53,IF(Bittrex!C53="Sale",Bittrex!E53,IF(AND(Bittrex!C53="Trade",'Bittrex Data'!C53="Limit_Sell"),Bittrex!E53,IF(AND(Bittrex!C53="Trade",'Bittrex Data'!C53="Limit_Buy"),Bittrex!D53,"")))))</f>
        <v/>
      </c>
      <c r="I53" t="str">
        <f>IF('Bittrex Data'!C53="","",IF(Bittrex!C53="Buy",F53,IF(C53="Sale",Bittrex!G53,IF(AND(C53="Trade",'Bittrex Data'!C53="Limit_Sell"),Bittrex!G53,IF(AND(Bittrex!C53="Trade",'Bittrex Data'!C53="Limit_Buy"),F53,"")))))</f>
        <v/>
      </c>
      <c r="J53" t="str">
        <f>IF('Bittrex Data'!B53="","",IF('Bittrex Data'!B53="","",IF(Bittrex!H53=Bittrex!E53,D53,Bittrex!E53)))</f>
        <v/>
      </c>
      <c r="K53" t="str">
        <f>IF('Bittrex Data'!B53="","",IF(Bittrex!I53=Bittrex!G53,Bittrex!F53,Bittrex!G53))</f>
        <v/>
      </c>
    </row>
    <row r="54" spans="3:11" x14ac:dyDescent="0.2">
      <c r="C54" t="str">
        <f>IF('Bittrex Data'!A54="","",IF(AND('Bittrex Data'!C54="LIMIT_SELL",Bittrex!D54="USD"),"Sale",IF(AND('Bittrex Data'!C54="LIMIT_BUY",Bittrex!D54="USD"),"Buy","Trade")))</f>
        <v/>
      </c>
      <c r="D54" t="str">
        <f>IF('Bittrex Data'!B54="","",LEFT(LEFT('Bittrex Data'!B54,SEARCH("-",'Bittrex Data'!B54,1)),LEN(LEFT('Bittrex Data'!B54,SEARCH("-",'Bittrex Data'!B54,1)))-1))</f>
        <v/>
      </c>
      <c r="E54" t="str">
        <f>IF('Bittrex Data'!B54="","",RIGHT(RIGHT('Bittrex Data'!B54,LEN('Bittrex Data'!B54)-SEARCH("-",'Bittrex Data'!B54,1)+1),LEN(RIGHT('Bittrex Data'!B54,LEN('Bittrex Data'!B54)-SEARCH("-",'Bittrex Data'!B54,1)+1))-1))</f>
        <v/>
      </c>
      <c r="F54" t="str">
        <f>IF('Bittrex Data'!C54="","",IF('Bittrex Data'!C54="Limit_Sell",'Bittrex Data'!G54-'Bittrex Data'!F54,IF('Bittrex Data'!C54="Limit_Buy",'Bittrex Data'!G54+'Bittrex Data'!F54,"")))</f>
        <v/>
      </c>
      <c r="G54" t="str">
        <f>IF('Bittrex Data'!B54="","",'Bittrex Data'!D54)</f>
        <v/>
      </c>
      <c r="H54" t="str">
        <f>IF('Bittrex Data'!C54="","",IF(Bittrex!C54="Buy",Bittrex!D54,IF(Bittrex!C54="Sale",Bittrex!E54,IF(AND(Bittrex!C54="Trade",'Bittrex Data'!C54="Limit_Sell"),Bittrex!E54,IF(AND(Bittrex!C54="Trade",'Bittrex Data'!C54="Limit_Buy"),Bittrex!D54,"")))))</f>
        <v/>
      </c>
      <c r="I54" t="str">
        <f>IF('Bittrex Data'!C54="","",IF(Bittrex!C54="Buy",F54,IF(C54="Sale",Bittrex!G54,IF(AND(C54="Trade",'Bittrex Data'!C54="Limit_Sell"),Bittrex!G54,IF(AND(Bittrex!C54="Trade",'Bittrex Data'!C54="Limit_Buy"),F54,"")))))</f>
        <v/>
      </c>
      <c r="J54" t="str">
        <f>IF('Bittrex Data'!B54="","",IF('Bittrex Data'!B54="","",IF(Bittrex!H54=Bittrex!E54,D54,Bittrex!E54)))</f>
        <v/>
      </c>
      <c r="K54" t="str">
        <f>IF('Bittrex Data'!B54="","",IF(Bittrex!I54=Bittrex!G54,Bittrex!F54,Bittrex!G54))</f>
        <v/>
      </c>
    </row>
    <row r="55" spans="3:11" x14ac:dyDescent="0.2">
      <c r="C55" t="str">
        <f>IF('Bittrex Data'!A55="","",IF(AND('Bittrex Data'!C55="LIMIT_SELL",Bittrex!D55="USD"),"Sale",IF(AND('Bittrex Data'!C55="LIMIT_BUY",Bittrex!D55="USD"),"Buy","Trade")))</f>
        <v/>
      </c>
      <c r="D55" t="str">
        <f>IF('Bittrex Data'!B55="","",LEFT(LEFT('Bittrex Data'!B55,SEARCH("-",'Bittrex Data'!B55,1)),LEN(LEFT('Bittrex Data'!B55,SEARCH("-",'Bittrex Data'!B55,1)))-1))</f>
        <v/>
      </c>
      <c r="E55" t="str">
        <f>IF('Bittrex Data'!B55="","",RIGHT(RIGHT('Bittrex Data'!B55,LEN('Bittrex Data'!B55)-SEARCH("-",'Bittrex Data'!B55,1)+1),LEN(RIGHT('Bittrex Data'!B55,LEN('Bittrex Data'!B55)-SEARCH("-",'Bittrex Data'!B55,1)+1))-1))</f>
        <v/>
      </c>
      <c r="F55" t="str">
        <f>IF('Bittrex Data'!C55="","",IF('Bittrex Data'!C55="Limit_Sell",'Bittrex Data'!G55-'Bittrex Data'!F55,IF('Bittrex Data'!C55="Limit_Buy",'Bittrex Data'!G55+'Bittrex Data'!F55,"")))</f>
        <v/>
      </c>
      <c r="G55" t="str">
        <f>IF('Bittrex Data'!B55="","",'Bittrex Data'!D55)</f>
        <v/>
      </c>
      <c r="H55" t="str">
        <f>IF('Bittrex Data'!C55="","",IF(Bittrex!C55="Buy",Bittrex!D55,IF(Bittrex!C55="Sale",Bittrex!E55,IF(AND(Bittrex!C55="Trade",'Bittrex Data'!C55="Limit_Sell"),Bittrex!E55,IF(AND(Bittrex!C55="Trade",'Bittrex Data'!C55="Limit_Buy"),Bittrex!D55,"")))))</f>
        <v/>
      </c>
      <c r="I55" t="str">
        <f>IF('Bittrex Data'!C55="","",IF(Bittrex!C55="Buy",F55,IF(C55="Sale",Bittrex!G55,IF(AND(C55="Trade",'Bittrex Data'!C55="Limit_Sell"),Bittrex!G55,IF(AND(Bittrex!C55="Trade",'Bittrex Data'!C55="Limit_Buy"),F55,"")))))</f>
        <v/>
      </c>
      <c r="J55" t="str">
        <f>IF('Bittrex Data'!B55="","",IF('Bittrex Data'!B55="","",IF(Bittrex!H55=Bittrex!E55,D55,Bittrex!E55)))</f>
        <v/>
      </c>
      <c r="K55" t="str">
        <f>IF('Bittrex Data'!B55="","",IF(Bittrex!I55=Bittrex!G55,Bittrex!F55,Bittrex!G55))</f>
        <v/>
      </c>
    </row>
    <row r="56" spans="3:11" x14ac:dyDescent="0.2">
      <c r="C56" t="str">
        <f>IF('Bittrex Data'!A56="","",IF(AND('Bittrex Data'!C56="LIMIT_SELL",Bittrex!D56="USD"),"Sale",IF(AND('Bittrex Data'!C56="LIMIT_BUY",Bittrex!D56="USD"),"Buy","Trade")))</f>
        <v/>
      </c>
      <c r="D56" t="str">
        <f>IF('Bittrex Data'!B56="","",LEFT(LEFT('Bittrex Data'!B56,SEARCH("-",'Bittrex Data'!B56,1)),LEN(LEFT('Bittrex Data'!B56,SEARCH("-",'Bittrex Data'!B56,1)))-1))</f>
        <v/>
      </c>
      <c r="E56" t="str">
        <f>IF('Bittrex Data'!B56="","",RIGHT(RIGHT('Bittrex Data'!B56,LEN('Bittrex Data'!B56)-SEARCH("-",'Bittrex Data'!B56,1)+1),LEN(RIGHT('Bittrex Data'!B56,LEN('Bittrex Data'!B56)-SEARCH("-",'Bittrex Data'!B56,1)+1))-1))</f>
        <v/>
      </c>
      <c r="F56" t="str">
        <f>IF('Bittrex Data'!C56="","",IF('Bittrex Data'!C56="Limit_Sell",'Bittrex Data'!G56-'Bittrex Data'!F56,IF('Bittrex Data'!C56="Limit_Buy",'Bittrex Data'!G56+'Bittrex Data'!F56,"")))</f>
        <v/>
      </c>
      <c r="G56" t="str">
        <f>IF('Bittrex Data'!B56="","",'Bittrex Data'!D56)</f>
        <v/>
      </c>
      <c r="H56" t="str">
        <f>IF('Bittrex Data'!C56="","",IF(Bittrex!C56="Buy",Bittrex!D56,IF(Bittrex!C56="Sale",Bittrex!E56,IF(AND(Bittrex!C56="Trade",'Bittrex Data'!C56="Limit_Sell"),Bittrex!E56,IF(AND(Bittrex!C56="Trade",'Bittrex Data'!C56="Limit_Buy"),Bittrex!D56,"")))))</f>
        <v/>
      </c>
      <c r="I56" t="str">
        <f>IF('Bittrex Data'!C56="","",IF(Bittrex!C56="Buy",F56,IF(C56="Sale",Bittrex!G56,IF(AND(C56="Trade",'Bittrex Data'!C56="Limit_Sell"),Bittrex!G56,IF(AND(Bittrex!C56="Trade",'Bittrex Data'!C56="Limit_Buy"),F56,"")))))</f>
        <v/>
      </c>
      <c r="J56" t="str">
        <f>IF('Bittrex Data'!B56="","",IF('Bittrex Data'!B56="","",IF(Bittrex!H56=Bittrex!E56,D56,Bittrex!E56)))</f>
        <v/>
      </c>
      <c r="K56" t="str">
        <f>IF('Bittrex Data'!B56="","",IF(Bittrex!I56=Bittrex!G56,Bittrex!F56,Bittrex!G56))</f>
        <v/>
      </c>
    </row>
    <row r="57" spans="3:11" x14ac:dyDescent="0.2">
      <c r="C57" t="str">
        <f>IF('Bittrex Data'!A57="","",IF(AND('Bittrex Data'!C57="LIMIT_SELL",Bittrex!D57="USD"),"Sale",IF(AND('Bittrex Data'!C57="LIMIT_BUY",Bittrex!D57="USD"),"Buy","Trade")))</f>
        <v/>
      </c>
      <c r="D57" t="str">
        <f>IF('Bittrex Data'!B57="","",LEFT(LEFT('Bittrex Data'!B57,SEARCH("-",'Bittrex Data'!B57,1)),LEN(LEFT('Bittrex Data'!B57,SEARCH("-",'Bittrex Data'!B57,1)))-1))</f>
        <v/>
      </c>
      <c r="E57" t="str">
        <f>IF('Bittrex Data'!B57="","",RIGHT(RIGHT('Bittrex Data'!B57,LEN('Bittrex Data'!B57)-SEARCH("-",'Bittrex Data'!B57,1)+1),LEN(RIGHT('Bittrex Data'!B57,LEN('Bittrex Data'!B57)-SEARCH("-",'Bittrex Data'!B57,1)+1))-1))</f>
        <v/>
      </c>
      <c r="F57" t="str">
        <f>IF('Bittrex Data'!C57="","",IF('Bittrex Data'!C57="Limit_Sell",'Bittrex Data'!G57-'Bittrex Data'!F57,IF('Bittrex Data'!C57="Limit_Buy",'Bittrex Data'!G57+'Bittrex Data'!F57,"")))</f>
        <v/>
      </c>
      <c r="G57" t="str">
        <f>IF('Bittrex Data'!B57="","",'Bittrex Data'!D57)</f>
        <v/>
      </c>
      <c r="H57" t="str">
        <f>IF('Bittrex Data'!C57="","",IF(Bittrex!C57="Buy",Bittrex!D57,IF(Bittrex!C57="Sale",Bittrex!E57,IF(AND(Bittrex!C57="Trade",'Bittrex Data'!C57="Limit_Sell"),Bittrex!E57,IF(AND(Bittrex!C57="Trade",'Bittrex Data'!C57="Limit_Buy"),Bittrex!D57,"")))))</f>
        <v/>
      </c>
      <c r="I57" t="str">
        <f>IF('Bittrex Data'!C57="","",IF(Bittrex!C57="Buy",F57,IF(C57="Sale",Bittrex!G57,IF(AND(C57="Trade",'Bittrex Data'!C57="Limit_Sell"),Bittrex!G57,IF(AND(Bittrex!C57="Trade",'Bittrex Data'!C57="Limit_Buy"),F57,"")))))</f>
        <v/>
      </c>
      <c r="J57" t="str">
        <f>IF('Bittrex Data'!B57="","",IF('Bittrex Data'!B57="","",IF(Bittrex!H57=Bittrex!E57,D57,Bittrex!E57)))</f>
        <v/>
      </c>
      <c r="K57" t="str">
        <f>IF('Bittrex Data'!B57="","",IF(Bittrex!I57=Bittrex!G57,Bittrex!F57,Bittrex!G57))</f>
        <v/>
      </c>
    </row>
    <row r="58" spans="3:11" x14ac:dyDescent="0.2">
      <c r="C58" t="str">
        <f>IF('Bittrex Data'!A58="","",IF(AND('Bittrex Data'!C58="LIMIT_SELL",Bittrex!D58="USD"),"Sale",IF(AND('Bittrex Data'!C58="LIMIT_BUY",Bittrex!D58="USD"),"Buy","Trade")))</f>
        <v/>
      </c>
      <c r="D58" t="str">
        <f>IF('Bittrex Data'!B58="","",LEFT(LEFT('Bittrex Data'!B58,SEARCH("-",'Bittrex Data'!B58,1)),LEN(LEFT('Bittrex Data'!B58,SEARCH("-",'Bittrex Data'!B58,1)))-1))</f>
        <v/>
      </c>
      <c r="E58" t="str">
        <f>IF('Bittrex Data'!B58="","",RIGHT(RIGHT('Bittrex Data'!B58,LEN('Bittrex Data'!B58)-SEARCH("-",'Bittrex Data'!B58,1)+1),LEN(RIGHT('Bittrex Data'!B58,LEN('Bittrex Data'!B58)-SEARCH("-",'Bittrex Data'!B58,1)+1))-1))</f>
        <v/>
      </c>
      <c r="F58" t="str">
        <f>IF('Bittrex Data'!C58="","",IF('Bittrex Data'!C58="Limit_Sell",'Bittrex Data'!G58-'Bittrex Data'!F58,IF('Bittrex Data'!C58="Limit_Buy",'Bittrex Data'!G58+'Bittrex Data'!F58,"")))</f>
        <v/>
      </c>
      <c r="G58" t="str">
        <f>IF('Bittrex Data'!B58="","",'Bittrex Data'!D58)</f>
        <v/>
      </c>
      <c r="H58" t="str">
        <f>IF('Bittrex Data'!C58="","",IF(Bittrex!C58="Buy",Bittrex!D58,IF(Bittrex!C58="Sale",Bittrex!E58,IF(AND(Bittrex!C58="Trade",'Bittrex Data'!C58="Limit_Sell"),Bittrex!E58,IF(AND(Bittrex!C58="Trade",'Bittrex Data'!C58="Limit_Buy"),Bittrex!D58,"")))))</f>
        <v/>
      </c>
      <c r="I58" t="str">
        <f>IF('Bittrex Data'!C58="","",IF(Bittrex!C58="Buy",F58,IF(C58="Sale",Bittrex!G58,IF(AND(C58="Trade",'Bittrex Data'!C58="Limit_Sell"),Bittrex!G58,IF(AND(Bittrex!C58="Trade",'Bittrex Data'!C58="Limit_Buy"),F58,"")))))</f>
        <v/>
      </c>
      <c r="J58" t="str">
        <f>IF('Bittrex Data'!B58="","",IF('Bittrex Data'!B58="","",IF(Bittrex!H58=Bittrex!E58,D58,Bittrex!E58)))</f>
        <v/>
      </c>
      <c r="K58" t="str">
        <f>IF('Bittrex Data'!B58="","",IF(Bittrex!I58=Bittrex!G58,Bittrex!F58,Bittrex!G58))</f>
        <v/>
      </c>
    </row>
    <row r="59" spans="3:11" x14ac:dyDescent="0.2">
      <c r="C59" t="str">
        <f>IF('Bittrex Data'!A59="","",IF(AND('Bittrex Data'!C59="LIMIT_SELL",Bittrex!D59="USD"),"Sale",IF(AND('Bittrex Data'!C59="LIMIT_BUY",Bittrex!D59="USD"),"Buy","Trade")))</f>
        <v/>
      </c>
      <c r="D59" t="str">
        <f>IF('Bittrex Data'!B59="","",LEFT(LEFT('Bittrex Data'!B59,SEARCH("-",'Bittrex Data'!B59,1)),LEN(LEFT('Bittrex Data'!B59,SEARCH("-",'Bittrex Data'!B59,1)))-1))</f>
        <v/>
      </c>
      <c r="E59" t="str">
        <f>IF('Bittrex Data'!B59="","",RIGHT(RIGHT('Bittrex Data'!B59,LEN('Bittrex Data'!B59)-SEARCH("-",'Bittrex Data'!B59,1)+1),LEN(RIGHT('Bittrex Data'!B59,LEN('Bittrex Data'!B59)-SEARCH("-",'Bittrex Data'!B59,1)+1))-1))</f>
        <v/>
      </c>
      <c r="F59" t="str">
        <f>IF('Bittrex Data'!C59="","",IF('Bittrex Data'!C59="Limit_Sell",'Bittrex Data'!G59-'Bittrex Data'!F59,IF('Bittrex Data'!C59="Limit_Buy",'Bittrex Data'!G59+'Bittrex Data'!F59,"")))</f>
        <v/>
      </c>
      <c r="G59" t="str">
        <f>IF('Bittrex Data'!B59="","",'Bittrex Data'!D59)</f>
        <v/>
      </c>
      <c r="H59" t="str">
        <f>IF('Bittrex Data'!C59="","",IF(Bittrex!C59="Buy",Bittrex!D59,IF(Bittrex!C59="Sale",Bittrex!E59,IF(AND(Bittrex!C59="Trade",'Bittrex Data'!C59="Limit_Sell"),Bittrex!E59,IF(AND(Bittrex!C59="Trade",'Bittrex Data'!C59="Limit_Buy"),Bittrex!D59,"")))))</f>
        <v/>
      </c>
      <c r="I59" t="str">
        <f>IF('Bittrex Data'!C59="","",IF(Bittrex!C59="Buy",F59,IF(C59="Sale",Bittrex!G59,IF(AND(C59="Trade",'Bittrex Data'!C59="Limit_Sell"),Bittrex!G59,IF(AND(Bittrex!C59="Trade",'Bittrex Data'!C59="Limit_Buy"),F59,"")))))</f>
        <v/>
      </c>
      <c r="J59" t="str">
        <f>IF('Bittrex Data'!B59="","",IF('Bittrex Data'!B59="","",IF(Bittrex!H59=Bittrex!E59,D59,Bittrex!E59)))</f>
        <v/>
      </c>
      <c r="K59" t="str">
        <f>IF('Bittrex Data'!B59="","",IF(Bittrex!I59=Bittrex!G59,Bittrex!F59,Bittrex!G59))</f>
        <v/>
      </c>
    </row>
    <row r="60" spans="3:11" x14ac:dyDescent="0.2">
      <c r="C60" t="str">
        <f>IF('Bittrex Data'!A60="","",IF(AND('Bittrex Data'!C60="LIMIT_SELL",Bittrex!D60="USD"),"Sale",IF(AND('Bittrex Data'!C60="LIMIT_BUY",Bittrex!D60="USD"),"Buy","Trade")))</f>
        <v/>
      </c>
      <c r="D60" t="str">
        <f>IF('Bittrex Data'!B60="","",LEFT(LEFT('Bittrex Data'!B60,SEARCH("-",'Bittrex Data'!B60,1)),LEN(LEFT('Bittrex Data'!B60,SEARCH("-",'Bittrex Data'!B60,1)))-1))</f>
        <v/>
      </c>
      <c r="E60" t="str">
        <f>IF('Bittrex Data'!B60="","",RIGHT(RIGHT('Bittrex Data'!B60,LEN('Bittrex Data'!B60)-SEARCH("-",'Bittrex Data'!B60,1)+1),LEN(RIGHT('Bittrex Data'!B60,LEN('Bittrex Data'!B60)-SEARCH("-",'Bittrex Data'!B60,1)+1))-1))</f>
        <v/>
      </c>
      <c r="F60" t="str">
        <f>IF('Bittrex Data'!C60="","",IF('Bittrex Data'!C60="Limit_Sell",'Bittrex Data'!G60-'Bittrex Data'!F60,IF('Bittrex Data'!C60="Limit_Buy",'Bittrex Data'!G60+'Bittrex Data'!F60,"")))</f>
        <v/>
      </c>
      <c r="G60" t="str">
        <f>IF('Bittrex Data'!B60="","",'Bittrex Data'!D60)</f>
        <v/>
      </c>
      <c r="H60" t="str">
        <f>IF('Bittrex Data'!C60="","",IF(Bittrex!C60="Buy",Bittrex!D60,IF(Bittrex!C60="Sale",Bittrex!E60,IF(AND(Bittrex!C60="Trade",'Bittrex Data'!C60="Limit_Sell"),Bittrex!E60,IF(AND(Bittrex!C60="Trade",'Bittrex Data'!C60="Limit_Buy"),Bittrex!D60,"")))))</f>
        <v/>
      </c>
      <c r="I60" t="str">
        <f>IF('Bittrex Data'!C60="","",IF(Bittrex!C60="Buy",F60,IF(C60="Sale",Bittrex!G60,IF(AND(C60="Trade",'Bittrex Data'!C60="Limit_Sell"),Bittrex!G60,IF(AND(Bittrex!C60="Trade",'Bittrex Data'!C60="Limit_Buy"),F60,"")))))</f>
        <v/>
      </c>
      <c r="J60" t="str">
        <f>IF('Bittrex Data'!B60="","",IF('Bittrex Data'!B60="","",IF(Bittrex!H60=Bittrex!E60,D60,Bittrex!E60)))</f>
        <v/>
      </c>
      <c r="K60" t="str">
        <f>IF('Bittrex Data'!B60="","",IF(Bittrex!I60=Bittrex!G60,Bittrex!F60,Bittrex!G60))</f>
        <v/>
      </c>
    </row>
    <row r="61" spans="3:11" x14ac:dyDescent="0.2">
      <c r="C61" t="str">
        <f>IF('Bittrex Data'!A61="","",IF(AND('Bittrex Data'!C61="LIMIT_SELL",Bittrex!D61="USD"),"Sale",IF(AND('Bittrex Data'!C61="LIMIT_BUY",Bittrex!D61="USD"),"Buy","Trade")))</f>
        <v/>
      </c>
      <c r="D61" t="str">
        <f>IF('Bittrex Data'!B61="","",LEFT(LEFT('Bittrex Data'!B61,SEARCH("-",'Bittrex Data'!B61,1)),LEN(LEFT('Bittrex Data'!B61,SEARCH("-",'Bittrex Data'!B61,1)))-1))</f>
        <v/>
      </c>
      <c r="E61" t="str">
        <f>IF('Bittrex Data'!B61="","",RIGHT(RIGHT('Bittrex Data'!B61,LEN('Bittrex Data'!B61)-SEARCH("-",'Bittrex Data'!B61,1)+1),LEN(RIGHT('Bittrex Data'!B61,LEN('Bittrex Data'!B61)-SEARCH("-",'Bittrex Data'!B61,1)+1))-1))</f>
        <v/>
      </c>
      <c r="F61" t="str">
        <f>IF('Bittrex Data'!C61="","",IF('Bittrex Data'!C61="Limit_Sell",'Bittrex Data'!G61-'Bittrex Data'!F61,IF('Bittrex Data'!C61="Limit_Buy",'Bittrex Data'!G61+'Bittrex Data'!F61,"")))</f>
        <v/>
      </c>
      <c r="G61" t="str">
        <f>IF('Bittrex Data'!B61="","",'Bittrex Data'!D61)</f>
        <v/>
      </c>
      <c r="H61" t="str">
        <f>IF('Bittrex Data'!C61="","",IF(Bittrex!C61="Buy",Bittrex!D61,IF(Bittrex!C61="Sale",Bittrex!E61,IF(AND(Bittrex!C61="Trade",'Bittrex Data'!C61="Limit_Sell"),Bittrex!E61,IF(AND(Bittrex!C61="Trade",'Bittrex Data'!C61="Limit_Buy"),Bittrex!D61,"")))))</f>
        <v/>
      </c>
      <c r="I61" t="str">
        <f>IF('Bittrex Data'!C61="","",IF(Bittrex!C61="Buy",F61,IF(C61="Sale",Bittrex!G61,IF(AND(C61="Trade",'Bittrex Data'!C61="Limit_Sell"),Bittrex!G61,IF(AND(Bittrex!C61="Trade",'Bittrex Data'!C61="Limit_Buy"),F61,"")))))</f>
        <v/>
      </c>
      <c r="J61" t="str">
        <f>IF('Bittrex Data'!B61="","",IF('Bittrex Data'!B61="","",IF(Bittrex!H61=Bittrex!E61,D61,Bittrex!E61)))</f>
        <v/>
      </c>
      <c r="K61" t="str">
        <f>IF('Bittrex Data'!B61="","",IF(Bittrex!I61=Bittrex!G61,Bittrex!F61,Bittrex!G61))</f>
        <v/>
      </c>
    </row>
    <row r="62" spans="3:11" x14ac:dyDescent="0.2">
      <c r="C62" t="str">
        <f>IF('Bittrex Data'!A62="","",IF(AND('Bittrex Data'!C62="LIMIT_SELL",Bittrex!D62="USD"),"Sale",IF(AND('Bittrex Data'!C62="LIMIT_BUY",Bittrex!D62="USD"),"Buy","Trade")))</f>
        <v/>
      </c>
      <c r="D62" t="str">
        <f>IF('Bittrex Data'!B62="","",LEFT(LEFT('Bittrex Data'!B62,SEARCH("-",'Bittrex Data'!B62,1)),LEN(LEFT('Bittrex Data'!B62,SEARCH("-",'Bittrex Data'!B62,1)))-1))</f>
        <v/>
      </c>
      <c r="E62" t="str">
        <f>IF('Bittrex Data'!B62="","",RIGHT(RIGHT('Bittrex Data'!B62,LEN('Bittrex Data'!B62)-SEARCH("-",'Bittrex Data'!B62,1)+1),LEN(RIGHT('Bittrex Data'!B62,LEN('Bittrex Data'!B62)-SEARCH("-",'Bittrex Data'!B62,1)+1))-1))</f>
        <v/>
      </c>
      <c r="F62" t="str">
        <f>IF('Bittrex Data'!C62="","",IF('Bittrex Data'!C62="Limit_Sell",'Bittrex Data'!G62-'Bittrex Data'!F62,IF('Bittrex Data'!C62="Limit_Buy",'Bittrex Data'!G62+'Bittrex Data'!F62,"")))</f>
        <v/>
      </c>
      <c r="G62" t="str">
        <f>IF('Bittrex Data'!B62="","",'Bittrex Data'!D62)</f>
        <v/>
      </c>
      <c r="H62" t="str">
        <f>IF('Bittrex Data'!C62="","",IF(Bittrex!C62="Buy",Bittrex!D62,IF(Bittrex!C62="Sale",Bittrex!E62,IF(AND(Bittrex!C62="Trade",'Bittrex Data'!C62="Limit_Sell"),Bittrex!E62,IF(AND(Bittrex!C62="Trade",'Bittrex Data'!C62="Limit_Buy"),Bittrex!D62,"")))))</f>
        <v/>
      </c>
      <c r="I62" t="str">
        <f>IF('Bittrex Data'!C62="","",IF(Bittrex!C62="Buy",F62,IF(C62="Sale",Bittrex!G62,IF(AND(C62="Trade",'Bittrex Data'!C62="Limit_Sell"),Bittrex!G62,IF(AND(Bittrex!C62="Trade",'Bittrex Data'!C62="Limit_Buy"),F62,"")))))</f>
        <v/>
      </c>
      <c r="J62" t="str">
        <f>IF('Bittrex Data'!B62="","",IF('Bittrex Data'!B62="","",IF(Bittrex!H62=Bittrex!E62,D62,Bittrex!E62)))</f>
        <v/>
      </c>
      <c r="K62" t="str">
        <f>IF('Bittrex Data'!B62="","",IF(Bittrex!I62=Bittrex!G62,Bittrex!F62,Bittrex!G62))</f>
        <v/>
      </c>
    </row>
    <row r="63" spans="3:11" x14ac:dyDescent="0.2">
      <c r="C63" t="str">
        <f>IF('Bittrex Data'!A63="","",IF(AND('Bittrex Data'!C63="LIMIT_SELL",Bittrex!D63="USD"),"Sale",IF(AND('Bittrex Data'!C63="LIMIT_BUY",Bittrex!D63="USD"),"Buy","Trade")))</f>
        <v/>
      </c>
      <c r="D63" t="str">
        <f>IF('Bittrex Data'!B63="","",LEFT(LEFT('Bittrex Data'!B63,SEARCH("-",'Bittrex Data'!B63,1)),LEN(LEFT('Bittrex Data'!B63,SEARCH("-",'Bittrex Data'!B63,1)))-1))</f>
        <v/>
      </c>
      <c r="E63" t="str">
        <f>IF('Bittrex Data'!B63="","",RIGHT(RIGHT('Bittrex Data'!B63,LEN('Bittrex Data'!B63)-SEARCH("-",'Bittrex Data'!B63,1)+1),LEN(RIGHT('Bittrex Data'!B63,LEN('Bittrex Data'!B63)-SEARCH("-",'Bittrex Data'!B63,1)+1))-1))</f>
        <v/>
      </c>
      <c r="F63" t="str">
        <f>IF('Bittrex Data'!C63="","",IF('Bittrex Data'!C63="Limit_Sell",'Bittrex Data'!G63-'Bittrex Data'!F63,IF('Bittrex Data'!C63="Limit_Buy",'Bittrex Data'!G63+'Bittrex Data'!F63,"")))</f>
        <v/>
      </c>
      <c r="G63" t="str">
        <f>IF('Bittrex Data'!B63="","",'Bittrex Data'!D63)</f>
        <v/>
      </c>
      <c r="H63" t="str">
        <f>IF('Bittrex Data'!C63="","",IF(Bittrex!C63="Buy",Bittrex!D63,IF(Bittrex!C63="Sale",Bittrex!E63,IF(AND(Bittrex!C63="Trade",'Bittrex Data'!C63="Limit_Sell"),Bittrex!E63,IF(AND(Bittrex!C63="Trade",'Bittrex Data'!C63="Limit_Buy"),Bittrex!D63,"")))))</f>
        <v/>
      </c>
      <c r="I63" t="str">
        <f>IF('Bittrex Data'!C63="","",IF(Bittrex!C63="Buy",F63,IF(C63="Sale",Bittrex!G63,IF(AND(C63="Trade",'Bittrex Data'!C63="Limit_Sell"),Bittrex!G63,IF(AND(Bittrex!C63="Trade",'Bittrex Data'!C63="Limit_Buy"),F63,"")))))</f>
        <v/>
      </c>
      <c r="J63" t="str">
        <f>IF('Bittrex Data'!B63="","",IF('Bittrex Data'!B63="","",IF(Bittrex!H63=Bittrex!E63,D63,Bittrex!E63)))</f>
        <v/>
      </c>
      <c r="K63" t="str">
        <f>IF('Bittrex Data'!B63="","",IF(Bittrex!I63=Bittrex!G63,Bittrex!F63,Bittrex!G63))</f>
        <v/>
      </c>
    </row>
    <row r="64" spans="3:11" x14ac:dyDescent="0.2">
      <c r="C64" t="str">
        <f>IF('Bittrex Data'!A64="","",IF(AND('Bittrex Data'!C64="LIMIT_SELL",Bittrex!D64="USD"),"Sale",IF(AND('Bittrex Data'!C64="LIMIT_BUY",Bittrex!D64="USD"),"Buy","Trade")))</f>
        <v/>
      </c>
      <c r="D64" t="str">
        <f>IF('Bittrex Data'!B64="","",LEFT(LEFT('Bittrex Data'!B64,SEARCH("-",'Bittrex Data'!B64,1)),LEN(LEFT('Bittrex Data'!B64,SEARCH("-",'Bittrex Data'!B64,1)))-1))</f>
        <v/>
      </c>
      <c r="E64" t="str">
        <f>IF('Bittrex Data'!B64="","",RIGHT(RIGHT('Bittrex Data'!B64,LEN('Bittrex Data'!B64)-SEARCH("-",'Bittrex Data'!B64,1)+1),LEN(RIGHT('Bittrex Data'!B64,LEN('Bittrex Data'!B64)-SEARCH("-",'Bittrex Data'!B64,1)+1))-1))</f>
        <v/>
      </c>
      <c r="F64" t="str">
        <f>IF('Bittrex Data'!C64="","",IF('Bittrex Data'!C64="Limit_Sell",'Bittrex Data'!G64-'Bittrex Data'!F64,IF('Bittrex Data'!C64="Limit_Buy",'Bittrex Data'!G64+'Bittrex Data'!F64,"")))</f>
        <v/>
      </c>
      <c r="G64" t="str">
        <f>IF('Bittrex Data'!B64="","",'Bittrex Data'!D64)</f>
        <v/>
      </c>
      <c r="H64" t="str">
        <f>IF('Bittrex Data'!C64="","",IF(Bittrex!C64="Buy",Bittrex!D64,IF(Bittrex!C64="Sale",Bittrex!E64,IF(AND(Bittrex!C64="Trade",'Bittrex Data'!C64="Limit_Sell"),Bittrex!E64,IF(AND(Bittrex!C64="Trade",'Bittrex Data'!C64="Limit_Buy"),Bittrex!D64,"")))))</f>
        <v/>
      </c>
      <c r="I64" t="str">
        <f>IF('Bittrex Data'!C64="","",IF(Bittrex!C64="Buy",F64,IF(C64="Sale",Bittrex!G64,IF(AND(C64="Trade",'Bittrex Data'!C64="Limit_Sell"),Bittrex!G64,IF(AND(Bittrex!C64="Trade",'Bittrex Data'!C64="Limit_Buy"),F64,"")))))</f>
        <v/>
      </c>
      <c r="J64" t="str">
        <f>IF('Bittrex Data'!B64="","",IF('Bittrex Data'!B64="","",IF(Bittrex!H64=Bittrex!E64,D64,Bittrex!E64)))</f>
        <v/>
      </c>
      <c r="K64" t="str">
        <f>IF('Bittrex Data'!B64="","",IF(Bittrex!I64=Bittrex!G64,Bittrex!F64,Bittrex!G64))</f>
        <v/>
      </c>
    </row>
    <row r="65" spans="3:11" x14ac:dyDescent="0.2">
      <c r="C65" t="str">
        <f>IF('Bittrex Data'!A65="","",IF(AND('Bittrex Data'!C65="LIMIT_SELL",Bittrex!D65="USD"),"Sale",IF(AND('Bittrex Data'!C65="LIMIT_BUY",Bittrex!D65="USD"),"Buy","Trade")))</f>
        <v/>
      </c>
      <c r="D65" t="str">
        <f>IF('Bittrex Data'!B65="","",LEFT(LEFT('Bittrex Data'!B65,SEARCH("-",'Bittrex Data'!B65,1)),LEN(LEFT('Bittrex Data'!B65,SEARCH("-",'Bittrex Data'!B65,1)))-1))</f>
        <v/>
      </c>
      <c r="E65" t="str">
        <f>IF('Bittrex Data'!B65="","",RIGHT(RIGHT('Bittrex Data'!B65,LEN('Bittrex Data'!B65)-SEARCH("-",'Bittrex Data'!B65,1)+1),LEN(RIGHT('Bittrex Data'!B65,LEN('Bittrex Data'!B65)-SEARCH("-",'Bittrex Data'!B65,1)+1))-1))</f>
        <v/>
      </c>
      <c r="F65" t="str">
        <f>IF('Bittrex Data'!C65="","",IF('Bittrex Data'!C65="Limit_Sell",'Bittrex Data'!G65-'Bittrex Data'!F65,IF('Bittrex Data'!C65="Limit_Buy",'Bittrex Data'!G65+'Bittrex Data'!F65,"")))</f>
        <v/>
      </c>
      <c r="G65" t="str">
        <f>IF('Bittrex Data'!B65="","",'Bittrex Data'!D65)</f>
        <v/>
      </c>
      <c r="H65" t="str">
        <f>IF('Bittrex Data'!C65="","",IF(Bittrex!C65="Buy",Bittrex!D65,IF(Bittrex!C65="Sale",Bittrex!E65,IF(AND(Bittrex!C65="Trade",'Bittrex Data'!C65="Limit_Sell"),Bittrex!E65,IF(AND(Bittrex!C65="Trade",'Bittrex Data'!C65="Limit_Buy"),Bittrex!D65,"")))))</f>
        <v/>
      </c>
      <c r="I65" t="str">
        <f>IF('Bittrex Data'!C65="","",IF(Bittrex!C65="Buy",F65,IF(C65="Sale",Bittrex!G65,IF(AND(C65="Trade",'Bittrex Data'!C65="Limit_Sell"),Bittrex!G65,IF(AND(Bittrex!C65="Trade",'Bittrex Data'!C65="Limit_Buy"),F65,"")))))</f>
        <v/>
      </c>
      <c r="J65" t="str">
        <f>IF('Bittrex Data'!B65="","",IF('Bittrex Data'!B65="","",IF(Bittrex!H65=Bittrex!E65,D65,Bittrex!E65)))</f>
        <v/>
      </c>
      <c r="K65" t="str">
        <f>IF('Bittrex Data'!B65="","",IF(Bittrex!I65=Bittrex!G65,Bittrex!F65,Bittrex!G65))</f>
        <v/>
      </c>
    </row>
    <row r="66" spans="3:11" x14ac:dyDescent="0.2">
      <c r="C66" t="str">
        <f>IF('Bittrex Data'!A66="","",IF(AND('Bittrex Data'!C66="LIMIT_SELL",Bittrex!D66="USD"),"Sale",IF(AND('Bittrex Data'!C66="LIMIT_BUY",Bittrex!D66="USD"),"Buy","Trade")))</f>
        <v/>
      </c>
      <c r="D66" t="str">
        <f>IF('Bittrex Data'!B66="","",LEFT(LEFT('Bittrex Data'!B66,SEARCH("-",'Bittrex Data'!B66,1)),LEN(LEFT('Bittrex Data'!B66,SEARCH("-",'Bittrex Data'!B66,1)))-1))</f>
        <v/>
      </c>
      <c r="E66" t="str">
        <f>IF('Bittrex Data'!B66="","",RIGHT(RIGHT('Bittrex Data'!B66,LEN('Bittrex Data'!B66)-SEARCH("-",'Bittrex Data'!B66,1)+1),LEN(RIGHT('Bittrex Data'!B66,LEN('Bittrex Data'!B66)-SEARCH("-",'Bittrex Data'!B66,1)+1))-1))</f>
        <v/>
      </c>
      <c r="F66" t="str">
        <f>IF('Bittrex Data'!C66="","",IF('Bittrex Data'!C66="Limit_Sell",'Bittrex Data'!G66-'Bittrex Data'!F66,IF('Bittrex Data'!C66="Limit_Buy",'Bittrex Data'!G66+'Bittrex Data'!F66,"")))</f>
        <v/>
      </c>
      <c r="G66" t="str">
        <f>IF('Bittrex Data'!B66="","",'Bittrex Data'!D66)</f>
        <v/>
      </c>
      <c r="H66" t="str">
        <f>IF('Bittrex Data'!C66="","",IF(Bittrex!C66="Buy",Bittrex!D66,IF(Bittrex!C66="Sale",Bittrex!E66,IF(AND(Bittrex!C66="Trade",'Bittrex Data'!C66="Limit_Sell"),Bittrex!E66,IF(AND(Bittrex!C66="Trade",'Bittrex Data'!C66="Limit_Buy"),Bittrex!D66,"")))))</f>
        <v/>
      </c>
      <c r="I66" t="str">
        <f>IF('Bittrex Data'!C66="","",IF(Bittrex!C66="Buy",F66,IF(C66="Sale",Bittrex!G66,IF(AND(C66="Trade",'Bittrex Data'!C66="Limit_Sell"),Bittrex!G66,IF(AND(Bittrex!C66="Trade",'Bittrex Data'!C66="Limit_Buy"),F66,"")))))</f>
        <v/>
      </c>
      <c r="J66" t="str">
        <f>IF('Bittrex Data'!B66="","",IF('Bittrex Data'!B66="","",IF(Bittrex!H66=Bittrex!E66,D66,Bittrex!E66)))</f>
        <v/>
      </c>
      <c r="K66" t="str">
        <f>IF('Bittrex Data'!B66="","",IF(Bittrex!I66=Bittrex!G66,Bittrex!F66,Bittrex!G66))</f>
        <v/>
      </c>
    </row>
    <row r="67" spans="3:11" x14ac:dyDescent="0.2">
      <c r="C67" t="str">
        <f>IF('Bittrex Data'!A67="","",IF(AND('Bittrex Data'!C67="LIMIT_SELL",Bittrex!D67="USD"),"Sale",IF(AND('Bittrex Data'!C67="LIMIT_BUY",Bittrex!D67="USD"),"Buy","Trade")))</f>
        <v/>
      </c>
      <c r="D67" t="str">
        <f>IF('Bittrex Data'!B67="","",LEFT(LEFT('Bittrex Data'!B67,SEARCH("-",'Bittrex Data'!B67,1)),LEN(LEFT('Bittrex Data'!B67,SEARCH("-",'Bittrex Data'!B67,1)))-1))</f>
        <v/>
      </c>
      <c r="E67" t="str">
        <f>IF('Bittrex Data'!B67="","",RIGHT(RIGHT('Bittrex Data'!B67,LEN('Bittrex Data'!B67)-SEARCH("-",'Bittrex Data'!B67,1)+1),LEN(RIGHT('Bittrex Data'!B67,LEN('Bittrex Data'!B67)-SEARCH("-",'Bittrex Data'!B67,1)+1))-1))</f>
        <v/>
      </c>
      <c r="F67" t="str">
        <f>IF('Bittrex Data'!C67="","",IF('Bittrex Data'!C67="Limit_Sell",'Bittrex Data'!G67-'Bittrex Data'!F67,IF('Bittrex Data'!C67="Limit_Buy",'Bittrex Data'!G67+'Bittrex Data'!F67,"")))</f>
        <v/>
      </c>
      <c r="G67" t="str">
        <f>IF('Bittrex Data'!B67="","",'Bittrex Data'!D67)</f>
        <v/>
      </c>
      <c r="H67" t="str">
        <f>IF('Bittrex Data'!C67="","",IF(Bittrex!C67="Buy",Bittrex!D67,IF(Bittrex!C67="Sale",Bittrex!E67,IF(AND(Bittrex!C67="Trade",'Bittrex Data'!C67="Limit_Sell"),Bittrex!E67,IF(AND(Bittrex!C67="Trade",'Bittrex Data'!C67="Limit_Buy"),Bittrex!D67,"")))))</f>
        <v/>
      </c>
      <c r="I67" t="str">
        <f>IF('Bittrex Data'!C67="","",IF(Bittrex!C67="Buy",F67,IF(C67="Sale",Bittrex!G67,IF(AND(C67="Trade",'Bittrex Data'!C67="Limit_Sell"),Bittrex!G67,IF(AND(Bittrex!C67="Trade",'Bittrex Data'!C67="Limit_Buy"),F67,"")))))</f>
        <v/>
      </c>
      <c r="J67" t="str">
        <f>IF('Bittrex Data'!B67="","",IF('Bittrex Data'!B67="","",IF(Bittrex!H67=Bittrex!E67,D67,Bittrex!E67)))</f>
        <v/>
      </c>
      <c r="K67" t="str">
        <f>IF('Bittrex Data'!B67="","",IF(Bittrex!I67=Bittrex!G67,Bittrex!F67,Bittrex!G67))</f>
        <v/>
      </c>
    </row>
    <row r="68" spans="3:11" x14ac:dyDescent="0.2">
      <c r="C68" t="str">
        <f>IF('Bittrex Data'!A68="","",IF(AND('Bittrex Data'!C68="LIMIT_SELL",Bittrex!D68="USD"),"Sale",IF(AND('Bittrex Data'!C68="LIMIT_BUY",Bittrex!D68="USD"),"Buy","Trade")))</f>
        <v/>
      </c>
      <c r="D68" t="str">
        <f>IF('Bittrex Data'!B68="","",LEFT(LEFT('Bittrex Data'!B68,SEARCH("-",'Bittrex Data'!B68,1)),LEN(LEFT('Bittrex Data'!B68,SEARCH("-",'Bittrex Data'!B68,1)))-1))</f>
        <v/>
      </c>
      <c r="E68" t="str">
        <f>IF('Bittrex Data'!B68="","",RIGHT(RIGHT('Bittrex Data'!B68,LEN('Bittrex Data'!B68)-SEARCH("-",'Bittrex Data'!B68,1)+1),LEN(RIGHT('Bittrex Data'!B68,LEN('Bittrex Data'!B68)-SEARCH("-",'Bittrex Data'!B68,1)+1))-1))</f>
        <v/>
      </c>
      <c r="F68" t="str">
        <f>IF('Bittrex Data'!C68="","",IF('Bittrex Data'!C68="Limit_Sell",'Bittrex Data'!G68-'Bittrex Data'!F68,IF('Bittrex Data'!C68="Limit_Buy",'Bittrex Data'!G68+'Bittrex Data'!F68,"")))</f>
        <v/>
      </c>
      <c r="G68" t="str">
        <f>IF('Bittrex Data'!B68="","",'Bittrex Data'!D68)</f>
        <v/>
      </c>
      <c r="H68" t="str">
        <f>IF('Bittrex Data'!C68="","",IF(Bittrex!C68="Buy",Bittrex!D68,IF(Bittrex!C68="Sale",Bittrex!E68,IF(AND(Bittrex!C68="Trade",'Bittrex Data'!C68="Limit_Sell"),Bittrex!E68,IF(AND(Bittrex!C68="Trade",'Bittrex Data'!C68="Limit_Buy"),Bittrex!D68,"")))))</f>
        <v/>
      </c>
      <c r="I68" t="str">
        <f>IF('Bittrex Data'!C68="","",IF(Bittrex!C68="Buy",F68,IF(C68="Sale",Bittrex!G68,IF(AND(C68="Trade",'Bittrex Data'!C68="Limit_Sell"),Bittrex!G68,IF(AND(Bittrex!C68="Trade",'Bittrex Data'!C68="Limit_Buy"),F68,"")))))</f>
        <v/>
      </c>
      <c r="J68" t="str">
        <f>IF('Bittrex Data'!B68="","",IF('Bittrex Data'!B68="","",IF(Bittrex!H68=Bittrex!E68,D68,Bittrex!E68)))</f>
        <v/>
      </c>
      <c r="K68" t="str">
        <f>IF('Bittrex Data'!B68="","",IF(Bittrex!I68=Bittrex!G68,Bittrex!F68,Bittrex!G68))</f>
        <v/>
      </c>
    </row>
    <row r="69" spans="3:11" x14ac:dyDescent="0.2">
      <c r="C69" t="str">
        <f>IF('Bittrex Data'!A69="","",IF(AND('Bittrex Data'!C69="LIMIT_SELL",Bittrex!D69="USD"),"Sale",IF(AND('Bittrex Data'!C69="LIMIT_BUY",Bittrex!D69="USD"),"Buy","Trade")))</f>
        <v/>
      </c>
      <c r="D69" t="str">
        <f>IF('Bittrex Data'!B69="","",LEFT(LEFT('Bittrex Data'!B69,SEARCH("-",'Bittrex Data'!B69,1)),LEN(LEFT('Bittrex Data'!B69,SEARCH("-",'Bittrex Data'!B69,1)))-1))</f>
        <v/>
      </c>
      <c r="E69" t="str">
        <f>IF('Bittrex Data'!B69="","",RIGHT(RIGHT('Bittrex Data'!B69,LEN('Bittrex Data'!B69)-SEARCH("-",'Bittrex Data'!B69,1)+1),LEN(RIGHT('Bittrex Data'!B69,LEN('Bittrex Data'!B69)-SEARCH("-",'Bittrex Data'!B69,1)+1))-1))</f>
        <v/>
      </c>
      <c r="F69" t="str">
        <f>IF('Bittrex Data'!C69="","",IF('Bittrex Data'!C69="Limit_Sell",'Bittrex Data'!G69-'Bittrex Data'!F69,IF('Bittrex Data'!C69="Limit_Buy",'Bittrex Data'!G69+'Bittrex Data'!F69,"")))</f>
        <v/>
      </c>
      <c r="G69" t="str">
        <f>IF('Bittrex Data'!B69="","",'Bittrex Data'!D69)</f>
        <v/>
      </c>
      <c r="H69" t="str">
        <f>IF('Bittrex Data'!C69="","",IF(Bittrex!C69="Buy",Bittrex!D69,IF(Bittrex!C69="Sale",Bittrex!E69,IF(AND(Bittrex!C69="Trade",'Bittrex Data'!C69="Limit_Sell"),Bittrex!E69,IF(AND(Bittrex!C69="Trade",'Bittrex Data'!C69="Limit_Buy"),Bittrex!D69,"")))))</f>
        <v/>
      </c>
      <c r="I69" t="str">
        <f>IF('Bittrex Data'!C69="","",IF(Bittrex!C69="Buy",F69,IF(C69="Sale",Bittrex!G69,IF(AND(C69="Trade",'Bittrex Data'!C69="Limit_Sell"),Bittrex!G69,IF(AND(Bittrex!C69="Trade",'Bittrex Data'!C69="Limit_Buy"),F69,"")))))</f>
        <v/>
      </c>
      <c r="J69" t="str">
        <f>IF('Bittrex Data'!B69="","",IF('Bittrex Data'!B69="","",IF(Bittrex!H69=Bittrex!E69,D69,Bittrex!E69)))</f>
        <v/>
      </c>
      <c r="K69" t="str">
        <f>IF('Bittrex Data'!B69="","",IF(Bittrex!I69=Bittrex!G69,Bittrex!F69,Bittrex!G69))</f>
        <v/>
      </c>
    </row>
    <row r="70" spans="3:11" x14ac:dyDescent="0.2">
      <c r="C70" t="str">
        <f>IF('Bittrex Data'!A70="","",IF(AND('Bittrex Data'!C70="LIMIT_SELL",Bittrex!D70="USD"),"Sale",IF(AND('Bittrex Data'!C70="LIMIT_BUY",Bittrex!D70="USD"),"Buy","Trade")))</f>
        <v/>
      </c>
      <c r="D70" t="str">
        <f>IF('Bittrex Data'!B70="","",LEFT(LEFT('Bittrex Data'!B70,SEARCH("-",'Bittrex Data'!B70,1)),LEN(LEFT('Bittrex Data'!B70,SEARCH("-",'Bittrex Data'!B70,1)))-1))</f>
        <v/>
      </c>
      <c r="E70" t="str">
        <f>IF('Bittrex Data'!B70="","",RIGHT(RIGHT('Bittrex Data'!B70,LEN('Bittrex Data'!B70)-SEARCH("-",'Bittrex Data'!B70,1)+1),LEN(RIGHT('Bittrex Data'!B70,LEN('Bittrex Data'!B70)-SEARCH("-",'Bittrex Data'!B70,1)+1))-1))</f>
        <v/>
      </c>
      <c r="F70" t="str">
        <f>IF('Bittrex Data'!C70="","",IF('Bittrex Data'!C70="Limit_Sell",'Bittrex Data'!G70-'Bittrex Data'!F70,IF('Bittrex Data'!C70="Limit_Buy",'Bittrex Data'!G70+'Bittrex Data'!F70,"")))</f>
        <v/>
      </c>
      <c r="G70" t="str">
        <f>IF('Bittrex Data'!B70="","",'Bittrex Data'!D70)</f>
        <v/>
      </c>
      <c r="H70" t="str">
        <f>IF('Bittrex Data'!C70="","",IF(Bittrex!C70="Buy",Bittrex!D70,IF(Bittrex!C70="Sale",Bittrex!E70,IF(AND(Bittrex!C70="Trade",'Bittrex Data'!C70="Limit_Sell"),Bittrex!E70,IF(AND(Bittrex!C70="Trade",'Bittrex Data'!C70="Limit_Buy"),Bittrex!D70,"")))))</f>
        <v/>
      </c>
      <c r="I70" t="str">
        <f>IF('Bittrex Data'!C70="","",IF(Bittrex!C70="Buy",F70,IF(C70="Sale",Bittrex!G70,IF(AND(C70="Trade",'Bittrex Data'!C70="Limit_Sell"),Bittrex!G70,IF(AND(Bittrex!C70="Trade",'Bittrex Data'!C70="Limit_Buy"),F70,"")))))</f>
        <v/>
      </c>
      <c r="J70" t="str">
        <f>IF('Bittrex Data'!B70="","",IF('Bittrex Data'!B70="","",IF(Bittrex!H70=Bittrex!E70,D70,Bittrex!E70)))</f>
        <v/>
      </c>
      <c r="K70" t="str">
        <f>IF('Bittrex Data'!B70="","",IF(Bittrex!I70=Bittrex!G70,Bittrex!F70,Bittrex!G70))</f>
        <v/>
      </c>
    </row>
    <row r="71" spans="3:11" x14ac:dyDescent="0.2">
      <c r="C71" t="str">
        <f>IF('Bittrex Data'!A71="","",IF(AND('Bittrex Data'!C71="LIMIT_SELL",Bittrex!D71="USD"),"Sale",IF(AND('Bittrex Data'!C71="LIMIT_BUY",Bittrex!D71="USD"),"Buy","Trade")))</f>
        <v/>
      </c>
      <c r="D71" t="str">
        <f>IF('Bittrex Data'!B71="","",LEFT(LEFT('Bittrex Data'!B71,SEARCH("-",'Bittrex Data'!B71,1)),LEN(LEFT('Bittrex Data'!B71,SEARCH("-",'Bittrex Data'!B71,1)))-1))</f>
        <v/>
      </c>
      <c r="E71" t="str">
        <f>IF('Bittrex Data'!B71="","",RIGHT(RIGHT('Bittrex Data'!B71,LEN('Bittrex Data'!B71)-SEARCH("-",'Bittrex Data'!B71,1)+1),LEN(RIGHT('Bittrex Data'!B71,LEN('Bittrex Data'!B71)-SEARCH("-",'Bittrex Data'!B71,1)+1))-1))</f>
        <v/>
      </c>
      <c r="F71" t="str">
        <f>IF('Bittrex Data'!C71="","",IF('Bittrex Data'!C71="Limit_Sell",'Bittrex Data'!G71-'Bittrex Data'!F71,IF('Bittrex Data'!C71="Limit_Buy",'Bittrex Data'!G71+'Bittrex Data'!F71,"")))</f>
        <v/>
      </c>
      <c r="G71" t="str">
        <f>IF('Bittrex Data'!B71="","",'Bittrex Data'!D71)</f>
        <v/>
      </c>
      <c r="H71" t="str">
        <f>IF('Bittrex Data'!C71="","",IF(Bittrex!C71="Buy",Bittrex!D71,IF(Bittrex!C71="Sale",Bittrex!E71,IF(AND(Bittrex!C71="Trade",'Bittrex Data'!C71="Limit_Sell"),Bittrex!E71,IF(AND(Bittrex!C71="Trade",'Bittrex Data'!C71="Limit_Buy"),Bittrex!D71,"")))))</f>
        <v/>
      </c>
      <c r="I71" t="str">
        <f>IF('Bittrex Data'!C71="","",IF(Bittrex!C71="Buy",F71,IF(C71="Sale",Bittrex!G71,IF(AND(C71="Trade",'Bittrex Data'!C71="Limit_Sell"),Bittrex!G71,IF(AND(Bittrex!C71="Trade",'Bittrex Data'!C71="Limit_Buy"),F71,"")))))</f>
        <v/>
      </c>
      <c r="J71" t="str">
        <f>IF('Bittrex Data'!B71="","",IF('Bittrex Data'!B71="","",IF(Bittrex!H71=Bittrex!E71,D71,Bittrex!E71)))</f>
        <v/>
      </c>
      <c r="K71" t="str">
        <f>IF('Bittrex Data'!B71="","",IF(Bittrex!I71=Bittrex!G71,Bittrex!F71,Bittrex!G71))</f>
        <v/>
      </c>
    </row>
    <row r="72" spans="3:11" x14ac:dyDescent="0.2">
      <c r="C72" t="str">
        <f>IF('Bittrex Data'!A72="","",IF(AND('Bittrex Data'!C72="LIMIT_SELL",Bittrex!D72="USD"),"Sale",IF(AND('Bittrex Data'!C72="LIMIT_BUY",Bittrex!D72="USD"),"Buy","Trade")))</f>
        <v/>
      </c>
      <c r="D72" t="str">
        <f>IF('Bittrex Data'!B72="","",LEFT(LEFT('Bittrex Data'!B72,SEARCH("-",'Bittrex Data'!B72,1)),LEN(LEFT('Bittrex Data'!B72,SEARCH("-",'Bittrex Data'!B72,1)))-1))</f>
        <v/>
      </c>
      <c r="E72" t="str">
        <f>IF('Bittrex Data'!B72="","",RIGHT(RIGHT('Bittrex Data'!B72,LEN('Bittrex Data'!B72)-SEARCH("-",'Bittrex Data'!B72,1)+1),LEN(RIGHT('Bittrex Data'!B72,LEN('Bittrex Data'!B72)-SEARCH("-",'Bittrex Data'!B72,1)+1))-1))</f>
        <v/>
      </c>
      <c r="F72" t="str">
        <f>IF('Bittrex Data'!C72="","",IF('Bittrex Data'!C72="Limit_Sell",'Bittrex Data'!G72-'Bittrex Data'!F72,IF('Bittrex Data'!C72="Limit_Buy",'Bittrex Data'!G72+'Bittrex Data'!F72,"")))</f>
        <v/>
      </c>
      <c r="G72" t="str">
        <f>IF('Bittrex Data'!B72="","",'Bittrex Data'!D72)</f>
        <v/>
      </c>
      <c r="H72" t="str">
        <f>IF('Bittrex Data'!C72="","",IF(Bittrex!C72="Buy",Bittrex!D72,IF(Bittrex!C72="Sale",Bittrex!E72,IF(AND(Bittrex!C72="Trade",'Bittrex Data'!C72="Limit_Sell"),Bittrex!E72,IF(AND(Bittrex!C72="Trade",'Bittrex Data'!C72="Limit_Buy"),Bittrex!D72,"")))))</f>
        <v/>
      </c>
      <c r="I72" t="str">
        <f>IF('Bittrex Data'!C72="","",IF(Bittrex!C72="Buy",F72,IF(C72="Sale",Bittrex!G72,IF(AND(C72="Trade",'Bittrex Data'!C72="Limit_Sell"),Bittrex!G72,IF(AND(Bittrex!C72="Trade",'Bittrex Data'!C72="Limit_Buy"),F72,"")))))</f>
        <v/>
      </c>
      <c r="J72" t="str">
        <f>IF('Bittrex Data'!B72="","",IF('Bittrex Data'!B72="","",IF(Bittrex!H72=Bittrex!E72,D72,Bittrex!E72)))</f>
        <v/>
      </c>
      <c r="K72" t="str">
        <f>IF('Bittrex Data'!B72="","",IF(Bittrex!I72=Bittrex!G72,Bittrex!F72,Bittrex!G72))</f>
        <v/>
      </c>
    </row>
    <row r="73" spans="3:11" x14ac:dyDescent="0.2">
      <c r="C73" t="str">
        <f>IF('Bittrex Data'!A73="","",IF(AND('Bittrex Data'!C73="LIMIT_SELL",Bittrex!D73="USD"),"Sale",IF(AND('Bittrex Data'!C73="LIMIT_BUY",Bittrex!D73="USD"),"Buy","Trade")))</f>
        <v/>
      </c>
      <c r="D73" t="str">
        <f>IF('Bittrex Data'!B73="","",LEFT(LEFT('Bittrex Data'!B73,SEARCH("-",'Bittrex Data'!B73,1)),LEN(LEFT('Bittrex Data'!B73,SEARCH("-",'Bittrex Data'!B73,1)))-1))</f>
        <v/>
      </c>
      <c r="E73" t="str">
        <f>IF('Bittrex Data'!B73="","",RIGHT(RIGHT('Bittrex Data'!B73,LEN('Bittrex Data'!B73)-SEARCH("-",'Bittrex Data'!B73,1)+1),LEN(RIGHT('Bittrex Data'!B73,LEN('Bittrex Data'!B73)-SEARCH("-",'Bittrex Data'!B73,1)+1))-1))</f>
        <v/>
      </c>
      <c r="F73" t="str">
        <f>IF('Bittrex Data'!C73="","",IF('Bittrex Data'!C73="Limit_Sell",'Bittrex Data'!G73-'Bittrex Data'!F73,IF('Bittrex Data'!C73="Limit_Buy",'Bittrex Data'!G73+'Bittrex Data'!F73,"")))</f>
        <v/>
      </c>
      <c r="G73" t="str">
        <f>IF('Bittrex Data'!B73="","",'Bittrex Data'!D73)</f>
        <v/>
      </c>
      <c r="H73" t="str">
        <f>IF('Bittrex Data'!C73="","",IF(Bittrex!C73="Buy",Bittrex!D73,IF(Bittrex!C73="Sale",Bittrex!E73,IF(AND(Bittrex!C73="Trade",'Bittrex Data'!C73="Limit_Sell"),Bittrex!E73,IF(AND(Bittrex!C73="Trade",'Bittrex Data'!C73="Limit_Buy"),Bittrex!D73,"")))))</f>
        <v/>
      </c>
      <c r="I73" t="str">
        <f>IF('Bittrex Data'!C73="","",IF(Bittrex!C73="Buy",F73,IF(C73="Sale",Bittrex!G73,IF(AND(C73="Trade",'Bittrex Data'!C73="Limit_Sell"),Bittrex!G73,IF(AND(Bittrex!C73="Trade",'Bittrex Data'!C73="Limit_Buy"),F73,"")))))</f>
        <v/>
      </c>
      <c r="J73" t="str">
        <f>IF('Bittrex Data'!B73="","",IF('Bittrex Data'!B73="","",IF(Bittrex!H73=Bittrex!E73,D73,Bittrex!E73)))</f>
        <v/>
      </c>
      <c r="K73" t="str">
        <f>IF('Bittrex Data'!B73="","",IF(Bittrex!I73=Bittrex!G73,Bittrex!F73,Bittrex!G73))</f>
        <v/>
      </c>
    </row>
    <row r="74" spans="3:11" x14ac:dyDescent="0.2">
      <c r="C74" t="str">
        <f>IF('Bittrex Data'!A74="","",IF(AND('Bittrex Data'!C74="LIMIT_SELL",Bittrex!D74="USD"),"Sale",IF(AND('Bittrex Data'!C74="LIMIT_BUY",Bittrex!D74="USD"),"Buy","Trade")))</f>
        <v/>
      </c>
      <c r="D74" t="str">
        <f>IF('Bittrex Data'!B74="","",LEFT(LEFT('Bittrex Data'!B74,SEARCH("-",'Bittrex Data'!B74,1)),LEN(LEFT('Bittrex Data'!B74,SEARCH("-",'Bittrex Data'!B74,1)))-1))</f>
        <v/>
      </c>
      <c r="E74" t="str">
        <f>IF('Bittrex Data'!B74="","",RIGHT(RIGHT('Bittrex Data'!B74,LEN('Bittrex Data'!B74)-SEARCH("-",'Bittrex Data'!B74,1)+1),LEN(RIGHT('Bittrex Data'!B74,LEN('Bittrex Data'!B74)-SEARCH("-",'Bittrex Data'!B74,1)+1))-1))</f>
        <v/>
      </c>
      <c r="F74" t="str">
        <f>IF('Bittrex Data'!C74="","",IF('Bittrex Data'!C74="Limit_Sell",'Bittrex Data'!G74-'Bittrex Data'!F74,IF('Bittrex Data'!C74="Limit_Buy",'Bittrex Data'!G74+'Bittrex Data'!F74,"")))</f>
        <v/>
      </c>
      <c r="G74" t="str">
        <f>IF('Bittrex Data'!B74="","",'Bittrex Data'!D74)</f>
        <v/>
      </c>
      <c r="H74" t="str">
        <f>IF('Bittrex Data'!C74="","",IF(Bittrex!C74="Buy",Bittrex!D74,IF(Bittrex!C74="Sale",Bittrex!E74,IF(AND(Bittrex!C74="Trade",'Bittrex Data'!C74="Limit_Sell"),Bittrex!E74,IF(AND(Bittrex!C74="Trade",'Bittrex Data'!C74="Limit_Buy"),Bittrex!D74,"")))))</f>
        <v/>
      </c>
      <c r="I74" t="str">
        <f>IF('Bittrex Data'!C74="","",IF(Bittrex!C74="Buy",F74,IF(C74="Sale",Bittrex!G74,IF(AND(C74="Trade",'Bittrex Data'!C74="Limit_Sell"),Bittrex!G74,IF(AND(Bittrex!C74="Trade",'Bittrex Data'!C74="Limit_Buy"),F74,"")))))</f>
        <v/>
      </c>
      <c r="J74" t="str">
        <f>IF('Bittrex Data'!B74="","",IF('Bittrex Data'!B74="","",IF(Bittrex!H74=Bittrex!E74,D74,Bittrex!E74)))</f>
        <v/>
      </c>
      <c r="K74" t="str">
        <f>IF('Bittrex Data'!B74="","",IF(Bittrex!I74=Bittrex!G74,Bittrex!F74,Bittrex!G74))</f>
        <v/>
      </c>
    </row>
    <row r="75" spans="3:11" x14ac:dyDescent="0.2">
      <c r="C75" t="str">
        <f>IF('Bittrex Data'!A75="","",IF(AND('Bittrex Data'!C75="LIMIT_SELL",Bittrex!D75="USD"),"Sale",IF(AND('Bittrex Data'!C75="LIMIT_BUY",Bittrex!D75="USD"),"Buy","Trade")))</f>
        <v/>
      </c>
      <c r="D75" t="str">
        <f>IF('Bittrex Data'!B75="","",LEFT(LEFT('Bittrex Data'!B75,SEARCH("-",'Bittrex Data'!B75,1)),LEN(LEFT('Bittrex Data'!B75,SEARCH("-",'Bittrex Data'!B75,1)))-1))</f>
        <v/>
      </c>
      <c r="E75" t="str">
        <f>IF('Bittrex Data'!B75="","",RIGHT(RIGHT('Bittrex Data'!B75,LEN('Bittrex Data'!B75)-SEARCH("-",'Bittrex Data'!B75,1)+1),LEN(RIGHT('Bittrex Data'!B75,LEN('Bittrex Data'!B75)-SEARCH("-",'Bittrex Data'!B75,1)+1))-1))</f>
        <v/>
      </c>
      <c r="F75" t="str">
        <f>IF('Bittrex Data'!C75="","",IF('Bittrex Data'!C75="Limit_Sell",'Bittrex Data'!G75-'Bittrex Data'!F75,IF('Bittrex Data'!C75="Limit_Buy",'Bittrex Data'!G75+'Bittrex Data'!F75,"")))</f>
        <v/>
      </c>
      <c r="G75" t="str">
        <f>IF('Bittrex Data'!B75="","",'Bittrex Data'!D75)</f>
        <v/>
      </c>
      <c r="H75" t="str">
        <f>IF('Bittrex Data'!C75="","",IF(Bittrex!C75="Buy",Bittrex!D75,IF(Bittrex!C75="Sale",Bittrex!E75,IF(AND(Bittrex!C75="Trade",'Bittrex Data'!C75="Limit_Sell"),Bittrex!E75,IF(AND(Bittrex!C75="Trade",'Bittrex Data'!C75="Limit_Buy"),Bittrex!D75,"")))))</f>
        <v/>
      </c>
      <c r="I75" t="str">
        <f>IF('Bittrex Data'!C75="","",IF(Bittrex!C75="Buy",F75,IF(C75="Sale",Bittrex!G75,IF(AND(C75="Trade",'Bittrex Data'!C75="Limit_Sell"),Bittrex!G75,IF(AND(Bittrex!C75="Trade",'Bittrex Data'!C75="Limit_Buy"),F75,"")))))</f>
        <v/>
      </c>
      <c r="J75" t="str">
        <f>IF('Bittrex Data'!B75="","",IF('Bittrex Data'!B75="","",IF(Bittrex!H75=Bittrex!E75,D75,Bittrex!E75)))</f>
        <v/>
      </c>
      <c r="K75" t="str">
        <f>IF('Bittrex Data'!B75="","",IF(Bittrex!I75=Bittrex!G75,Bittrex!F75,Bittrex!G75))</f>
        <v/>
      </c>
    </row>
    <row r="76" spans="3:11" x14ac:dyDescent="0.2">
      <c r="C76" t="str">
        <f>IF('Bittrex Data'!A76="","",IF(AND('Bittrex Data'!C76="LIMIT_SELL",Bittrex!D76="USD"),"Sale",IF(AND('Bittrex Data'!C76="LIMIT_BUY",Bittrex!D76="USD"),"Buy","Trade")))</f>
        <v/>
      </c>
      <c r="D76" t="str">
        <f>IF('Bittrex Data'!B76="","",LEFT(LEFT('Bittrex Data'!B76,SEARCH("-",'Bittrex Data'!B76,1)),LEN(LEFT('Bittrex Data'!B76,SEARCH("-",'Bittrex Data'!B76,1)))-1))</f>
        <v/>
      </c>
      <c r="E76" t="str">
        <f>IF('Bittrex Data'!B76="","",RIGHT(RIGHT('Bittrex Data'!B76,LEN('Bittrex Data'!B76)-SEARCH("-",'Bittrex Data'!B76,1)+1),LEN(RIGHT('Bittrex Data'!B76,LEN('Bittrex Data'!B76)-SEARCH("-",'Bittrex Data'!B76,1)+1))-1))</f>
        <v/>
      </c>
      <c r="F76" t="str">
        <f>IF('Bittrex Data'!C76="","",IF('Bittrex Data'!C76="Limit_Sell",'Bittrex Data'!G76-'Bittrex Data'!F76,IF('Bittrex Data'!C76="Limit_Buy",'Bittrex Data'!G76+'Bittrex Data'!F76,"")))</f>
        <v/>
      </c>
      <c r="G76" t="str">
        <f>IF('Bittrex Data'!B76="","",'Bittrex Data'!D76)</f>
        <v/>
      </c>
      <c r="H76" t="str">
        <f>IF('Bittrex Data'!C76="","",IF(Bittrex!C76="Buy",Bittrex!D76,IF(Bittrex!C76="Sale",Bittrex!E76,IF(AND(Bittrex!C76="Trade",'Bittrex Data'!C76="Limit_Sell"),Bittrex!E76,IF(AND(Bittrex!C76="Trade",'Bittrex Data'!C76="Limit_Buy"),Bittrex!D76,"")))))</f>
        <v/>
      </c>
      <c r="I76" t="str">
        <f>IF('Bittrex Data'!C76="","",IF(Bittrex!C76="Buy",F76,IF(C76="Sale",Bittrex!G76,IF(AND(C76="Trade",'Bittrex Data'!C76="Limit_Sell"),Bittrex!G76,IF(AND(Bittrex!C76="Trade",'Bittrex Data'!C76="Limit_Buy"),F76,"")))))</f>
        <v/>
      </c>
      <c r="J76" t="str">
        <f>IF('Bittrex Data'!B76="","",IF('Bittrex Data'!B76="","",IF(Bittrex!H76=Bittrex!E76,D76,Bittrex!E76)))</f>
        <v/>
      </c>
      <c r="K76" t="str">
        <f>IF('Bittrex Data'!B76="","",IF(Bittrex!I76=Bittrex!G76,Bittrex!F76,Bittrex!G76))</f>
        <v/>
      </c>
    </row>
    <row r="77" spans="3:11" x14ac:dyDescent="0.2">
      <c r="C77" t="str">
        <f>IF('Bittrex Data'!A77="","",IF(AND('Bittrex Data'!C77="LIMIT_SELL",Bittrex!D77="USD"),"Sale",IF(AND('Bittrex Data'!C77="LIMIT_BUY",Bittrex!D77="USD"),"Buy","Trade")))</f>
        <v/>
      </c>
      <c r="D77" t="str">
        <f>IF('Bittrex Data'!B77="","",LEFT(LEFT('Bittrex Data'!B77,SEARCH("-",'Bittrex Data'!B77,1)),LEN(LEFT('Bittrex Data'!B77,SEARCH("-",'Bittrex Data'!B77,1)))-1))</f>
        <v/>
      </c>
      <c r="E77" t="str">
        <f>IF('Bittrex Data'!B77="","",RIGHT(RIGHT('Bittrex Data'!B77,LEN('Bittrex Data'!B77)-SEARCH("-",'Bittrex Data'!B77,1)+1),LEN(RIGHT('Bittrex Data'!B77,LEN('Bittrex Data'!B77)-SEARCH("-",'Bittrex Data'!B77,1)+1))-1))</f>
        <v/>
      </c>
      <c r="F77" t="str">
        <f>IF('Bittrex Data'!C77="","",IF('Bittrex Data'!C77="Limit_Sell",'Bittrex Data'!G77-'Bittrex Data'!F77,IF('Bittrex Data'!C77="Limit_Buy",'Bittrex Data'!G77+'Bittrex Data'!F77,"")))</f>
        <v/>
      </c>
      <c r="G77" t="str">
        <f>IF('Bittrex Data'!B77="","",'Bittrex Data'!D77)</f>
        <v/>
      </c>
      <c r="H77" t="str">
        <f>IF('Bittrex Data'!C77="","",IF(Bittrex!C77="Buy",Bittrex!D77,IF(Bittrex!C77="Sale",Bittrex!E77,IF(AND(Bittrex!C77="Trade",'Bittrex Data'!C77="Limit_Sell"),Bittrex!E77,IF(AND(Bittrex!C77="Trade",'Bittrex Data'!C77="Limit_Buy"),Bittrex!D77,"")))))</f>
        <v/>
      </c>
      <c r="I77" t="str">
        <f>IF('Bittrex Data'!C77="","",IF(Bittrex!C77="Buy",F77,IF(C77="Sale",Bittrex!G77,IF(AND(C77="Trade",'Bittrex Data'!C77="Limit_Sell"),Bittrex!G77,IF(AND(Bittrex!C77="Trade",'Bittrex Data'!C77="Limit_Buy"),F77,"")))))</f>
        <v/>
      </c>
      <c r="J77" t="str">
        <f>IF('Bittrex Data'!B77="","",IF('Bittrex Data'!B77="","",IF(Bittrex!H77=Bittrex!E77,D77,Bittrex!E77)))</f>
        <v/>
      </c>
      <c r="K77" t="str">
        <f>IF('Bittrex Data'!B77="","",IF(Bittrex!I77=Bittrex!G77,Bittrex!F77,Bittrex!G77))</f>
        <v/>
      </c>
    </row>
    <row r="78" spans="3:11" x14ac:dyDescent="0.2">
      <c r="C78" t="str">
        <f>IF('Bittrex Data'!A78="","",IF(AND('Bittrex Data'!C78="LIMIT_SELL",Bittrex!D78="USD"),"Sale",IF(AND('Bittrex Data'!C78="LIMIT_BUY",Bittrex!D78="USD"),"Buy","Trade")))</f>
        <v/>
      </c>
      <c r="D78" t="str">
        <f>IF('Bittrex Data'!B78="","",LEFT(LEFT('Bittrex Data'!B78,SEARCH("-",'Bittrex Data'!B78,1)),LEN(LEFT('Bittrex Data'!B78,SEARCH("-",'Bittrex Data'!B78,1)))-1))</f>
        <v/>
      </c>
      <c r="E78" t="str">
        <f>IF('Bittrex Data'!B78="","",RIGHT(RIGHT('Bittrex Data'!B78,LEN('Bittrex Data'!B78)-SEARCH("-",'Bittrex Data'!B78,1)+1),LEN(RIGHT('Bittrex Data'!B78,LEN('Bittrex Data'!B78)-SEARCH("-",'Bittrex Data'!B78,1)+1))-1))</f>
        <v/>
      </c>
      <c r="F78" t="str">
        <f>IF('Bittrex Data'!C78="","",IF('Bittrex Data'!C78="Limit_Sell",'Bittrex Data'!G78-'Bittrex Data'!F78,IF('Bittrex Data'!C78="Limit_Buy",'Bittrex Data'!G78+'Bittrex Data'!F78,"")))</f>
        <v/>
      </c>
      <c r="G78" t="str">
        <f>IF('Bittrex Data'!B78="","",'Bittrex Data'!D78)</f>
        <v/>
      </c>
      <c r="H78" t="str">
        <f>IF('Bittrex Data'!C78="","",IF(Bittrex!C78="Buy",Bittrex!D78,IF(Bittrex!C78="Sale",Bittrex!E78,IF(AND(Bittrex!C78="Trade",'Bittrex Data'!C78="Limit_Sell"),Bittrex!E78,IF(AND(Bittrex!C78="Trade",'Bittrex Data'!C78="Limit_Buy"),Bittrex!D78,"")))))</f>
        <v/>
      </c>
      <c r="I78" t="str">
        <f>IF('Bittrex Data'!C78="","",IF(Bittrex!C78="Buy",F78,IF(C78="Sale",Bittrex!G78,IF(AND(C78="Trade",'Bittrex Data'!C78="Limit_Sell"),Bittrex!G78,IF(AND(Bittrex!C78="Trade",'Bittrex Data'!C78="Limit_Buy"),F78,"")))))</f>
        <v/>
      </c>
      <c r="J78" t="str">
        <f>IF('Bittrex Data'!B78="","",IF('Bittrex Data'!B78="","",IF(Bittrex!H78=Bittrex!E78,D78,Bittrex!E78)))</f>
        <v/>
      </c>
      <c r="K78" t="str">
        <f>IF('Bittrex Data'!B78="","",IF(Bittrex!I78=Bittrex!G78,Bittrex!F78,Bittrex!G78))</f>
        <v/>
      </c>
    </row>
    <row r="79" spans="3:11" x14ac:dyDescent="0.2">
      <c r="C79" t="str">
        <f>IF('Bittrex Data'!A79="","",IF(AND('Bittrex Data'!C79="LIMIT_SELL",Bittrex!D79="USD"),"Sale",IF(AND('Bittrex Data'!C79="LIMIT_BUY",Bittrex!D79="USD"),"Buy","Trade")))</f>
        <v/>
      </c>
      <c r="D79" t="str">
        <f>IF('Bittrex Data'!B79="","",LEFT(LEFT('Bittrex Data'!B79,SEARCH("-",'Bittrex Data'!B79,1)),LEN(LEFT('Bittrex Data'!B79,SEARCH("-",'Bittrex Data'!B79,1)))-1))</f>
        <v/>
      </c>
      <c r="E79" t="str">
        <f>IF('Bittrex Data'!B79="","",RIGHT(RIGHT('Bittrex Data'!B79,LEN('Bittrex Data'!B79)-SEARCH("-",'Bittrex Data'!B79,1)+1),LEN(RIGHT('Bittrex Data'!B79,LEN('Bittrex Data'!B79)-SEARCH("-",'Bittrex Data'!B79,1)+1))-1))</f>
        <v/>
      </c>
      <c r="F79" t="str">
        <f>IF('Bittrex Data'!C79="","",IF('Bittrex Data'!C79="Limit_Sell",'Bittrex Data'!G79-'Bittrex Data'!F79,IF('Bittrex Data'!C79="Limit_Buy",'Bittrex Data'!G79+'Bittrex Data'!F79,"")))</f>
        <v/>
      </c>
      <c r="G79" t="str">
        <f>IF('Bittrex Data'!B79="","",'Bittrex Data'!D79)</f>
        <v/>
      </c>
      <c r="H79" t="str">
        <f>IF('Bittrex Data'!C79="","",IF(Bittrex!C79="Buy",Bittrex!D79,IF(Bittrex!C79="Sale",Bittrex!E79,IF(AND(Bittrex!C79="Trade",'Bittrex Data'!C79="Limit_Sell"),Bittrex!E79,IF(AND(Bittrex!C79="Trade",'Bittrex Data'!C79="Limit_Buy"),Bittrex!D79,"")))))</f>
        <v/>
      </c>
      <c r="I79" t="str">
        <f>IF('Bittrex Data'!C79="","",IF(Bittrex!C79="Buy",F79,IF(C79="Sale",Bittrex!G79,IF(AND(C79="Trade",'Bittrex Data'!C79="Limit_Sell"),Bittrex!G79,IF(AND(Bittrex!C79="Trade",'Bittrex Data'!C79="Limit_Buy"),F79,"")))))</f>
        <v/>
      </c>
      <c r="J79" t="str">
        <f>IF('Bittrex Data'!B79="","",IF('Bittrex Data'!B79="","",IF(Bittrex!H79=Bittrex!E79,D79,Bittrex!E79)))</f>
        <v/>
      </c>
      <c r="K79" t="str">
        <f>IF('Bittrex Data'!B79="","",IF(Bittrex!I79=Bittrex!G79,Bittrex!F79,Bittrex!G79))</f>
        <v/>
      </c>
    </row>
    <row r="80" spans="3:11" x14ac:dyDescent="0.2">
      <c r="C80" t="str">
        <f>IF('Bittrex Data'!A80="","",IF(AND('Bittrex Data'!C80="LIMIT_SELL",Bittrex!D80="USD"),"Sale",IF(AND('Bittrex Data'!C80="LIMIT_BUY",Bittrex!D80="USD"),"Buy","Trade")))</f>
        <v/>
      </c>
      <c r="D80" t="str">
        <f>IF('Bittrex Data'!B80="","",LEFT(LEFT('Bittrex Data'!B80,SEARCH("-",'Bittrex Data'!B80,1)),LEN(LEFT('Bittrex Data'!B80,SEARCH("-",'Bittrex Data'!B80,1)))-1))</f>
        <v/>
      </c>
      <c r="E80" t="str">
        <f>IF('Bittrex Data'!B80="","",RIGHT(RIGHT('Bittrex Data'!B80,LEN('Bittrex Data'!B80)-SEARCH("-",'Bittrex Data'!B80,1)+1),LEN(RIGHT('Bittrex Data'!B80,LEN('Bittrex Data'!B80)-SEARCH("-",'Bittrex Data'!B80,1)+1))-1))</f>
        <v/>
      </c>
      <c r="F80" t="str">
        <f>IF('Bittrex Data'!C80="","",IF('Bittrex Data'!C80="Limit_Sell",'Bittrex Data'!G80-'Bittrex Data'!F80,IF('Bittrex Data'!C80="Limit_Buy",'Bittrex Data'!G80+'Bittrex Data'!F80,"")))</f>
        <v/>
      </c>
      <c r="G80" t="str">
        <f>IF('Bittrex Data'!B80="","",'Bittrex Data'!D80)</f>
        <v/>
      </c>
      <c r="H80" t="str">
        <f>IF('Bittrex Data'!C80="","",IF(Bittrex!C80="Buy",Bittrex!D80,IF(Bittrex!C80="Sale",Bittrex!E80,IF(AND(Bittrex!C80="Trade",'Bittrex Data'!C80="Limit_Sell"),Bittrex!E80,IF(AND(Bittrex!C80="Trade",'Bittrex Data'!C80="Limit_Buy"),Bittrex!D80,"")))))</f>
        <v/>
      </c>
      <c r="I80" t="str">
        <f>IF('Bittrex Data'!C80="","",IF(Bittrex!C80="Buy",F80,IF(C80="Sale",Bittrex!G80,IF(AND(C80="Trade",'Bittrex Data'!C80="Limit_Sell"),Bittrex!G80,IF(AND(Bittrex!C80="Trade",'Bittrex Data'!C80="Limit_Buy"),F80,"")))))</f>
        <v/>
      </c>
      <c r="J80" t="str">
        <f>IF('Bittrex Data'!B80="","",IF('Bittrex Data'!B80="","",IF(Bittrex!H80=Bittrex!E80,D80,Bittrex!E80)))</f>
        <v/>
      </c>
      <c r="K80" t="str">
        <f>IF('Bittrex Data'!B80="","",IF(Bittrex!I80=Bittrex!G80,Bittrex!F80,Bittrex!G80))</f>
        <v/>
      </c>
    </row>
    <row r="81" spans="3:11" x14ac:dyDescent="0.2">
      <c r="C81" t="str">
        <f>IF('Bittrex Data'!A81="","",IF(AND('Bittrex Data'!C81="LIMIT_SELL",Bittrex!D81="USD"),"Sale",IF(AND('Bittrex Data'!C81="LIMIT_BUY",Bittrex!D81="USD"),"Buy","Trade")))</f>
        <v/>
      </c>
      <c r="D81" t="str">
        <f>IF('Bittrex Data'!B81="","",LEFT(LEFT('Bittrex Data'!B81,SEARCH("-",'Bittrex Data'!B81,1)),LEN(LEFT('Bittrex Data'!B81,SEARCH("-",'Bittrex Data'!B81,1)))-1))</f>
        <v/>
      </c>
      <c r="E81" t="str">
        <f>IF('Bittrex Data'!B81="","",RIGHT(RIGHT('Bittrex Data'!B81,LEN('Bittrex Data'!B81)-SEARCH("-",'Bittrex Data'!B81,1)+1),LEN(RIGHT('Bittrex Data'!B81,LEN('Bittrex Data'!B81)-SEARCH("-",'Bittrex Data'!B81,1)+1))-1))</f>
        <v/>
      </c>
      <c r="F81" t="str">
        <f>IF('Bittrex Data'!C81="","",IF('Bittrex Data'!C81="Limit_Sell",'Bittrex Data'!G81-'Bittrex Data'!F81,IF('Bittrex Data'!C81="Limit_Buy",'Bittrex Data'!G81+'Bittrex Data'!F81,"")))</f>
        <v/>
      </c>
      <c r="G81" t="str">
        <f>IF('Bittrex Data'!B81="","",'Bittrex Data'!D81)</f>
        <v/>
      </c>
      <c r="H81" t="str">
        <f>IF('Bittrex Data'!C81="","",IF(Bittrex!C81="Buy",Bittrex!D81,IF(Bittrex!C81="Sale",Bittrex!E81,IF(AND(Bittrex!C81="Trade",'Bittrex Data'!C81="Limit_Sell"),Bittrex!E81,IF(AND(Bittrex!C81="Trade",'Bittrex Data'!C81="Limit_Buy"),Bittrex!D81,"")))))</f>
        <v/>
      </c>
      <c r="I81" t="str">
        <f>IF('Bittrex Data'!C81="","",IF(Bittrex!C81="Buy",F81,IF(C81="Sale",Bittrex!G81,IF(AND(C81="Trade",'Bittrex Data'!C81="Limit_Sell"),Bittrex!G81,IF(AND(Bittrex!C81="Trade",'Bittrex Data'!C81="Limit_Buy"),F81,"")))))</f>
        <v/>
      </c>
      <c r="J81" t="str">
        <f>IF('Bittrex Data'!B81="","",IF('Bittrex Data'!B81="","",IF(Bittrex!H81=Bittrex!E81,D81,Bittrex!E81)))</f>
        <v/>
      </c>
      <c r="K81" t="str">
        <f>IF('Bittrex Data'!B81="","",IF(Bittrex!I81=Bittrex!G81,Bittrex!F81,Bittrex!G81))</f>
        <v/>
      </c>
    </row>
    <row r="82" spans="3:11" x14ac:dyDescent="0.2">
      <c r="C82" t="str">
        <f>IF('Bittrex Data'!A82="","",IF(AND('Bittrex Data'!C82="LIMIT_SELL",Bittrex!D82="USD"),"Sale",IF(AND('Bittrex Data'!C82="LIMIT_BUY",Bittrex!D82="USD"),"Buy","Trade")))</f>
        <v/>
      </c>
      <c r="D82" t="str">
        <f>IF('Bittrex Data'!B82="","",LEFT(LEFT('Bittrex Data'!B82,SEARCH("-",'Bittrex Data'!B82,1)),LEN(LEFT('Bittrex Data'!B82,SEARCH("-",'Bittrex Data'!B82,1)))-1))</f>
        <v/>
      </c>
      <c r="E82" t="str">
        <f>IF('Bittrex Data'!B82="","",RIGHT(RIGHT('Bittrex Data'!B82,LEN('Bittrex Data'!B82)-SEARCH("-",'Bittrex Data'!B82,1)+1),LEN(RIGHT('Bittrex Data'!B82,LEN('Bittrex Data'!B82)-SEARCH("-",'Bittrex Data'!B82,1)+1))-1))</f>
        <v/>
      </c>
      <c r="F82" t="str">
        <f>IF('Bittrex Data'!C82="","",IF('Bittrex Data'!C82="Limit_Sell",'Bittrex Data'!G82-'Bittrex Data'!F82,IF('Bittrex Data'!C82="Limit_Buy",'Bittrex Data'!G82+'Bittrex Data'!F82,"")))</f>
        <v/>
      </c>
      <c r="G82" t="str">
        <f>IF('Bittrex Data'!B82="","",'Bittrex Data'!D82)</f>
        <v/>
      </c>
      <c r="H82" t="str">
        <f>IF('Bittrex Data'!C82="","",IF(Bittrex!C82="Buy",Bittrex!D82,IF(Bittrex!C82="Sale",Bittrex!E82,IF(AND(Bittrex!C82="Trade",'Bittrex Data'!C82="Limit_Sell"),Bittrex!E82,IF(AND(Bittrex!C82="Trade",'Bittrex Data'!C82="Limit_Buy"),Bittrex!D82,"")))))</f>
        <v/>
      </c>
      <c r="I82" t="str">
        <f>IF('Bittrex Data'!C82="","",IF(Bittrex!C82="Buy",F82,IF(C82="Sale",Bittrex!G82,IF(AND(C82="Trade",'Bittrex Data'!C82="Limit_Sell"),Bittrex!G82,IF(AND(Bittrex!C82="Trade",'Bittrex Data'!C82="Limit_Buy"),F82,"")))))</f>
        <v/>
      </c>
      <c r="J82" t="str">
        <f>IF('Bittrex Data'!B82="","",IF('Bittrex Data'!B82="","",IF(Bittrex!H82=Bittrex!E82,D82,Bittrex!E82)))</f>
        <v/>
      </c>
      <c r="K82" t="str">
        <f>IF('Bittrex Data'!B82="","",IF(Bittrex!I82=Bittrex!G82,Bittrex!F82,Bittrex!G82))</f>
        <v/>
      </c>
    </row>
    <row r="83" spans="3:11" x14ac:dyDescent="0.2">
      <c r="C83" t="str">
        <f>IF('Bittrex Data'!A83="","",IF(AND('Bittrex Data'!C83="LIMIT_SELL",Bittrex!D83="USD"),"Sale",IF(AND('Bittrex Data'!C83="LIMIT_BUY",Bittrex!D83="USD"),"Buy","Trade")))</f>
        <v/>
      </c>
      <c r="D83" t="str">
        <f>IF('Bittrex Data'!B83="","",LEFT(LEFT('Bittrex Data'!B83,SEARCH("-",'Bittrex Data'!B83,1)),LEN(LEFT('Bittrex Data'!B83,SEARCH("-",'Bittrex Data'!B83,1)))-1))</f>
        <v/>
      </c>
      <c r="E83" t="str">
        <f>IF('Bittrex Data'!B83="","",RIGHT(RIGHT('Bittrex Data'!B83,LEN('Bittrex Data'!B83)-SEARCH("-",'Bittrex Data'!B83,1)+1),LEN(RIGHT('Bittrex Data'!B83,LEN('Bittrex Data'!B83)-SEARCH("-",'Bittrex Data'!B83,1)+1))-1))</f>
        <v/>
      </c>
      <c r="F83" t="str">
        <f>IF('Bittrex Data'!C83="","",IF('Bittrex Data'!C83="Limit_Sell",'Bittrex Data'!G83-'Bittrex Data'!F83,IF('Bittrex Data'!C83="Limit_Buy",'Bittrex Data'!G83+'Bittrex Data'!F83,"")))</f>
        <v/>
      </c>
      <c r="G83" t="str">
        <f>IF('Bittrex Data'!B83="","",'Bittrex Data'!D83)</f>
        <v/>
      </c>
      <c r="H83" t="str">
        <f>IF('Bittrex Data'!C83="","",IF(Bittrex!C83="Buy",Bittrex!D83,IF(Bittrex!C83="Sale",Bittrex!E83,IF(AND(Bittrex!C83="Trade",'Bittrex Data'!C83="Limit_Sell"),Bittrex!E83,IF(AND(Bittrex!C83="Trade",'Bittrex Data'!C83="Limit_Buy"),Bittrex!D83,"")))))</f>
        <v/>
      </c>
      <c r="I83" t="str">
        <f>IF('Bittrex Data'!C83="","",IF(Bittrex!C83="Buy",F83,IF(C83="Sale",Bittrex!G83,IF(AND(C83="Trade",'Bittrex Data'!C83="Limit_Sell"),Bittrex!G83,IF(AND(Bittrex!C83="Trade",'Bittrex Data'!C83="Limit_Buy"),F83,"")))))</f>
        <v/>
      </c>
      <c r="J83" t="str">
        <f>IF('Bittrex Data'!B83="","",IF('Bittrex Data'!B83="","",IF(Bittrex!H83=Bittrex!E83,D83,Bittrex!E83)))</f>
        <v/>
      </c>
      <c r="K83" t="str">
        <f>IF('Bittrex Data'!B83="","",IF(Bittrex!I83=Bittrex!G83,Bittrex!F83,Bittrex!G83))</f>
        <v/>
      </c>
    </row>
    <row r="84" spans="3:11" x14ac:dyDescent="0.2">
      <c r="C84" t="str">
        <f>IF('Bittrex Data'!A84="","",IF(AND('Bittrex Data'!C84="LIMIT_SELL",Bittrex!D84="USD"),"Sale",IF(AND('Bittrex Data'!C84="LIMIT_BUY",Bittrex!D84="USD"),"Buy","Trade")))</f>
        <v/>
      </c>
      <c r="D84" t="str">
        <f>IF('Bittrex Data'!B84="","",LEFT(LEFT('Bittrex Data'!B84,SEARCH("-",'Bittrex Data'!B84,1)),LEN(LEFT('Bittrex Data'!B84,SEARCH("-",'Bittrex Data'!B84,1)))-1))</f>
        <v/>
      </c>
      <c r="E84" t="str">
        <f>IF('Bittrex Data'!B84="","",RIGHT(RIGHT('Bittrex Data'!B84,LEN('Bittrex Data'!B84)-SEARCH("-",'Bittrex Data'!B84,1)+1),LEN(RIGHT('Bittrex Data'!B84,LEN('Bittrex Data'!B84)-SEARCH("-",'Bittrex Data'!B84,1)+1))-1))</f>
        <v/>
      </c>
      <c r="F84" t="str">
        <f>IF('Bittrex Data'!C84="","",IF('Bittrex Data'!C84="Limit_Sell",'Bittrex Data'!G84-'Bittrex Data'!F84,IF('Bittrex Data'!C84="Limit_Buy",'Bittrex Data'!G84+'Bittrex Data'!F84,"")))</f>
        <v/>
      </c>
      <c r="G84" t="str">
        <f>IF('Bittrex Data'!B84="","",'Bittrex Data'!D84)</f>
        <v/>
      </c>
      <c r="H84" t="str">
        <f>IF('Bittrex Data'!C84="","",IF(Bittrex!C84="Buy",Bittrex!D84,IF(Bittrex!C84="Sale",Bittrex!E84,IF(AND(Bittrex!C84="Trade",'Bittrex Data'!C84="Limit_Sell"),Bittrex!E84,IF(AND(Bittrex!C84="Trade",'Bittrex Data'!C84="Limit_Buy"),Bittrex!D84,"")))))</f>
        <v/>
      </c>
      <c r="I84" t="str">
        <f>IF('Bittrex Data'!C84="","",IF(Bittrex!C84="Buy",F84,IF(C84="Sale",Bittrex!G84,IF(AND(C84="Trade",'Bittrex Data'!C84="Limit_Sell"),Bittrex!G84,IF(AND(Bittrex!C84="Trade",'Bittrex Data'!C84="Limit_Buy"),F84,"")))))</f>
        <v/>
      </c>
      <c r="J84" t="str">
        <f>IF('Bittrex Data'!B84="","",IF('Bittrex Data'!B84="","",IF(Bittrex!H84=Bittrex!E84,D84,Bittrex!E84)))</f>
        <v/>
      </c>
      <c r="K84" t="str">
        <f>IF('Bittrex Data'!B84="","",IF(Bittrex!I84=Bittrex!G84,Bittrex!F84,Bittrex!G84))</f>
        <v/>
      </c>
    </row>
    <row r="85" spans="3:11" x14ac:dyDescent="0.2">
      <c r="C85" t="str">
        <f>IF('Bittrex Data'!A85="","",IF(AND('Bittrex Data'!C85="LIMIT_SELL",Bittrex!D85="USD"),"Sale",IF(AND('Bittrex Data'!C85="LIMIT_BUY",Bittrex!D85="USD"),"Buy","Trade")))</f>
        <v/>
      </c>
      <c r="D85" t="str">
        <f>IF('Bittrex Data'!B85="","",LEFT(LEFT('Bittrex Data'!B85,SEARCH("-",'Bittrex Data'!B85,1)),LEN(LEFT('Bittrex Data'!B85,SEARCH("-",'Bittrex Data'!B85,1)))-1))</f>
        <v/>
      </c>
      <c r="E85" t="str">
        <f>IF('Bittrex Data'!B85="","",RIGHT(RIGHT('Bittrex Data'!B85,LEN('Bittrex Data'!B85)-SEARCH("-",'Bittrex Data'!B85,1)+1),LEN(RIGHT('Bittrex Data'!B85,LEN('Bittrex Data'!B85)-SEARCH("-",'Bittrex Data'!B85,1)+1))-1))</f>
        <v/>
      </c>
      <c r="F85" t="str">
        <f>IF('Bittrex Data'!C85="","",IF('Bittrex Data'!C85="Limit_Sell",'Bittrex Data'!G85-'Bittrex Data'!F85,IF('Bittrex Data'!C85="Limit_Buy",'Bittrex Data'!G85+'Bittrex Data'!F85,"")))</f>
        <v/>
      </c>
      <c r="G85" t="str">
        <f>IF('Bittrex Data'!B85="","",'Bittrex Data'!D85)</f>
        <v/>
      </c>
      <c r="H85" t="str">
        <f>IF('Bittrex Data'!C85="","",IF(Bittrex!C85="Buy",Bittrex!D85,IF(Bittrex!C85="Sale",Bittrex!E85,IF(AND(Bittrex!C85="Trade",'Bittrex Data'!C85="Limit_Sell"),Bittrex!E85,IF(AND(Bittrex!C85="Trade",'Bittrex Data'!C85="Limit_Buy"),Bittrex!D85,"")))))</f>
        <v/>
      </c>
      <c r="I85" t="str">
        <f>IF('Bittrex Data'!C85="","",IF(Bittrex!C85="Buy",F85,IF(C85="Sale",Bittrex!G85,IF(AND(C85="Trade",'Bittrex Data'!C85="Limit_Sell"),Bittrex!G85,IF(AND(Bittrex!C85="Trade",'Bittrex Data'!C85="Limit_Buy"),F85,"")))))</f>
        <v/>
      </c>
      <c r="J85" t="str">
        <f>IF('Bittrex Data'!B85="","",IF('Bittrex Data'!B85="","",IF(Bittrex!H85=Bittrex!E85,D85,Bittrex!E85)))</f>
        <v/>
      </c>
      <c r="K85" t="str">
        <f>IF('Bittrex Data'!B85="","",IF(Bittrex!I85=Bittrex!G85,Bittrex!F85,Bittrex!G85))</f>
        <v/>
      </c>
    </row>
    <row r="86" spans="3:11" x14ac:dyDescent="0.2">
      <c r="C86" t="str">
        <f>IF('Bittrex Data'!A86="","",IF(AND('Bittrex Data'!C86="LIMIT_SELL",Bittrex!D86="USD"),"Sale",IF(AND('Bittrex Data'!C86="LIMIT_BUY",Bittrex!D86="USD"),"Buy","Trade")))</f>
        <v/>
      </c>
      <c r="D86" t="str">
        <f>IF('Bittrex Data'!B86="","",LEFT(LEFT('Bittrex Data'!B86,SEARCH("-",'Bittrex Data'!B86,1)),LEN(LEFT('Bittrex Data'!B86,SEARCH("-",'Bittrex Data'!B86,1)))-1))</f>
        <v/>
      </c>
      <c r="E86" t="str">
        <f>IF('Bittrex Data'!B86="","",RIGHT(RIGHT('Bittrex Data'!B86,LEN('Bittrex Data'!B86)-SEARCH("-",'Bittrex Data'!B86,1)+1),LEN(RIGHT('Bittrex Data'!B86,LEN('Bittrex Data'!B86)-SEARCH("-",'Bittrex Data'!B86,1)+1))-1))</f>
        <v/>
      </c>
      <c r="F86" t="str">
        <f>IF('Bittrex Data'!C86="","",IF('Bittrex Data'!C86="Limit_Sell",'Bittrex Data'!G86-'Bittrex Data'!F86,IF('Bittrex Data'!C86="Limit_Buy",'Bittrex Data'!G86+'Bittrex Data'!F86,"")))</f>
        <v/>
      </c>
      <c r="G86" t="str">
        <f>IF('Bittrex Data'!B86="","",'Bittrex Data'!D86)</f>
        <v/>
      </c>
      <c r="H86" t="str">
        <f>IF('Bittrex Data'!C86="","",IF(Bittrex!C86="Buy",Bittrex!D86,IF(Bittrex!C86="Sale",Bittrex!E86,IF(AND(Bittrex!C86="Trade",'Bittrex Data'!C86="Limit_Sell"),Bittrex!E86,IF(AND(Bittrex!C86="Trade",'Bittrex Data'!C86="Limit_Buy"),Bittrex!D86,"")))))</f>
        <v/>
      </c>
      <c r="I86" t="str">
        <f>IF('Bittrex Data'!C86="","",IF(Bittrex!C86="Buy",F86,IF(C86="Sale",Bittrex!G86,IF(AND(C86="Trade",'Bittrex Data'!C86="Limit_Sell"),Bittrex!G86,IF(AND(Bittrex!C86="Trade",'Bittrex Data'!C86="Limit_Buy"),F86,"")))))</f>
        <v/>
      </c>
      <c r="J86" t="str">
        <f>IF('Bittrex Data'!B86="","",IF('Bittrex Data'!B86="","",IF(Bittrex!H86=Bittrex!E86,D86,Bittrex!E86)))</f>
        <v/>
      </c>
      <c r="K86" t="str">
        <f>IF('Bittrex Data'!B86="","",IF(Bittrex!I86=Bittrex!G86,Bittrex!F86,Bittrex!G86))</f>
        <v/>
      </c>
    </row>
    <row r="87" spans="3:11" x14ac:dyDescent="0.2">
      <c r="C87" t="str">
        <f>IF('Bittrex Data'!A87="","",IF(AND('Bittrex Data'!C87="LIMIT_SELL",Bittrex!D87="USD"),"Sale",IF(AND('Bittrex Data'!C87="LIMIT_BUY",Bittrex!D87="USD"),"Buy","Trade")))</f>
        <v/>
      </c>
      <c r="D87" t="str">
        <f>IF('Bittrex Data'!B87="","",LEFT(LEFT('Bittrex Data'!B87,SEARCH("-",'Bittrex Data'!B87,1)),LEN(LEFT('Bittrex Data'!B87,SEARCH("-",'Bittrex Data'!B87,1)))-1))</f>
        <v/>
      </c>
      <c r="E87" t="str">
        <f>IF('Bittrex Data'!B87="","",RIGHT(RIGHT('Bittrex Data'!B87,LEN('Bittrex Data'!B87)-SEARCH("-",'Bittrex Data'!B87,1)+1),LEN(RIGHT('Bittrex Data'!B87,LEN('Bittrex Data'!B87)-SEARCH("-",'Bittrex Data'!B87,1)+1))-1))</f>
        <v/>
      </c>
      <c r="F87" t="str">
        <f>IF('Bittrex Data'!C87="","",IF('Bittrex Data'!C87="Limit_Sell",'Bittrex Data'!G87-'Bittrex Data'!F87,IF('Bittrex Data'!C87="Limit_Buy",'Bittrex Data'!G87+'Bittrex Data'!F87,"")))</f>
        <v/>
      </c>
      <c r="G87" t="str">
        <f>IF('Bittrex Data'!B87="","",'Bittrex Data'!D87)</f>
        <v/>
      </c>
      <c r="H87" t="str">
        <f>IF('Bittrex Data'!C87="","",IF(Bittrex!C87="Buy",Bittrex!D87,IF(Bittrex!C87="Sale",Bittrex!E87,IF(AND(Bittrex!C87="Trade",'Bittrex Data'!C87="Limit_Sell"),Bittrex!E87,IF(AND(Bittrex!C87="Trade",'Bittrex Data'!C87="Limit_Buy"),Bittrex!D87,"")))))</f>
        <v/>
      </c>
      <c r="I87" t="str">
        <f>IF('Bittrex Data'!C87="","",IF(Bittrex!C87="Buy",F87,IF(C87="Sale",Bittrex!G87,IF(AND(C87="Trade",'Bittrex Data'!C87="Limit_Sell"),Bittrex!G87,IF(AND(Bittrex!C87="Trade",'Bittrex Data'!C87="Limit_Buy"),F87,"")))))</f>
        <v/>
      </c>
      <c r="J87" t="str">
        <f>IF('Bittrex Data'!B87="","",IF('Bittrex Data'!B87="","",IF(Bittrex!H87=Bittrex!E87,D87,Bittrex!E87)))</f>
        <v/>
      </c>
      <c r="K87" t="str">
        <f>IF('Bittrex Data'!B87="","",IF(Bittrex!I87=Bittrex!G87,Bittrex!F87,Bittrex!G87))</f>
        <v/>
      </c>
    </row>
    <row r="88" spans="3:11" x14ac:dyDescent="0.2">
      <c r="C88" t="str">
        <f>IF('Bittrex Data'!A88="","",IF(AND('Bittrex Data'!C88="LIMIT_SELL",Bittrex!D88="USD"),"Sale",IF(AND('Bittrex Data'!C88="LIMIT_BUY",Bittrex!D88="USD"),"Buy","Trade")))</f>
        <v/>
      </c>
      <c r="D88" t="str">
        <f>IF('Bittrex Data'!B88="","",LEFT(LEFT('Bittrex Data'!B88,SEARCH("-",'Bittrex Data'!B88,1)),LEN(LEFT('Bittrex Data'!B88,SEARCH("-",'Bittrex Data'!B88,1)))-1))</f>
        <v/>
      </c>
      <c r="E88" t="str">
        <f>IF('Bittrex Data'!B88="","",RIGHT(RIGHT('Bittrex Data'!B88,LEN('Bittrex Data'!B88)-SEARCH("-",'Bittrex Data'!B88,1)+1),LEN(RIGHT('Bittrex Data'!B88,LEN('Bittrex Data'!B88)-SEARCH("-",'Bittrex Data'!B88,1)+1))-1))</f>
        <v/>
      </c>
      <c r="F88" t="str">
        <f>IF('Bittrex Data'!C88="","",IF('Bittrex Data'!C88="Limit_Sell",'Bittrex Data'!G88-'Bittrex Data'!F88,IF('Bittrex Data'!C88="Limit_Buy",'Bittrex Data'!G88+'Bittrex Data'!F88,"")))</f>
        <v/>
      </c>
      <c r="G88" t="str">
        <f>IF('Bittrex Data'!B88="","",'Bittrex Data'!D88)</f>
        <v/>
      </c>
      <c r="H88" t="str">
        <f>IF('Bittrex Data'!C88="","",IF(Bittrex!C88="Buy",Bittrex!D88,IF(Bittrex!C88="Sale",Bittrex!E88,IF(AND(Bittrex!C88="Trade",'Bittrex Data'!C88="Limit_Sell"),Bittrex!E88,IF(AND(Bittrex!C88="Trade",'Bittrex Data'!C88="Limit_Buy"),Bittrex!D88,"")))))</f>
        <v/>
      </c>
      <c r="I88" t="str">
        <f>IF('Bittrex Data'!C88="","",IF(Bittrex!C88="Buy",F88,IF(C88="Sale",Bittrex!G88,IF(AND(C88="Trade",'Bittrex Data'!C88="Limit_Sell"),Bittrex!G88,IF(AND(Bittrex!C88="Trade",'Bittrex Data'!C88="Limit_Buy"),F88,"")))))</f>
        <v/>
      </c>
      <c r="J88" t="str">
        <f>IF('Bittrex Data'!B88="","",IF('Bittrex Data'!B88="","",IF(Bittrex!H88=Bittrex!E88,D88,Bittrex!E88)))</f>
        <v/>
      </c>
      <c r="K88" t="str">
        <f>IF('Bittrex Data'!B88="","",IF(Bittrex!I88=Bittrex!G88,Bittrex!F88,Bittrex!G88))</f>
        <v/>
      </c>
    </row>
    <row r="89" spans="3:11" x14ac:dyDescent="0.2">
      <c r="C89" t="str">
        <f>IF('Bittrex Data'!A89="","",IF(AND('Bittrex Data'!C89="LIMIT_SELL",Bittrex!D89="USD"),"Sale",IF(AND('Bittrex Data'!C89="LIMIT_BUY",Bittrex!D89="USD"),"Buy","Trade")))</f>
        <v/>
      </c>
      <c r="D89" t="str">
        <f>IF('Bittrex Data'!B89="","",LEFT(LEFT('Bittrex Data'!B89,SEARCH("-",'Bittrex Data'!B89,1)),LEN(LEFT('Bittrex Data'!B89,SEARCH("-",'Bittrex Data'!B89,1)))-1))</f>
        <v/>
      </c>
      <c r="E89" t="str">
        <f>IF('Bittrex Data'!B89="","",RIGHT(RIGHT('Bittrex Data'!B89,LEN('Bittrex Data'!B89)-SEARCH("-",'Bittrex Data'!B89,1)+1),LEN(RIGHT('Bittrex Data'!B89,LEN('Bittrex Data'!B89)-SEARCH("-",'Bittrex Data'!B89,1)+1))-1))</f>
        <v/>
      </c>
      <c r="F89" t="str">
        <f>IF('Bittrex Data'!C89="","",IF('Bittrex Data'!C89="Limit_Sell",'Bittrex Data'!G89-'Bittrex Data'!F89,IF('Bittrex Data'!C89="Limit_Buy",'Bittrex Data'!G89+'Bittrex Data'!F89,"")))</f>
        <v/>
      </c>
      <c r="G89" t="str">
        <f>IF('Bittrex Data'!B89="","",'Bittrex Data'!D89)</f>
        <v/>
      </c>
      <c r="H89" t="str">
        <f>IF('Bittrex Data'!C89="","",IF(Bittrex!C89="Buy",Bittrex!D89,IF(Bittrex!C89="Sale",Bittrex!E89,IF(AND(Bittrex!C89="Trade",'Bittrex Data'!C89="Limit_Sell"),Bittrex!E89,IF(AND(Bittrex!C89="Trade",'Bittrex Data'!C89="Limit_Buy"),Bittrex!D89,"")))))</f>
        <v/>
      </c>
      <c r="I89" t="str">
        <f>IF('Bittrex Data'!C89="","",IF(Bittrex!C89="Buy",F89,IF(C89="Sale",Bittrex!G89,IF(AND(C89="Trade",'Bittrex Data'!C89="Limit_Sell"),Bittrex!G89,IF(AND(Bittrex!C89="Trade",'Bittrex Data'!C89="Limit_Buy"),F89,"")))))</f>
        <v/>
      </c>
      <c r="J89" t="str">
        <f>IF('Bittrex Data'!B89="","",IF('Bittrex Data'!B89="","",IF(Bittrex!H89=Bittrex!E89,D89,Bittrex!E89)))</f>
        <v/>
      </c>
      <c r="K89" t="str">
        <f>IF('Bittrex Data'!B89="","",IF(Bittrex!I89=Bittrex!G89,Bittrex!F89,Bittrex!G89))</f>
        <v/>
      </c>
    </row>
    <row r="90" spans="3:11" x14ac:dyDescent="0.2">
      <c r="C90" t="str">
        <f>IF('Bittrex Data'!A90="","",IF(AND('Bittrex Data'!C90="LIMIT_SELL",Bittrex!D90="USD"),"Sale",IF(AND('Bittrex Data'!C90="LIMIT_BUY",Bittrex!D90="USD"),"Buy","Trade")))</f>
        <v/>
      </c>
      <c r="D90" t="str">
        <f>IF('Bittrex Data'!B90="","",LEFT(LEFT('Bittrex Data'!B90,SEARCH("-",'Bittrex Data'!B90,1)),LEN(LEFT('Bittrex Data'!B90,SEARCH("-",'Bittrex Data'!B90,1)))-1))</f>
        <v/>
      </c>
      <c r="E90" t="str">
        <f>IF('Bittrex Data'!B90="","",RIGHT(RIGHT('Bittrex Data'!B90,LEN('Bittrex Data'!B90)-SEARCH("-",'Bittrex Data'!B90,1)+1),LEN(RIGHT('Bittrex Data'!B90,LEN('Bittrex Data'!B90)-SEARCH("-",'Bittrex Data'!B90,1)+1))-1))</f>
        <v/>
      </c>
      <c r="F90" t="str">
        <f>IF('Bittrex Data'!C90="","",IF('Bittrex Data'!C90="Limit_Sell",'Bittrex Data'!G90-'Bittrex Data'!F90,IF('Bittrex Data'!C90="Limit_Buy",'Bittrex Data'!G90+'Bittrex Data'!F90,"")))</f>
        <v/>
      </c>
      <c r="G90" t="str">
        <f>IF('Bittrex Data'!B90="","",'Bittrex Data'!D90)</f>
        <v/>
      </c>
      <c r="H90" t="str">
        <f>IF('Bittrex Data'!C90="","",IF(Bittrex!C90="Buy",Bittrex!D90,IF(Bittrex!C90="Sale",Bittrex!E90,IF(AND(Bittrex!C90="Trade",'Bittrex Data'!C90="Limit_Sell"),Bittrex!E90,IF(AND(Bittrex!C90="Trade",'Bittrex Data'!C90="Limit_Buy"),Bittrex!D90,"")))))</f>
        <v/>
      </c>
      <c r="I90" t="str">
        <f>IF('Bittrex Data'!C90="","",IF(Bittrex!C90="Buy",F90,IF(C90="Sale",Bittrex!G90,IF(AND(C90="Trade",'Bittrex Data'!C90="Limit_Sell"),Bittrex!G90,IF(AND(Bittrex!C90="Trade",'Bittrex Data'!C90="Limit_Buy"),F90,"")))))</f>
        <v/>
      </c>
      <c r="J90" t="str">
        <f>IF('Bittrex Data'!B90="","",IF('Bittrex Data'!B90="","",IF(Bittrex!H90=Bittrex!E90,D90,Bittrex!E90)))</f>
        <v/>
      </c>
      <c r="K90" t="str">
        <f>IF('Bittrex Data'!B90="","",IF(Bittrex!I90=Bittrex!G90,Bittrex!F90,Bittrex!G90))</f>
        <v/>
      </c>
    </row>
    <row r="91" spans="3:11" x14ac:dyDescent="0.2">
      <c r="C91" t="str">
        <f>IF('Bittrex Data'!A91="","",IF(AND('Bittrex Data'!C91="LIMIT_SELL",Bittrex!D91="USD"),"Sale",IF(AND('Bittrex Data'!C91="LIMIT_BUY",Bittrex!D91="USD"),"Buy","Trade")))</f>
        <v/>
      </c>
      <c r="D91" t="str">
        <f>IF('Bittrex Data'!B91="","",LEFT(LEFT('Bittrex Data'!B91,SEARCH("-",'Bittrex Data'!B91,1)),LEN(LEFT('Bittrex Data'!B91,SEARCH("-",'Bittrex Data'!B91,1)))-1))</f>
        <v/>
      </c>
      <c r="E91" t="str">
        <f>IF('Bittrex Data'!B91="","",RIGHT(RIGHT('Bittrex Data'!B91,LEN('Bittrex Data'!B91)-SEARCH("-",'Bittrex Data'!B91,1)+1),LEN(RIGHT('Bittrex Data'!B91,LEN('Bittrex Data'!B91)-SEARCH("-",'Bittrex Data'!B91,1)+1))-1))</f>
        <v/>
      </c>
      <c r="F91" t="str">
        <f>IF('Bittrex Data'!C91="","",IF('Bittrex Data'!C91="Limit_Sell",'Bittrex Data'!G91-'Bittrex Data'!F91,IF('Bittrex Data'!C91="Limit_Buy",'Bittrex Data'!G91+'Bittrex Data'!F91,"")))</f>
        <v/>
      </c>
      <c r="G91" t="str">
        <f>IF('Bittrex Data'!B91="","",'Bittrex Data'!D91)</f>
        <v/>
      </c>
      <c r="H91" t="str">
        <f>IF('Bittrex Data'!C91="","",IF(Bittrex!C91="Buy",Bittrex!D91,IF(Bittrex!C91="Sale",Bittrex!E91,IF(AND(Bittrex!C91="Trade",'Bittrex Data'!C91="Limit_Sell"),Bittrex!E91,IF(AND(Bittrex!C91="Trade",'Bittrex Data'!C91="Limit_Buy"),Bittrex!D91,"")))))</f>
        <v/>
      </c>
      <c r="I91" t="str">
        <f>IF('Bittrex Data'!C91="","",IF(Bittrex!C91="Buy",F91,IF(C91="Sale",Bittrex!G91,IF(AND(C91="Trade",'Bittrex Data'!C91="Limit_Sell"),Bittrex!G91,IF(AND(Bittrex!C91="Trade",'Bittrex Data'!C91="Limit_Buy"),F91,"")))))</f>
        <v/>
      </c>
      <c r="J91" t="str">
        <f>IF('Bittrex Data'!B91="","",IF('Bittrex Data'!B91="","",IF(Bittrex!H91=Bittrex!E91,D91,Bittrex!E91)))</f>
        <v/>
      </c>
      <c r="K91" t="str">
        <f>IF('Bittrex Data'!B91="","",IF(Bittrex!I91=Bittrex!G91,Bittrex!F91,Bittrex!G91))</f>
        <v/>
      </c>
    </row>
    <row r="92" spans="3:11" x14ac:dyDescent="0.2">
      <c r="C92" t="str">
        <f>IF('Bittrex Data'!A92="","",IF(AND('Bittrex Data'!C92="LIMIT_SELL",Bittrex!D92="USD"),"Sale",IF(AND('Bittrex Data'!C92="LIMIT_BUY",Bittrex!D92="USD"),"Buy","Trade")))</f>
        <v/>
      </c>
      <c r="D92" t="str">
        <f>IF('Bittrex Data'!B92="","",LEFT(LEFT('Bittrex Data'!B92,SEARCH("-",'Bittrex Data'!B92,1)),LEN(LEFT('Bittrex Data'!B92,SEARCH("-",'Bittrex Data'!B92,1)))-1))</f>
        <v/>
      </c>
      <c r="E92" t="str">
        <f>IF('Bittrex Data'!B92="","",RIGHT(RIGHT('Bittrex Data'!B92,LEN('Bittrex Data'!B92)-SEARCH("-",'Bittrex Data'!B92,1)+1),LEN(RIGHT('Bittrex Data'!B92,LEN('Bittrex Data'!B92)-SEARCH("-",'Bittrex Data'!B92,1)+1))-1))</f>
        <v/>
      </c>
      <c r="F92" t="str">
        <f>IF('Bittrex Data'!C92="","",IF('Bittrex Data'!C92="Limit_Sell",'Bittrex Data'!G92-'Bittrex Data'!F92,IF('Bittrex Data'!C92="Limit_Buy",'Bittrex Data'!G92+'Bittrex Data'!F92,"")))</f>
        <v/>
      </c>
      <c r="G92" t="str">
        <f>IF('Bittrex Data'!B92="","",'Bittrex Data'!D92)</f>
        <v/>
      </c>
      <c r="H92" t="str">
        <f>IF('Bittrex Data'!C92="","",IF(Bittrex!C92="Buy",Bittrex!D92,IF(Bittrex!C92="Sale",Bittrex!E92,IF(AND(Bittrex!C92="Trade",'Bittrex Data'!C92="Limit_Sell"),Bittrex!E92,IF(AND(Bittrex!C92="Trade",'Bittrex Data'!C92="Limit_Buy"),Bittrex!D92,"")))))</f>
        <v/>
      </c>
      <c r="I92" t="str">
        <f>IF('Bittrex Data'!C92="","",IF(Bittrex!C92="Buy",F92,IF(C92="Sale",Bittrex!G92,IF(AND(C92="Trade",'Bittrex Data'!C92="Limit_Sell"),Bittrex!G92,IF(AND(Bittrex!C92="Trade",'Bittrex Data'!C92="Limit_Buy"),F92,"")))))</f>
        <v/>
      </c>
      <c r="J92" t="str">
        <f>IF('Bittrex Data'!B92="","",IF('Bittrex Data'!B92="","",IF(Bittrex!H92=Bittrex!E92,D92,Bittrex!E92)))</f>
        <v/>
      </c>
      <c r="K92" t="str">
        <f>IF('Bittrex Data'!B92="","",IF(Bittrex!I92=Bittrex!G92,Bittrex!F92,Bittrex!G92))</f>
        <v/>
      </c>
    </row>
    <row r="93" spans="3:11" x14ac:dyDescent="0.2">
      <c r="C93" t="str">
        <f>IF('Bittrex Data'!A93="","",IF(AND('Bittrex Data'!C93="LIMIT_SELL",Bittrex!D93="USD"),"Sale",IF(AND('Bittrex Data'!C93="LIMIT_BUY",Bittrex!D93="USD"),"Buy","Trade")))</f>
        <v/>
      </c>
      <c r="D93" t="str">
        <f>IF('Bittrex Data'!B93="","",LEFT(LEFT('Bittrex Data'!B93,SEARCH("-",'Bittrex Data'!B93,1)),LEN(LEFT('Bittrex Data'!B93,SEARCH("-",'Bittrex Data'!B93,1)))-1))</f>
        <v/>
      </c>
      <c r="E93" t="str">
        <f>IF('Bittrex Data'!B93="","",RIGHT(RIGHT('Bittrex Data'!B93,LEN('Bittrex Data'!B93)-SEARCH("-",'Bittrex Data'!B93,1)+1),LEN(RIGHT('Bittrex Data'!B93,LEN('Bittrex Data'!B93)-SEARCH("-",'Bittrex Data'!B93,1)+1))-1))</f>
        <v/>
      </c>
      <c r="F93" t="str">
        <f>IF('Bittrex Data'!C93="","",IF('Bittrex Data'!C93="Limit_Sell",'Bittrex Data'!G93-'Bittrex Data'!F93,IF('Bittrex Data'!C93="Limit_Buy",'Bittrex Data'!G93+'Bittrex Data'!F93,"")))</f>
        <v/>
      </c>
      <c r="G93" t="str">
        <f>IF('Bittrex Data'!B93="","",'Bittrex Data'!D93)</f>
        <v/>
      </c>
      <c r="H93" t="str">
        <f>IF('Bittrex Data'!C93="","",IF(Bittrex!C93="Buy",Bittrex!D93,IF(Bittrex!C93="Sale",Bittrex!E93,IF(AND(Bittrex!C93="Trade",'Bittrex Data'!C93="Limit_Sell"),Bittrex!E93,IF(AND(Bittrex!C93="Trade",'Bittrex Data'!C93="Limit_Buy"),Bittrex!D93,"")))))</f>
        <v/>
      </c>
      <c r="I93" t="str">
        <f>IF('Bittrex Data'!C93="","",IF(Bittrex!C93="Buy",F93,IF(C93="Sale",Bittrex!G93,IF(AND(C93="Trade",'Bittrex Data'!C93="Limit_Sell"),Bittrex!G93,IF(AND(Bittrex!C93="Trade",'Bittrex Data'!C93="Limit_Buy"),F93,"")))))</f>
        <v/>
      </c>
      <c r="J93" t="str">
        <f>IF('Bittrex Data'!B93="","",IF('Bittrex Data'!B93="","",IF(Bittrex!H93=Bittrex!E93,D93,Bittrex!E93)))</f>
        <v/>
      </c>
      <c r="K93" t="str">
        <f>IF('Bittrex Data'!B93="","",IF(Bittrex!I93=Bittrex!G93,Bittrex!F93,Bittrex!G93))</f>
        <v/>
      </c>
    </row>
    <row r="94" spans="3:11" x14ac:dyDescent="0.2">
      <c r="C94" t="str">
        <f>IF('Bittrex Data'!A94="","",IF(AND('Bittrex Data'!C94="LIMIT_SELL",Bittrex!D94="USD"),"Sale",IF(AND('Bittrex Data'!C94="LIMIT_BUY",Bittrex!D94="USD"),"Buy","Trade")))</f>
        <v/>
      </c>
      <c r="D94" t="str">
        <f>IF('Bittrex Data'!B94="","",LEFT(LEFT('Bittrex Data'!B94,SEARCH("-",'Bittrex Data'!B94,1)),LEN(LEFT('Bittrex Data'!B94,SEARCH("-",'Bittrex Data'!B94,1)))-1))</f>
        <v/>
      </c>
      <c r="E94" t="str">
        <f>IF('Bittrex Data'!B94="","",RIGHT(RIGHT('Bittrex Data'!B94,LEN('Bittrex Data'!B94)-SEARCH("-",'Bittrex Data'!B94,1)+1),LEN(RIGHT('Bittrex Data'!B94,LEN('Bittrex Data'!B94)-SEARCH("-",'Bittrex Data'!B94,1)+1))-1))</f>
        <v/>
      </c>
      <c r="F94" t="str">
        <f>IF('Bittrex Data'!C94="","",IF('Bittrex Data'!C94="Limit_Sell",'Bittrex Data'!G94-'Bittrex Data'!F94,IF('Bittrex Data'!C94="Limit_Buy",'Bittrex Data'!G94+'Bittrex Data'!F94,"")))</f>
        <v/>
      </c>
      <c r="G94" t="str">
        <f>IF('Bittrex Data'!B94="","",'Bittrex Data'!D94)</f>
        <v/>
      </c>
      <c r="H94" t="str">
        <f>IF('Bittrex Data'!C94="","",IF(Bittrex!C94="Buy",Bittrex!D94,IF(Bittrex!C94="Sale",Bittrex!E94,IF(AND(Bittrex!C94="Trade",'Bittrex Data'!C94="Limit_Sell"),Bittrex!E94,IF(AND(Bittrex!C94="Trade",'Bittrex Data'!C94="Limit_Buy"),Bittrex!D94,"")))))</f>
        <v/>
      </c>
      <c r="I94" t="str">
        <f>IF('Bittrex Data'!C94="","",IF(Bittrex!C94="Buy",F94,IF(C94="Sale",Bittrex!G94,IF(AND(C94="Trade",'Bittrex Data'!C94="Limit_Sell"),Bittrex!G94,IF(AND(Bittrex!C94="Trade",'Bittrex Data'!C94="Limit_Buy"),F94,"")))))</f>
        <v/>
      </c>
      <c r="J94" t="str">
        <f>IF('Bittrex Data'!B94="","",IF('Bittrex Data'!B94="","",IF(Bittrex!H94=Bittrex!E94,D94,Bittrex!E94)))</f>
        <v/>
      </c>
      <c r="K94" t="str">
        <f>IF('Bittrex Data'!B94="","",IF(Bittrex!I94=Bittrex!G94,Bittrex!F94,Bittrex!G94))</f>
        <v/>
      </c>
    </row>
    <row r="95" spans="3:11" x14ac:dyDescent="0.2">
      <c r="C95" t="str">
        <f>IF('Bittrex Data'!A95="","",IF(AND('Bittrex Data'!C95="LIMIT_SELL",Bittrex!D95="USD"),"Sale",IF(AND('Bittrex Data'!C95="LIMIT_BUY",Bittrex!D95="USD"),"Buy","Trade")))</f>
        <v/>
      </c>
      <c r="D95" t="str">
        <f>IF('Bittrex Data'!B95="","",LEFT(LEFT('Bittrex Data'!B95,SEARCH("-",'Bittrex Data'!B95,1)),LEN(LEFT('Bittrex Data'!B95,SEARCH("-",'Bittrex Data'!B95,1)))-1))</f>
        <v/>
      </c>
      <c r="E95" t="str">
        <f>IF('Bittrex Data'!B95="","",RIGHT(RIGHT('Bittrex Data'!B95,LEN('Bittrex Data'!B95)-SEARCH("-",'Bittrex Data'!B95,1)+1),LEN(RIGHT('Bittrex Data'!B95,LEN('Bittrex Data'!B95)-SEARCH("-",'Bittrex Data'!B95,1)+1))-1))</f>
        <v/>
      </c>
      <c r="F95" t="str">
        <f>IF('Bittrex Data'!C95="","",IF('Bittrex Data'!C95="Limit_Sell",'Bittrex Data'!G95-'Bittrex Data'!F95,IF('Bittrex Data'!C95="Limit_Buy",'Bittrex Data'!G95+'Bittrex Data'!F95,"")))</f>
        <v/>
      </c>
      <c r="G95" t="str">
        <f>IF('Bittrex Data'!B95="","",'Bittrex Data'!D95)</f>
        <v/>
      </c>
      <c r="H95" t="str">
        <f>IF('Bittrex Data'!C95="","",IF(Bittrex!C95="Buy",Bittrex!D95,IF(Bittrex!C95="Sale",Bittrex!E95,IF(AND(Bittrex!C95="Trade",'Bittrex Data'!C95="Limit_Sell"),Bittrex!E95,IF(AND(Bittrex!C95="Trade",'Bittrex Data'!C95="Limit_Buy"),Bittrex!D95,"")))))</f>
        <v/>
      </c>
      <c r="I95" t="str">
        <f>IF('Bittrex Data'!C95="","",IF(Bittrex!C95="Buy",F95,IF(C95="Sale",Bittrex!G95,IF(AND(C95="Trade",'Bittrex Data'!C95="Limit_Sell"),Bittrex!G95,IF(AND(Bittrex!C95="Trade",'Bittrex Data'!C95="Limit_Buy"),F95,"")))))</f>
        <v/>
      </c>
      <c r="J95" t="str">
        <f>IF('Bittrex Data'!B95="","",IF('Bittrex Data'!B95="","",IF(Bittrex!H95=Bittrex!E95,D95,Bittrex!E95)))</f>
        <v/>
      </c>
      <c r="K95" t="str">
        <f>IF('Bittrex Data'!B95="","",IF(Bittrex!I95=Bittrex!G95,Bittrex!F95,Bittrex!G95))</f>
        <v/>
      </c>
    </row>
    <row r="96" spans="3:11" x14ac:dyDescent="0.2">
      <c r="C96" t="str">
        <f>IF('Bittrex Data'!A96="","",IF(AND('Bittrex Data'!C96="LIMIT_SELL",Bittrex!D96="USD"),"Sale",IF(AND('Bittrex Data'!C96="LIMIT_BUY",Bittrex!D96="USD"),"Buy","Trade")))</f>
        <v/>
      </c>
      <c r="D96" t="str">
        <f>IF('Bittrex Data'!B96="","",LEFT(LEFT('Bittrex Data'!B96,SEARCH("-",'Bittrex Data'!B96,1)),LEN(LEFT('Bittrex Data'!B96,SEARCH("-",'Bittrex Data'!B96,1)))-1))</f>
        <v/>
      </c>
      <c r="E96" t="str">
        <f>IF('Bittrex Data'!B96="","",RIGHT(RIGHT('Bittrex Data'!B96,LEN('Bittrex Data'!B96)-SEARCH("-",'Bittrex Data'!B96,1)+1),LEN(RIGHT('Bittrex Data'!B96,LEN('Bittrex Data'!B96)-SEARCH("-",'Bittrex Data'!B96,1)+1))-1))</f>
        <v/>
      </c>
      <c r="F96" t="str">
        <f>IF('Bittrex Data'!C96="","",IF('Bittrex Data'!C96="Limit_Sell",'Bittrex Data'!G96-'Bittrex Data'!F96,IF('Bittrex Data'!C96="Limit_Buy",'Bittrex Data'!G96+'Bittrex Data'!F96,"")))</f>
        <v/>
      </c>
      <c r="G96" t="str">
        <f>IF('Bittrex Data'!B96="","",'Bittrex Data'!D96)</f>
        <v/>
      </c>
      <c r="H96" t="str">
        <f>IF('Bittrex Data'!C96="","",IF(Bittrex!C96="Buy",Bittrex!D96,IF(Bittrex!C96="Sale",Bittrex!E96,IF(AND(Bittrex!C96="Trade",'Bittrex Data'!C96="Limit_Sell"),Bittrex!E96,IF(AND(Bittrex!C96="Trade",'Bittrex Data'!C96="Limit_Buy"),Bittrex!D96,"")))))</f>
        <v/>
      </c>
      <c r="I96" t="str">
        <f>IF('Bittrex Data'!C96="","",IF(Bittrex!C96="Buy",F96,IF(C96="Sale",Bittrex!G96,IF(AND(C96="Trade",'Bittrex Data'!C96="Limit_Sell"),Bittrex!G96,IF(AND(Bittrex!C96="Trade",'Bittrex Data'!C96="Limit_Buy"),F96,"")))))</f>
        <v/>
      </c>
      <c r="J96" t="str">
        <f>IF('Bittrex Data'!B96="","",IF('Bittrex Data'!B96="","",IF(Bittrex!H96=Bittrex!E96,D96,Bittrex!E96)))</f>
        <v/>
      </c>
      <c r="K96" t="str">
        <f>IF('Bittrex Data'!B96="","",IF(Bittrex!I96=Bittrex!G96,Bittrex!F96,Bittrex!G96))</f>
        <v/>
      </c>
    </row>
    <row r="97" spans="3:11" x14ac:dyDescent="0.2">
      <c r="C97" t="str">
        <f>IF('Bittrex Data'!A97="","",IF(AND('Bittrex Data'!C97="LIMIT_SELL",Bittrex!D97="USD"),"Sale",IF(AND('Bittrex Data'!C97="LIMIT_BUY",Bittrex!D97="USD"),"Buy","Trade")))</f>
        <v/>
      </c>
      <c r="D97" t="str">
        <f>IF('Bittrex Data'!B97="","",LEFT(LEFT('Bittrex Data'!B97,SEARCH("-",'Bittrex Data'!B97,1)),LEN(LEFT('Bittrex Data'!B97,SEARCH("-",'Bittrex Data'!B97,1)))-1))</f>
        <v/>
      </c>
      <c r="E97" t="str">
        <f>IF('Bittrex Data'!B97="","",RIGHT(RIGHT('Bittrex Data'!B97,LEN('Bittrex Data'!B97)-SEARCH("-",'Bittrex Data'!B97,1)+1),LEN(RIGHT('Bittrex Data'!B97,LEN('Bittrex Data'!B97)-SEARCH("-",'Bittrex Data'!B97,1)+1))-1))</f>
        <v/>
      </c>
      <c r="F97" t="str">
        <f>IF('Bittrex Data'!C97="","",IF('Bittrex Data'!C97="Limit_Sell",'Bittrex Data'!G97-'Bittrex Data'!F97,IF('Bittrex Data'!C97="Limit_Buy",'Bittrex Data'!G97+'Bittrex Data'!F97,"")))</f>
        <v/>
      </c>
      <c r="G97" t="str">
        <f>IF('Bittrex Data'!B97="","",'Bittrex Data'!D97)</f>
        <v/>
      </c>
      <c r="H97" t="str">
        <f>IF('Bittrex Data'!C97="","",IF(Bittrex!C97="Buy",Bittrex!D97,IF(Bittrex!C97="Sale",Bittrex!E97,IF(AND(Bittrex!C97="Trade",'Bittrex Data'!C97="Limit_Sell"),Bittrex!E97,IF(AND(Bittrex!C97="Trade",'Bittrex Data'!C97="Limit_Buy"),Bittrex!D97,"")))))</f>
        <v/>
      </c>
      <c r="I97" t="str">
        <f>IF('Bittrex Data'!C97="","",IF(Bittrex!C97="Buy",F97,IF(C97="Sale",Bittrex!G97,IF(AND(C97="Trade",'Bittrex Data'!C97="Limit_Sell"),Bittrex!G97,IF(AND(Bittrex!C97="Trade",'Bittrex Data'!C97="Limit_Buy"),F97,"")))))</f>
        <v/>
      </c>
      <c r="J97" t="str">
        <f>IF('Bittrex Data'!B97="","",IF('Bittrex Data'!B97="","",IF(Bittrex!H97=Bittrex!E97,D97,Bittrex!E97)))</f>
        <v/>
      </c>
      <c r="K97" t="str">
        <f>IF('Bittrex Data'!B97="","",IF(Bittrex!I97=Bittrex!G97,Bittrex!F97,Bittrex!G97))</f>
        <v/>
      </c>
    </row>
    <row r="98" spans="3:11" x14ac:dyDescent="0.2">
      <c r="C98" t="str">
        <f>IF('Bittrex Data'!A98="","",IF(AND('Bittrex Data'!C98="LIMIT_SELL",Bittrex!D98="USD"),"Sale",IF(AND('Bittrex Data'!C98="LIMIT_BUY",Bittrex!D98="USD"),"Buy","Trade")))</f>
        <v/>
      </c>
      <c r="D98" t="str">
        <f>IF('Bittrex Data'!B98="","",LEFT(LEFT('Bittrex Data'!B98,SEARCH("-",'Bittrex Data'!B98,1)),LEN(LEFT('Bittrex Data'!B98,SEARCH("-",'Bittrex Data'!B98,1)))-1))</f>
        <v/>
      </c>
      <c r="E98" t="str">
        <f>IF('Bittrex Data'!B98="","",RIGHT(RIGHT('Bittrex Data'!B98,LEN('Bittrex Data'!B98)-SEARCH("-",'Bittrex Data'!B98,1)+1),LEN(RIGHT('Bittrex Data'!B98,LEN('Bittrex Data'!B98)-SEARCH("-",'Bittrex Data'!B98,1)+1))-1))</f>
        <v/>
      </c>
      <c r="F98" t="str">
        <f>IF('Bittrex Data'!C98="","",IF('Bittrex Data'!C98="Limit_Sell",'Bittrex Data'!G98-'Bittrex Data'!F98,IF('Bittrex Data'!C98="Limit_Buy",'Bittrex Data'!G98+'Bittrex Data'!F98,"")))</f>
        <v/>
      </c>
      <c r="G98" t="str">
        <f>IF('Bittrex Data'!B98="","",'Bittrex Data'!D98)</f>
        <v/>
      </c>
      <c r="H98" t="str">
        <f>IF('Bittrex Data'!C98="","",IF(Bittrex!C98="Buy",Bittrex!D98,IF(Bittrex!C98="Sale",Bittrex!E98,IF(AND(Bittrex!C98="Trade",'Bittrex Data'!C98="Limit_Sell"),Bittrex!E98,IF(AND(Bittrex!C98="Trade",'Bittrex Data'!C98="Limit_Buy"),Bittrex!D98,"")))))</f>
        <v/>
      </c>
      <c r="I98" t="str">
        <f>IF('Bittrex Data'!C98="","",IF(Bittrex!C98="Buy",F98,IF(C98="Sale",Bittrex!G98,IF(AND(C98="Trade",'Bittrex Data'!C98="Limit_Sell"),Bittrex!G98,IF(AND(Bittrex!C98="Trade",'Bittrex Data'!C98="Limit_Buy"),F98,"")))))</f>
        <v/>
      </c>
      <c r="J98" t="str">
        <f>IF('Bittrex Data'!B98="","",IF('Bittrex Data'!B98="","",IF(Bittrex!H98=Bittrex!E98,D98,Bittrex!E98)))</f>
        <v/>
      </c>
      <c r="K98" t="str">
        <f>IF('Bittrex Data'!B98="","",IF(Bittrex!I98=Bittrex!G98,Bittrex!F98,Bittrex!G98))</f>
        <v/>
      </c>
    </row>
    <row r="99" spans="3:11" x14ac:dyDescent="0.2">
      <c r="C99" t="str">
        <f>IF('Bittrex Data'!A99="","",IF(AND('Bittrex Data'!C99="LIMIT_SELL",Bittrex!D99="USD"),"Sale",IF(AND('Bittrex Data'!C99="LIMIT_BUY",Bittrex!D99="USD"),"Buy","Trade")))</f>
        <v/>
      </c>
      <c r="D99" t="str">
        <f>IF('Bittrex Data'!B99="","",LEFT(LEFT('Bittrex Data'!B99,SEARCH("-",'Bittrex Data'!B99,1)),LEN(LEFT('Bittrex Data'!B99,SEARCH("-",'Bittrex Data'!B99,1)))-1))</f>
        <v/>
      </c>
      <c r="E99" t="str">
        <f>IF('Bittrex Data'!B99="","",RIGHT(RIGHT('Bittrex Data'!B99,LEN('Bittrex Data'!B99)-SEARCH("-",'Bittrex Data'!B99,1)+1),LEN(RIGHT('Bittrex Data'!B99,LEN('Bittrex Data'!B99)-SEARCH("-",'Bittrex Data'!B99,1)+1))-1))</f>
        <v/>
      </c>
      <c r="F99" t="str">
        <f>IF('Bittrex Data'!C99="","",IF('Bittrex Data'!C99="Limit_Sell",'Bittrex Data'!G99-'Bittrex Data'!F99,IF('Bittrex Data'!C99="Limit_Buy",'Bittrex Data'!G99+'Bittrex Data'!F99,"")))</f>
        <v/>
      </c>
      <c r="G99" t="str">
        <f>IF('Bittrex Data'!B99="","",'Bittrex Data'!D99)</f>
        <v/>
      </c>
      <c r="H99" t="str">
        <f>IF('Bittrex Data'!C99="","",IF(Bittrex!C99="Buy",Bittrex!D99,IF(Bittrex!C99="Sale",Bittrex!E99,IF(AND(Bittrex!C99="Trade",'Bittrex Data'!C99="Limit_Sell"),Bittrex!E99,IF(AND(Bittrex!C99="Trade",'Bittrex Data'!C99="Limit_Buy"),Bittrex!D99,"")))))</f>
        <v/>
      </c>
      <c r="I99" t="str">
        <f>IF('Bittrex Data'!C99="","",IF(Bittrex!C99="Buy",F99,IF(C99="Sale",Bittrex!G99,IF(AND(C99="Trade",'Bittrex Data'!C99="Limit_Sell"),Bittrex!G99,IF(AND(Bittrex!C99="Trade",'Bittrex Data'!C99="Limit_Buy"),F99,"")))))</f>
        <v/>
      </c>
      <c r="J99" t="str">
        <f>IF('Bittrex Data'!B99="","",IF('Bittrex Data'!B99="","",IF(Bittrex!H99=Bittrex!E99,D99,Bittrex!E99)))</f>
        <v/>
      </c>
      <c r="K99" t="str">
        <f>IF('Bittrex Data'!B99="","",IF(Bittrex!I99=Bittrex!G99,Bittrex!F99,Bittrex!G99))</f>
        <v/>
      </c>
    </row>
    <row r="100" spans="3:11" x14ac:dyDescent="0.2">
      <c r="C100" t="str">
        <f>IF('Bittrex Data'!A100="","",IF(AND('Bittrex Data'!C100="LIMIT_SELL",Bittrex!D100="USD"),"Sale",IF(AND('Bittrex Data'!C100="LIMIT_BUY",Bittrex!D100="USD"),"Buy","Trade")))</f>
        <v/>
      </c>
      <c r="D100" t="str">
        <f>IF('Bittrex Data'!B100="","",LEFT(LEFT('Bittrex Data'!B100,SEARCH("-",'Bittrex Data'!B100,1)),LEN(LEFT('Bittrex Data'!B100,SEARCH("-",'Bittrex Data'!B100,1)))-1))</f>
        <v/>
      </c>
      <c r="E100" t="str">
        <f>IF('Bittrex Data'!B100="","",RIGHT(RIGHT('Bittrex Data'!B100,LEN('Bittrex Data'!B100)-SEARCH("-",'Bittrex Data'!B100,1)+1),LEN(RIGHT('Bittrex Data'!B100,LEN('Bittrex Data'!B100)-SEARCH("-",'Bittrex Data'!B100,1)+1))-1))</f>
        <v/>
      </c>
      <c r="F100" t="str">
        <f>IF('Bittrex Data'!C100="","",IF('Bittrex Data'!C100="Limit_Sell",'Bittrex Data'!G100-'Bittrex Data'!F100,IF('Bittrex Data'!C100="Limit_Buy",'Bittrex Data'!G100+'Bittrex Data'!F100,"")))</f>
        <v/>
      </c>
      <c r="G100" t="str">
        <f>IF('Bittrex Data'!B100="","",'Bittrex Data'!D100)</f>
        <v/>
      </c>
      <c r="H100" t="str">
        <f>IF('Bittrex Data'!C100="","",IF(Bittrex!C100="Buy",Bittrex!D100,IF(Bittrex!C100="Sale",Bittrex!E100,IF(AND(Bittrex!C100="Trade",'Bittrex Data'!C100="Limit_Sell"),Bittrex!E100,IF(AND(Bittrex!C100="Trade",'Bittrex Data'!C100="Limit_Buy"),Bittrex!D100,"")))))</f>
        <v/>
      </c>
      <c r="I100" t="str">
        <f>IF('Bittrex Data'!C100="","",IF(Bittrex!C100="Buy",F100,IF(C100="Sale",Bittrex!G100,IF(AND(C100="Trade",'Bittrex Data'!C100="Limit_Sell"),Bittrex!G100,IF(AND(Bittrex!C100="Trade",'Bittrex Data'!C100="Limit_Buy"),F100,"")))))</f>
        <v/>
      </c>
      <c r="J100" t="str">
        <f>IF('Bittrex Data'!B100="","",IF('Bittrex Data'!B100="","",IF(Bittrex!H100=Bittrex!E100,D100,Bittrex!E100)))</f>
        <v/>
      </c>
      <c r="K100" t="str">
        <f>IF('Bittrex Data'!B100="","",IF(Bittrex!I100=Bittrex!G100,Bittrex!F100,Bittrex!G100))</f>
        <v/>
      </c>
    </row>
    <row r="101" spans="3:11" x14ac:dyDescent="0.2">
      <c r="C101" t="str">
        <f>IF('Bittrex Data'!A101="","",IF(AND('Bittrex Data'!C101="LIMIT_SELL",Bittrex!D101="USD"),"Sale",IF(AND('Bittrex Data'!C101="LIMIT_BUY",Bittrex!D101="USD"),"Buy","Trade")))</f>
        <v/>
      </c>
      <c r="D101" t="str">
        <f>IF('Bittrex Data'!B101="","",LEFT(LEFT('Bittrex Data'!B101,SEARCH("-",'Bittrex Data'!B101,1)),LEN(LEFT('Bittrex Data'!B101,SEARCH("-",'Bittrex Data'!B101,1)))-1))</f>
        <v/>
      </c>
      <c r="E101" t="str">
        <f>IF('Bittrex Data'!B101="","",RIGHT(RIGHT('Bittrex Data'!B101,LEN('Bittrex Data'!B101)-SEARCH("-",'Bittrex Data'!B101,1)+1),LEN(RIGHT('Bittrex Data'!B101,LEN('Bittrex Data'!B101)-SEARCH("-",'Bittrex Data'!B101,1)+1))-1))</f>
        <v/>
      </c>
      <c r="F101" t="str">
        <f>IF('Bittrex Data'!C101="","",IF('Bittrex Data'!C101="Limit_Sell",'Bittrex Data'!G101-'Bittrex Data'!F101,IF('Bittrex Data'!C101="Limit_Buy",'Bittrex Data'!G101+'Bittrex Data'!F101,"")))</f>
        <v/>
      </c>
      <c r="G101" t="str">
        <f>IF('Bittrex Data'!B101="","",'Bittrex Data'!D101)</f>
        <v/>
      </c>
      <c r="H101" t="str">
        <f>IF('Bittrex Data'!C101="","",IF(Bittrex!C101="Buy",Bittrex!D101,IF(Bittrex!C101="Sale",Bittrex!E101,IF(AND(Bittrex!C101="Trade",'Bittrex Data'!C101="Limit_Sell"),Bittrex!E101,IF(AND(Bittrex!C101="Trade",'Bittrex Data'!C101="Limit_Buy"),Bittrex!D101,"")))))</f>
        <v/>
      </c>
      <c r="I101" t="str">
        <f>IF('Bittrex Data'!C101="","",IF(Bittrex!C101="Buy",F101,IF(C101="Sale",Bittrex!G101,IF(AND(C101="Trade",'Bittrex Data'!C101="Limit_Sell"),Bittrex!G101,IF(AND(Bittrex!C101="Trade",'Bittrex Data'!C101="Limit_Buy"),F101,"")))))</f>
        <v/>
      </c>
      <c r="J101" t="str">
        <f>IF('Bittrex Data'!B101="","",IF('Bittrex Data'!B101="","",IF(Bittrex!H101=Bittrex!E101,D101,Bittrex!E101)))</f>
        <v/>
      </c>
      <c r="K101" t="str">
        <f>IF('Bittrex Data'!B101="","",IF(Bittrex!I101=Bittrex!G101,Bittrex!F101,Bittrex!G101))</f>
        <v/>
      </c>
    </row>
    <row r="102" spans="3:11" x14ac:dyDescent="0.2">
      <c r="C102" t="str">
        <f>IF('Bittrex Data'!A102="","",IF(AND('Bittrex Data'!C102="LIMIT_SELL",Bittrex!D102="USD"),"Sale",IF(AND('Bittrex Data'!C102="LIMIT_BUY",Bittrex!D102="USD"),"Buy","Trade")))</f>
        <v/>
      </c>
      <c r="D102" t="str">
        <f>IF('Bittrex Data'!B102="","",LEFT(LEFT('Bittrex Data'!B102,SEARCH("-",'Bittrex Data'!B102,1)),LEN(LEFT('Bittrex Data'!B102,SEARCH("-",'Bittrex Data'!B102,1)))-1))</f>
        <v/>
      </c>
      <c r="E102" t="str">
        <f>IF('Bittrex Data'!B102="","",RIGHT(RIGHT('Bittrex Data'!B102,LEN('Bittrex Data'!B102)-SEARCH("-",'Bittrex Data'!B102,1)+1),LEN(RIGHT('Bittrex Data'!B102,LEN('Bittrex Data'!B102)-SEARCH("-",'Bittrex Data'!B102,1)+1))-1))</f>
        <v/>
      </c>
      <c r="F102" t="str">
        <f>IF('Bittrex Data'!C102="","",IF('Bittrex Data'!C102="Limit_Sell",'Bittrex Data'!G102-'Bittrex Data'!F102,IF('Bittrex Data'!C102="Limit_Buy",'Bittrex Data'!G102+'Bittrex Data'!F102,"")))</f>
        <v/>
      </c>
      <c r="G102" t="str">
        <f>IF('Bittrex Data'!B102="","",'Bittrex Data'!D102)</f>
        <v/>
      </c>
      <c r="H102" t="str">
        <f>IF('Bittrex Data'!C102="","",IF(Bittrex!C102="Buy",Bittrex!D102,IF(Bittrex!C102="Sale",Bittrex!E102,IF(AND(Bittrex!C102="Trade",'Bittrex Data'!C102="Limit_Sell"),Bittrex!E102,IF(AND(Bittrex!C102="Trade",'Bittrex Data'!C102="Limit_Buy"),Bittrex!D102,"")))))</f>
        <v/>
      </c>
      <c r="I102" t="str">
        <f>IF('Bittrex Data'!C102="","",IF(Bittrex!C102="Buy",F102,IF(C102="Sale",Bittrex!G102,IF(AND(C102="Trade",'Bittrex Data'!C102="Limit_Sell"),Bittrex!G102,IF(AND(Bittrex!C102="Trade",'Bittrex Data'!C102="Limit_Buy"),F102,"")))))</f>
        <v/>
      </c>
      <c r="J102" t="str">
        <f>IF('Bittrex Data'!B102="","",IF('Bittrex Data'!B102="","",IF(Bittrex!H102=Bittrex!E102,D102,Bittrex!E102)))</f>
        <v/>
      </c>
      <c r="K102" t="str">
        <f>IF('Bittrex Data'!B102="","",IF(Bittrex!I102=Bittrex!G102,Bittrex!F102,Bittrex!G102))</f>
        <v/>
      </c>
    </row>
    <row r="103" spans="3:11" x14ac:dyDescent="0.2">
      <c r="C103" t="str">
        <f>IF('Bittrex Data'!A103="","",IF(AND('Bittrex Data'!C103="LIMIT_SELL",Bittrex!D103="USD"),"Sale",IF(AND('Bittrex Data'!C103="LIMIT_BUY",Bittrex!D103="USD"),"Buy","Trade")))</f>
        <v/>
      </c>
      <c r="D103" t="str">
        <f>IF('Bittrex Data'!B103="","",LEFT(LEFT('Bittrex Data'!B103,SEARCH("-",'Bittrex Data'!B103,1)),LEN(LEFT('Bittrex Data'!B103,SEARCH("-",'Bittrex Data'!B103,1)))-1))</f>
        <v/>
      </c>
      <c r="E103" t="str">
        <f>IF('Bittrex Data'!B103="","",RIGHT(RIGHT('Bittrex Data'!B103,LEN('Bittrex Data'!B103)-SEARCH("-",'Bittrex Data'!B103,1)+1),LEN(RIGHT('Bittrex Data'!B103,LEN('Bittrex Data'!B103)-SEARCH("-",'Bittrex Data'!B103,1)+1))-1))</f>
        <v/>
      </c>
      <c r="F103" t="str">
        <f>IF('Bittrex Data'!C103="","",IF('Bittrex Data'!C103="Limit_Sell",'Bittrex Data'!G103-'Bittrex Data'!F103,IF('Bittrex Data'!C103="Limit_Buy",'Bittrex Data'!G103+'Bittrex Data'!F103,"")))</f>
        <v/>
      </c>
      <c r="G103" t="str">
        <f>IF('Bittrex Data'!B103="","",'Bittrex Data'!D103)</f>
        <v/>
      </c>
      <c r="H103" t="str">
        <f>IF('Bittrex Data'!C103="","",IF(Bittrex!C103="Buy",Bittrex!D103,IF(Bittrex!C103="Sale",Bittrex!E103,IF(AND(Bittrex!C103="Trade",'Bittrex Data'!C103="Limit_Sell"),Bittrex!E103,IF(AND(Bittrex!C103="Trade",'Bittrex Data'!C103="Limit_Buy"),Bittrex!D103,"")))))</f>
        <v/>
      </c>
      <c r="I103" t="str">
        <f>IF('Bittrex Data'!C103="","",IF(Bittrex!C103="Buy",F103,IF(C103="Sale",Bittrex!G103,IF(AND(C103="Trade",'Bittrex Data'!C103="Limit_Sell"),Bittrex!G103,IF(AND(Bittrex!C103="Trade",'Bittrex Data'!C103="Limit_Buy"),F103,"")))))</f>
        <v/>
      </c>
      <c r="J103" t="str">
        <f>IF('Bittrex Data'!B103="","",IF('Bittrex Data'!B103="","",IF(Bittrex!H103=Bittrex!E103,D103,Bittrex!E103)))</f>
        <v/>
      </c>
      <c r="K103" t="str">
        <f>IF('Bittrex Data'!B103="","",IF(Bittrex!I103=Bittrex!G103,Bittrex!F103,Bittrex!G103))</f>
        <v/>
      </c>
    </row>
    <row r="104" spans="3:11" x14ac:dyDescent="0.2">
      <c r="C104" t="str">
        <f>IF('Bittrex Data'!A104="","",IF(AND('Bittrex Data'!C104="LIMIT_SELL",Bittrex!D104="USD"),"Sale",IF(AND('Bittrex Data'!C104="LIMIT_BUY",Bittrex!D104="USD"),"Buy","Trade")))</f>
        <v/>
      </c>
      <c r="D104" t="str">
        <f>IF('Bittrex Data'!B104="","",LEFT(LEFT('Bittrex Data'!B104,SEARCH("-",'Bittrex Data'!B104,1)),LEN(LEFT('Bittrex Data'!B104,SEARCH("-",'Bittrex Data'!B104,1)))-1))</f>
        <v/>
      </c>
      <c r="E104" t="str">
        <f>IF('Bittrex Data'!B104="","",RIGHT(RIGHT('Bittrex Data'!B104,LEN('Bittrex Data'!B104)-SEARCH("-",'Bittrex Data'!B104,1)+1),LEN(RIGHT('Bittrex Data'!B104,LEN('Bittrex Data'!B104)-SEARCH("-",'Bittrex Data'!B104,1)+1))-1))</f>
        <v/>
      </c>
      <c r="F104" t="str">
        <f>IF('Bittrex Data'!C104="","",IF('Bittrex Data'!C104="Limit_Sell",'Bittrex Data'!G104-'Bittrex Data'!F104,IF('Bittrex Data'!C104="Limit_Buy",'Bittrex Data'!G104+'Bittrex Data'!F104,"")))</f>
        <v/>
      </c>
      <c r="G104" t="str">
        <f>IF('Bittrex Data'!B104="","",'Bittrex Data'!D104)</f>
        <v/>
      </c>
      <c r="H104" t="str">
        <f>IF('Bittrex Data'!C104="","",IF(Bittrex!C104="Buy",Bittrex!D104,IF(Bittrex!C104="Sale",Bittrex!E104,IF(AND(Bittrex!C104="Trade",'Bittrex Data'!C104="Limit_Sell"),Bittrex!E104,IF(AND(Bittrex!C104="Trade",'Bittrex Data'!C104="Limit_Buy"),Bittrex!D104,"")))))</f>
        <v/>
      </c>
      <c r="I104" t="str">
        <f>IF('Bittrex Data'!C104="","",IF(Bittrex!C104="Buy",F104,IF(C104="Sale",Bittrex!G104,IF(AND(C104="Trade",'Bittrex Data'!C104="Limit_Sell"),Bittrex!G104,IF(AND(Bittrex!C104="Trade",'Bittrex Data'!C104="Limit_Buy"),F104,"")))))</f>
        <v/>
      </c>
      <c r="J104" t="str">
        <f>IF('Bittrex Data'!B104="","",IF('Bittrex Data'!B104="","",IF(Bittrex!H104=Bittrex!E104,D104,Bittrex!E104)))</f>
        <v/>
      </c>
      <c r="K104" t="str">
        <f>IF('Bittrex Data'!B104="","",IF(Bittrex!I104=Bittrex!G104,Bittrex!F104,Bittrex!G104))</f>
        <v/>
      </c>
    </row>
    <row r="105" spans="3:11" x14ac:dyDescent="0.2">
      <c r="C105" t="str">
        <f>IF('Bittrex Data'!A105="","",IF(AND('Bittrex Data'!C105="LIMIT_SELL",Bittrex!D105="USD"),"Sale",IF(AND('Bittrex Data'!C105="LIMIT_BUY",Bittrex!D105="USD"),"Buy","Trade")))</f>
        <v/>
      </c>
      <c r="D105" t="str">
        <f>IF('Bittrex Data'!B105="","",LEFT(LEFT('Bittrex Data'!B105,SEARCH("-",'Bittrex Data'!B105,1)),LEN(LEFT('Bittrex Data'!B105,SEARCH("-",'Bittrex Data'!B105,1)))-1))</f>
        <v/>
      </c>
      <c r="E105" t="str">
        <f>IF('Bittrex Data'!B105="","",RIGHT(RIGHT('Bittrex Data'!B105,LEN('Bittrex Data'!B105)-SEARCH("-",'Bittrex Data'!B105,1)+1),LEN(RIGHT('Bittrex Data'!B105,LEN('Bittrex Data'!B105)-SEARCH("-",'Bittrex Data'!B105,1)+1))-1))</f>
        <v/>
      </c>
      <c r="F105" t="str">
        <f>IF('Bittrex Data'!C105="","",IF('Bittrex Data'!C105="Limit_Sell",'Bittrex Data'!G105-'Bittrex Data'!F105,IF('Bittrex Data'!C105="Limit_Buy",'Bittrex Data'!G105+'Bittrex Data'!F105,"")))</f>
        <v/>
      </c>
      <c r="G105" t="str">
        <f>IF('Bittrex Data'!B105="","",'Bittrex Data'!D105)</f>
        <v/>
      </c>
      <c r="H105" t="str">
        <f>IF('Bittrex Data'!C105="","",IF(Bittrex!C105="Buy",Bittrex!D105,IF(Bittrex!C105="Sale",Bittrex!E105,IF(AND(Bittrex!C105="Trade",'Bittrex Data'!C105="Limit_Sell"),Bittrex!E105,IF(AND(Bittrex!C105="Trade",'Bittrex Data'!C105="Limit_Buy"),Bittrex!D105,"")))))</f>
        <v/>
      </c>
      <c r="I105" t="str">
        <f>IF('Bittrex Data'!C105="","",IF(Bittrex!C105="Buy",F105,IF(C105="Sale",Bittrex!G105,IF(AND(C105="Trade",'Bittrex Data'!C105="Limit_Sell"),Bittrex!G105,IF(AND(Bittrex!C105="Trade",'Bittrex Data'!C105="Limit_Buy"),F105,"")))))</f>
        <v/>
      </c>
      <c r="J105" t="str">
        <f>IF('Bittrex Data'!B105="","",IF('Bittrex Data'!B105="","",IF(Bittrex!H105=Bittrex!E105,D105,Bittrex!E105)))</f>
        <v/>
      </c>
      <c r="K105" t="str">
        <f>IF('Bittrex Data'!B105="","",IF(Bittrex!I105=Bittrex!G105,Bittrex!F105,Bittrex!G105))</f>
        <v/>
      </c>
    </row>
    <row r="106" spans="3:11" x14ac:dyDescent="0.2">
      <c r="C106" t="str">
        <f>IF('Bittrex Data'!A106="","",IF(AND('Bittrex Data'!C106="LIMIT_SELL",Bittrex!D106="USD"),"Sale",IF(AND('Bittrex Data'!C106="LIMIT_BUY",Bittrex!D106="USD"),"Buy","Trade")))</f>
        <v/>
      </c>
      <c r="D106" t="str">
        <f>IF('Bittrex Data'!B106="","",LEFT(LEFT('Bittrex Data'!B106,SEARCH("-",'Bittrex Data'!B106,1)),LEN(LEFT('Bittrex Data'!B106,SEARCH("-",'Bittrex Data'!B106,1)))-1))</f>
        <v/>
      </c>
      <c r="E106" t="str">
        <f>IF('Bittrex Data'!B106="","",RIGHT(RIGHT('Bittrex Data'!B106,LEN('Bittrex Data'!B106)-SEARCH("-",'Bittrex Data'!B106,1)+1),LEN(RIGHT('Bittrex Data'!B106,LEN('Bittrex Data'!B106)-SEARCH("-",'Bittrex Data'!B106,1)+1))-1))</f>
        <v/>
      </c>
      <c r="F106" t="str">
        <f>IF('Bittrex Data'!C106="","",IF('Bittrex Data'!C106="Limit_Sell",'Bittrex Data'!G106-'Bittrex Data'!F106,IF('Bittrex Data'!C106="Limit_Buy",'Bittrex Data'!G106+'Bittrex Data'!F106,"")))</f>
        <v/>
      </c>
      <c r="G106" t="str">
        <f>IF('Bittrex Data'!B106="","",'Bittrex Data'!D106)</f>
        <v/>
      </c>
      <c r="H106" t="str">
        <f>IF('Bittrex Data'!C106="","",IF(Bittrex!C106="Buy",Bittrex!D106,IF(Bittrex!C106="Sale",Bittrex!E106,IF(AND(Bittrex!C106="Trade",'Bittrex Data'!C106="Limit_Sell"),Bittrex!E106,IF(AND(Bittrex!C106="Trade",'Bittrex Data'!C106="Limit_Buy"),Bittrex!D106,"")))))</f>
        <v/>
      </c>
      <c r="I106" t="str">
        <f>IF('Bittrex Data'!C106="","",IF(Bittrex!C106="Buy",F106,IF(C106="Sale",Bittrex!G106,IF(AND(C106="Trade",'Bittrex Data'!C106="Limit_Sell"),Bittrex!G106,IF(AND(Bittrex!C106="Trade",'Bittrex Data'!C106="Limit_Buy"),F106,"")))))</f>
        <v/>
      </c>
      <c r="J106" t="str">
        <f>IF('Bittrex Data'!B106="","",IF('Bittrex Data'!B106="","",IF(Bittrex!H106=Bittrex!E106,D106,Bittrex!E106)))</f>
        <v/>
      </c>
      <c r="K106" t="str">
        <f>IF('Bittrex Data'!B106="","",IF(Bittrex!I106=Bittrex!G106,Bittrex!F106,Bittrex!G106))</f>
        <v/>
      </c>
    </row>
    <row r="107" spans="3:11" x14ac:dyDescent="0.2">
      <c r="C107" t="str">
        <f>IF('Bittrex Data'!A107="","",IF(AND('Bittrex Data'!C107="LIMIT_SELL",Bittrex!D107="USD"),"Sale",IF(AND('Bittrex Data'!C107="LIMIT_BUY",Bittrex!D107="USD"),"Buy","Trade")))</f>
        <v/>
      </c>
      <c r="D107" t="str">
        <f>IF('Bittrex Data'!B107="","",LEFT(LEFT('Bittrex Data'!B107,SEARCH("-",'Bittrex Data'!B107,1)),LEN(LEFT('Bittrex Data'!B107,SEARCH("-",'Bittrex Data'!B107,1)))-1))</f>
        <v/>
      </c>
      <c r="E107" t="str">
        <f>IF('Bittrex Data'!B107="","",RIGHT(RIGHT('Bittrex Data'!B107,LEN('Bittrex Data'!B107)-SEARCH("-",'Bittrex Data'!B107,1)+1),LEN(RIGHT('Bittrex Data'!B107,LEN('Bittrex Data'!B107)-SEARCH("-",'Bittrex Data'!B107,1)+1))-1))</f>
        <v/>
      </c>
      <c r="F107" t="str">
        <f>IF('Bittrex Data'!C107="","",IF('Bittrex Data'!C107="Limit_Sell",'Bittrex Data'!G107-'Bittrex Data'!F107,IF('Bittrex Data'!C107="Limit_Buy",'Bittrex Data'!G107+'Bittrex Data'!F107,"")))</f>
        <v/>
      </c>
      <c r="G107" t="str">
        <f>IF('Bittrex Data'!B107="","",'Bittrex Data'!D107)</f>
        <v/>
      </c>
      <c r="H107" t="str">
        <f>IF('Bittrex Data'!C107="","",IF(Bittrex!C107="Buy",Bittrex!D107,IF(Bittrex!C107="Sale",Bittrex!E107,IF(AND(Bittrex!C107="Trade",'Bittrex Data'!C107="Limit_Sell"),Bittrex!E107,IF(AND(Bittrex!C107="Trade",'Bittrex Data'!C107="Limit_Buy"),Bittrex!D107,"")))))</f>
        <v/>
      </c>
      <c r="I107" t="str">
        <f>IF('Bittrex Data'!C107="","",IF(Bittrex!C107="Buy",F107,IF(C107="Sale",Bittrex!G107,IF(AND(C107="Trade",'Bittrex Data'!C107="Limit_Sell"),Bittrex!G107,IF(AND(Bittrex!C107="Trade",'Bittrex Data'!C107="Limit_Buy"),F107,"")))))</f>
        <v/>
      </c>
      <c r="J107" t="str">
        <f>IF('Bittrex Data'!B107="","",IF('Bittrex Data'!B107="","",IF(Bittrex!H107=Bittrex!E107,D107,Bittrex!E107)))</f>
        <v/>
      </c>
      <c r="K107" t="str">
        <f>IF('Bittrex Data'!B107="","",IF(Bittrex!I107=Bittrex!G107,Bittrex!F107,Bittrex!G107))</f>
        <v/>
      </c>
    </row>
    <row r="108" spans="3:11" x14ac:dyDescent="0.2">
      <c r="C108" t="str">
        <f>IF('Bittrex Data'!A108="","",IF(AND('Bittrex Data'!C108="LIMIT_SELL",Bittrex!D108="USD"),"Sale",IF(AND('Bittrex Data'!C108="LIMIT_BUY",Bittrex!D108="USD"),"Buy","Trade")))</f>
        <v/>
      </c>
      <c r="D108" t="str">
        <f>IF('Bittrex Data'!B108="","",LEFT(LEFT('Bittrex Data'!B108,SEARCH("-",'Bittrex Data'!B108,1)),LEN(LEFT('Bittrex Data'!B108,SEARCH("-",'Bittrex Data'!B108,1)))-1))</f>
        <v/>
      </c>
      <c r="E108" t="str">
        <f>IF('Bittrex Data'!B108="","",RIGHT(RIGHT('Bittrex Data'!B108,LEN('Bittrex Data'!B108)-SEARCH("-",'Bittrex Data'!B108,1)+1),LEN(RIGHT('Bittrex Data'!B108,LEN('Bittrex Data'!B108)-SEARCH("-",'Bittrex Data'!B108,1)+1))-1))</f>
        <v/>
      </c>
      <c r="F108" t="str">
        <f>IF('Bittrex Data'!C108="","",IF('Bittrex Data'!C108="Limit_Sell",'Bittrex Data'!G108-'Bittrex Data'!F108,IF('Bittrex Data'!C108="Limit_Buy",'Bittrex Data'!G108+'Bittrex Data'!F108,"")))</f>
        <v/>
      </c>
      <c r="G108" t="str">
        <f>IF('Bittrex Data'!B108="","",'Bittrex Data'!D108)</f>
        <v/>
      </c>
      <c r="H108" t="str">
        <f>IF('Bittrex Data'!C108="","",IF(Bittrex!C108="Buy",Bittrex!D108,IF(Bittrex!C108="Sale",Bittrex!E108,IF(AND(Bittrex!C108="Trade",'Bittrex Data'!C108="Limit_Sell"),Bittrex!E108,IF(AND(Bittrex!C108="Trade",'Bittrex Data'!C108="Limit_Buy"),Bittrex!D108,"")))))</f>
        <v/>
      </c>
      <c r="I108" t="str">
        <f>IF('Bittrex Data'!C108="","",IF(Bittrex!C108="Buy",F108,IF(C108="Sale",Bittrex!G108,IF(AND(C108="Trade",'Bittrex Data'!C108="Limit_Sell"),Bittrex!G108,IF(AND(Bittrex!C108="Trade",'Bittrex Data'!C108="Limit_Buy"),F108,"")))))</f>
        <v/>
      </c>
      <c r="J108" t="str">
        <f>IF('Bittrex Data'!B108="","",IF('Bittrex Data'!B108="","",IF(Bittrex!H108=Bittrex!E108,D108,Bittrex!E108)))</f>
        <v/>
      </c>
      <c r="K108" t="str">
        <f>IF('Bittrex Data'!B108="","",IF(Bittrex!I108=Bittrex!G108,Bittrex!F108,Bittrex!G108))</f>
        <v/>
      </c>
    </row>
    <row r="109" spans="3:11" x14ac:dyDescent="0.2">
      <c r="C109" t="str">
        <f>IF('Bittrex Data'!A109="","",IF(AND('Bittrex Data'!C109="LIMIT_SELL",Bittrex!D109="USD"),"Sale",IF(AND('Bittrex Data'!C109="LIMIT_BUY",Bittrex!D109="USD"),"Buy","Trade")))</f>
        <v/>
      </c>
      <c r="D109" t="str">
        <f>IF('Bittrex Data'!B109="","",LEFT(LEFT('Bittrex Data'!B109,SEARCH("-",'Bittrex Data'!B109,1)),LEN(LEFT('Bittrex Data'!B109,SEARCH("-",'Bittrex Data'!B109,1)))-1))</f>
        <v/>
      </c>
      <c r="E109" t="str">
        <f>IF('Bittrex Data'!B109="","",RIGHT(RIGHT('Bittrex Data'!B109,LEN('Bittrex Data'!B109)-SEARCH("-",'Bittrex Data'!B109,1)+1),LEN(RIGHT('Bittrex Data'!B109,LEN('Bittrex Data'!B109)-SEARCH("-",'Bittrex Data'!B109,1)+1))-1))</f>
        <v/>
      </c>
      <c r="F109" t="str">
        <f>IF('Bittrex Data'!C109="","",IF('Bittrex Data'!C109="Limit_Sell",'Bittrex Data'!G109-'Bittrex Data'!F109,IF('Bittrex Data'!C109="Limit_Buy",'Bittrex Data'!G109+'Bittrex Data'!F109,"")))</f>
        <v/>
      </c>
      <c r="G109" t="str">
        <f>IF('Bittrex Data'!B109="","",'Bittrex Data'!D109)</f>
        <v/>
      </c>
      <c r="H109" t="str">
        <f>IF('Bittrex Data'!C109="","",IF(Bittrex!C109="Buy",Bittrex!D109,IF(Bittrex!C109="Sale",Bittrex!E109,IF(AND(Bittrex!C109="Trade",'Bittrex Data'!C109="Limit_Sell"),Bittrex!E109,IF(AND(Bittrex!C109="Trade",'Bittrex Data'!C109="Limit_Buy"),Bittrex!D109,"")))))</f>
        <v/>
      </c>
      <c r="I109" t="str">
        <f>IF('Bittrex Data'!C109="","",IF(Bittrex!C109="Buy",F109,IF(C109="Sale",Bittrex!G109,IF(AND(C109="Trade",'Bittrex Data'!C109="Limit_Sell"),Bittrex!G109,IF(AND(Bittrex!C109="Trade",'Bittrex Data'!C109="Limit_Buy"),F109,"")))))</f>
        <v/>
      </c>
      <c r="J109" t="str">
        <f>IF('Bittrex Data'!B109="","",IF('Bittrex Data'!B109="","",IF(Bittrex!H109=Bittrex!E109,D109,Bittrex!E109)))</f>
        <v/>
      </c>
      <c r="K109" t="str">
        <f>IF('Bittrex Data'!B109="","",IF(Bittrex!I109=Bittrex!G109,Bittrex!F109,Bittrex!G109))</f>
        <v/>
      </c>
    </row>
    <row r="110" spans="3:11" x14ac:dyDescent="0.2">
      <c r="C110" t="str">
        <f>IF('Bittrex Data'!A110="","",IF(AND('Bittrex Data'!C110="LIMIT_SELL",Bittrex!D110="USD"),"Sale",IF(AND('Bittrex Data'!C110="LIMIT_BUY",Bittrex!D110="USD"),"Buy","Trade")))</f>
        <v/>
      </c>
      <c r="D110" t="str">
        <f>IF('Bittrex Data'!B110="","",LEFT(LEFT('Bittrex Data'!B110,SEARCH("-",'Bittrex Data'!B110,1)),LEN(LEFT('Bittrex Data'!B110,SEARCH("-",'Bittrex Data'!B110,1)))-1))</f>
        <v/>
      </c>
      <c r="E110" t="str">
        <f>IF('Bittrex Data'!B110="","",RIGHT(RIGHT('Bittrex Data'!B110,LEN('Bittrex Data'!B110)-SEARCH("-",'Bittrex Data'!B110,1)+1),LEN(RIGHT('Bittrex Data'!B110,LEN('Bittrex Data'!B110)-SEARCH("-",'Bittrex Data'!B110,1)+1))-1))</f>
        <v/>
      </c>
      <c r="F110" t="str">
        <f>IF('Bittrex Data'!C110="","",IF('Bittrex Data'!C110="Limit_Sell",'Bittrex Data'!G110-'Bittrex Data'!F110,IF('Bittrex Data'!C110="Limit_Buy",'Bittrex Data'!G110+'Bittrex Data'!F110,"")))</f>
        <v/>
      </c>
      <c r="G110" t="str">
        <f>IF('Bittrex Data'!B110="","",'Bittrex Data'!D110)</f>
        <v/>
      </c>
      <c r="H110" t="str">
        <f>IF('Bittrex Data'!C110="","",IF(Bittrex!C110="Buy",Bittrex!D110,IF(Bittrex!C110="Sale",Bittrex!E110,IF(AND(Bittrex!C110="Trade",'Bittrex Data'!C110="Limit_Sell"),Bittrex!E110,IF(AND(Bittrex!C110="Trade",'Bittrex Data'!C110="Limit_Buy"),Bittrex!D110,"")))))</f>
        <v/>
      </c>
      <c r="I110" t="str">
        <f>IF('Bittrex Data'!C110="","",IF(Bittrex!C110="Buy",F110,IF(C110="Sale",Bittrex!G110,IF(AND(C110="Trade",'Bittrex Data'!C110="Limit_Sell"),Bittrex!G110,IF(AND(Bittrex!C110="Trade",'Bittrex Data'!C110="Limit_Buy"),F110,"")))))</f>
        <v/>
      </c>
      <c r="J110" t="str">
        <f>IF('Bittrex Data'!B110="","",IF('Bittrex Data'!B110="","",IF(Bittrex!H110=Bittrex!E110,D110,Bittrex!E110)))</f>
        <v/>
      </c>
      <c r="K110" t="str">
        <f>IF('Bittrex Data'!B110="","",IF(Bittrex!I110=Bittrex!G110,Bittrex!F110,Bittrex!G110))</f>
        <v/>
      </c>
    </row>
    <row r="111" spans="3:11" x14ac:dyDescent="0.2">
      <c r="C111" t="str">
        <f>IF('Bittrex Data'!A111="","",IF(AND('Bittrex Data'!C111="LIMIT_SELL",Bittrex!D111="USD"),"Sale",IF(AND('Bittrex Data'!C111="LIMIT_BUY",Bittrex!D111="USD"),"Buy","Trade")))</f>
        <v/>
      </c>
      <c r="D111" t="str">
        <f>IF('Bittrex Data'!B111="","",LEFT(LEFT('Bittrex Data'!B111,SEARCH("-",'Bittrex Data'!B111,1)),LEN(LEFT('Bittrex Data'!B111,SEARCH("-",'Bittrex Data'!B111,1)))-1))</f>
        <v/>
      </c>
      <c r="E111" t="str">
        <f>IF('Bittrex Data'!B111="","",RIGHT(RIGHT('Bittrex Data'!B111,LEN('Bittrex Data'!B111)-SEARCH("-",'Bittrex Data'!B111,1)+1),LEN(RIGHT('Bittrex Data'!B111,LEN('Bittrex Data'!B111)-SEARCH("-",'Bittrex Data'!B111,1)+1))-1))</f>
        <v/>
      </c>
      <c r="F111" t="str">
        <f>IF('Bittrex Data'!C111="","",IF('Bittrex Data'!C111="Limit_Sell",'Bittrex Data'!G111-'Bittrex Data'!F111,IF('Bittrex Data'!C111="Limit_Buy",'Bittrex Data'!G111+'Bittrex Data'!F111,"")))</f>
        <v/>
      </c>
      <c r="G111" t="str">
        <f>IF('Bittrex Data'!B111="","",'Bittrex Data'!D111)</f>
        <v/>
      </c>
      <c r="H111" t="str">
        <f>IF('Bittrex Data'!C111="","",IF(Bittrex!C111="Buy",Bittrex!D111,IF(Bittrex!C111="Sale",Bittrex!E111,IF(AND(Bittrex!C111="Trade",'Bittrex Data'!C111="Limit_Sell"),Bittrex!E111,IF(AND(Bittrex!C111="Trade",'Bittrex Data'!C111="Limit_Buy"),Bittrex!D111,"")))))</f>
        <v/>
      </c>
      <c r="I111" t="str">
        <f>IF('Bittrex Data'!C111="","",IF(Bittrex!C111="Buy",F111,IF(C111="Sale",Bittrex!G111,IF(AND(C111="Trade",'Bittrex Data'!C111="Limit_Sell"),Bittrex!G111,IF(AND(Bittrex!C111="Trade",'Bittrex Data'!C111="Limit_Buy"),F111,"")))))</f>
        <v/>
      </c>
      <c r="J111" t="str">
        <f>IF('Bittrex Data'!B111="","",IF('Bittrex Data'!B111="","",IF(Bittrex!H111=Bittrex!E111,D111,Bittrex!E111)))</f>
        <v/>
      </c>
      <c r="K111" t="str">
        <f>IF('Bittrex Data'!B111="","",IF(Bittrex!I111=Bittrex!G111,Bittrex!F111,Bittrex!G111))</f>
        <v/>
      </c>
    </row>
    <row r="112" spans="3:11" x14ac:dyDescent="0.2">
      <c r="C112" t="str">
        <f>IF('Bittrex Data'!A112="","",IF(AND('Bittrex Data'!C112="LIMIT_SELL",Bittrex!D112="USD"),"Sale",IF(AND('Bittrex Data'!C112="LIMIT_BUY",Bittrex!D112="USD"),"Buy","Trade")))</f>
        <v/>
      </c>
      <c r="D112" t="str">
        <f>IF('Bittrex Data'!B112="","",LEFT(LEFT('Bittrex Data'!B112,SEARCH("-",'Bittrex Data'!B112,1)),LEN(LEFT('Bittrex Data'!B112,SEARCH("-",'Bittrex Data'!B112,1)))-1))</f>
        <v/>
      </c>
      <c r="E112" t="str">
        <f>IF('Bittrex Data'!B112="","",RIGHT(RIGHT('Bittrex Data'!B112,LEN('Bittrex Data'!B112)-SEARCH("-",'Bittrex Data'!B112,1)+1),LEN(RIGHT('Bittrex Data'!B112,LEN('Bittrex Data'!B112)-SEARCH("-",'Bittrex Data'!B112,1)+1))-1))</f>
        <v/>
      </c>
      <c r="F112" t="str">
        <f>IF('Bittrex Data'!C112="","",IF('Bittrex Data'!C112="Limit_Sell",'Bittrex Data'!G112-'Bittrex Data'!F112,IF('Bittrex Data'!C112="Limit_Buy",'Bittrex Data'!G112+'Bittrex Data'!F112,"")))</f>
        <v/>
      </c>
      <c r="G112" t="str">
        <f>IF('Bittrex Data'!B112="","",'Bittrex Data'!D112)</f>
        <v/>
      </c>
      <c r="H112" t="str">
        <f>IF('Bittrex Data'!C112="","",IF(Bittrex!C112="Buy",Bittrex!D112,IF(Bittrex!C112="Sale",Bittrex!E112,IF(AND(Bittrex!C112="Trade",'Bittrex Data'!C112="Limit_Sell"),Bittrex!E112,IF(AND(Bittrex!C112="Trade",'Bittrex Data'!C112="Limit_Buy"),Bittrex!D112,"")))))</f>
        <v/>
      </c>
      <c r="I112" t="str">
        <f>IF('Bittrex Data'!C112="","",IF(Bittrex!C112="Buy",F112,IF(C112="Sale",Bittrex!G112,IF(AND(C112="Trade",'Bittrex Data'!C112="Limit_Sell"),Bittrex!G112,IF(AND(Bittrex!C112="Trade",'Bittrex Data'!C112="Limit_Buy"),F112,"")))))</f>
        <v/>
      </c>
      <c r="J112" t="str">
        <f>IF('Bittrex Data'!B112="","",IF('Bittrex Data'!B112="","",IF(Bittrex!H112=Bittrex!E112,D112,Bittrex!E112)))</f>
        <v/>
      </c>
      <c r="K112" t="str">
        <f>IF('Bittrex Data'!B112="","",IF(Bittrex!I112=Bittrex!G112,Bittrex!F112,Bittrex!G112))</f>
        <v/>
      </c>
    </row>
    <row r="113" spans="3:11" x14ac:dyDescent="0.2">
      <c r="C113" t="str">
        <f>IF('Bittrex Data'!A113="","",IF(AND('Bittrex Data'!C113="LIMIT_SELL",Bittrex!D113="USD"),"Sale",IF(AND('Bittrex Data'!C113="LIMIT_BUY",Bittrex!D113="USD"),"Buy","Trade")))</f>
        <v/>
      </c>
      <c r="D113" t="str">
        <f>IF('Bittrex Data'!B113="","",LEFT(LEFT('Bittrex Data'!B113,SEARCH("-",'Bittrex Data'!B113,1)),LEN(LEFT('Bittrex Data'!B113,SEARCH("-",'Bittrex Data'!B113,1)))-1))</f>
        <v/>
      </c>
      <c r="E113" t="str">
        <f>IF('Bittrex Data'!B113="","",RIGHT(RIGHT('Bittrex Data'!B113,LEN('Bittrex Data'!B113)-SEARCH("-",'Bittrex Data'!B113,1)+1),LEN(RIGHT('Bittrex Data'!B113,LEN('Bittrex Data'!B113)-SEARCH("-",'Bittrex Data'!B113,1)+1))-1))</f>
        <v/>
      </c>
      <c r="F113" t="str">
        <f>IF('Bittrex Data'!C113="","",IF('Bittrex Data'!C113="Limit_Sell",'Bittrex Data'!G113-'Bittrex Data'!F113,IF('Bittrex Data'!C113="Limit_Buy",'Bittrex Data'!G113+'Bittrex Data'!F113,"")))</f>
        <v/>
      </c>
      <c r="G113" t="str">
        <f>IF('Bittrex Data'!B113="","",'Bittrex Data'!D113)</f>
        <v/>
      </c>
      <c r="H113" t="str">
        <f>IF('Bittrex Data'!C113="","",IF(Bittrex!C113="Buy",Bittrex!D113,IF(Bittrex!C113="Sale",Bittrex!E113,IF(AND(Bittrex!C113="Trade",'Bittrex Data'!C113="Limit_Sell"),Bittrex!E113,IF(AND(Bittrex!C113="Trade",'Bittrex Data'!C113="Limit_Buy"),Bittrex!D113,"")))))</f>
        <v/>
      </c>
      <c r="I113" t="str">
        <f>IF('Bittrex Data'!C113="","",IF(Bittrex!C113="Buy",F113,IF(C113="Sale",Bittrex!G113,IF(AND(C113="Trade",'Bittrex Data'!C113="Limit_Sell"),Bittrex!G113,IF(AND(Bittrex!C113="Trade",'Bittrex Data'!C113="Limit_Buy"),F113,"")))))</f>
        <v/>
      </c>
      <c r="J113" t="str">
        <f>IF('Bittrex Data'!B113="","",IF('Bittrex Data'!B113="","",IF(Bittrex!H113=Bittrex!E113,D113,Bittrex!E113)))</f>
        <v/>
      </c>
      <c r="K113" t="str">
        <f>IF('Bittrex Data'!B113="","",IF(Bittrex!I113=Bittrex!G113,Bittrex!F113,Bittrex!G113))</f>
        <v/>
      </c>
    </row>
    <row r="114" spans="3:11" x14ac:dyDescent="0.2">
      <c r="C114" t="str">
        <f>IF('Bittrex Data'!A114="","",IF(AND('Bittrex Data'!C114="LIMIT_SELL",Bittrex!D114="USD"),"Sale",IF(AND('Bittrex Data'!C114="LIMIT_BUY",Bittrex!D114="USD"),"Buy","Trade")))</f>
        <v/>
      </c>
      <c r="D114" t="str">
        <f>IF('Bittrex Data'!B114="","",LEFT(LEFT('Bittrex Data'!B114,SEARCH("-",'Bittrex Data'!B114,1)),LEN(LEFT('Bittrex Data'!B114,SEARCH("-",'Bittrex Data'!B114,1)))-1))</f>
        <v/>
      </c>
      <c r="E114" t="str">
        <f>IF('Bittrex Data'!B114="","",RIGHT(RIGHT('Bittrex Data'!B114,LEN('Bittrex Data'!B114)-SEARCH("-",'Bittrex Data'!B114,1)+1),LEN(RIGHT('Bittrex Data'!B114,LEN('Bittrex Data'!B114)-SEARCH("-",'Bittrex Data'!B114,1)+1))-1))</f>
        <v/>
      </c>
      <c r="F114" t="str">
        <f>IF('Bittrex Data'!C114="","",IF('Bittrex Data'!C114="Limit_Sell",'Bittrex Data'!G114-'Bittrex Data'!F114,IF('Bittrex Data'!C114="Limit_Buy",'Bittrex Data'!G114+'Bittrex Data'!F114,"")))</f>
        <v/>
      </c>
      <c r="G114" t="str">
        <f>IF('Bittrex Data'!B114="","",'Bittrex Data'!D114)</f>
        <v/>
      </c>
      <c r="H114" t="str">
        <f>IF('Bittrex Data'!C114="","",IF(Bittrex!C114="Buy",Bittrex!D114,IF(Bittrex!C114="Sale",Bittrex!E114,IF(AND(Bittrex!C114="Trade",'Bittrex Data'!C114="Limit_Sell"),Bittrex!E114,IF(AND(Bittrex!C114="Trade",'Bittrex Data'!C114="Limit_Buy"),Bittrex!D114,"")))))</f>
        <v/>
      </c>
      <c r="I114" t="str">
        <f>IF('Bittrex Data'!C114="","",IF(Bittrex!C114="Buy",F114,IF(C114="Sale",Bittrex!G114,IF(AND(C114="Trade",'Bittrex Data'!C114="Limit_Sell"),Bittrex!G114,IF(AND(Bittrex!C114="Trade",'Bittrex Data'!C114="Limit_Buy"),F114,"")))))</f>
        <v/>
      </c>
      <c r="J114" t="str">
        <f>IF('Bittrex Data'!B114="","",IF('Bittrex Data'!B114="","",IF(Bittrex!H114=Bittrex!E114,D114,Bittrex!E114)))</f>
        <v/>
      </c>
      <c r="K114" t="str">
        <f>IF('Bittrex Data'!B114="","",IF(Bittrex!I114=Bittrex!G114,Bittrex!F114,Bittrex!G114))</f>
        <v/>
      </c>
    </row>
    <row r="115" spans="3:11" x14ac:dyDescent="0.2">
      <c r="C115" t="str">
        <f>IF('Bittrex Data'!A115="","",IF(AND('Bittrex Data'!C115="LIMIT_SELL",Bittrex!D115="USD"),"Sale",IF(AND('Bittrex Data'!C115="LIMIT_BUY",Bittrex!D115="USD"),"Buy","Trade")))</f>
        <v/>
      </c>
      <c r="D115" t="str">
        <f>IF('Bittrex Data'!B115="","",LEFT(LEFT('Bittrex Data'!B115,SEARCH("-",'Bittrex Data'!B115,1)),LEN(LEFT('Bittrex Data'!B115,SEARCH("-",'Bittrex Data'!B115,1)))-1))</f>
        <v/>
      </c>
      <c r="E115" t="str">
        <f>IF('Bittrex Data'!B115="","",RIGHT(RIGHT('Bittrex Data'!B115,LEN('Bittrex Data'!B115)-SEARCH("-",'Bittrex Data'!B115,1)+1),LEN(RIGHT('Bittrex Data'!B115,LEN('Bittrex Data'!B115)-SEARCH("-",'Bittrex Data'!B115,1)+1))-1))</f>
        <v/>
      </c>
      <c r="F115" t="str">
        <f>IF('Bittrex Data'!C115="","",IF('Bittrex Data'!C115="Limit_Sell",'Bittrex Data'!G115-'Bittrex Data'!F115,IF('Bittrex Data'!C115="Limit_Buy",'Bittrex Data'!G115+'Bittrex Data'!F115,"")))</f>
        <v/>
      </c>
      <c r="G115" t="str">
        <f>IF('Bittrex Data'!B115="","",'Bittrex Data'!D115)</f>
        <v/>
      </c>
      <c r="H115" t="str">
        <f>IF('Bittrex Data'!C115="","",IF(Bittrex!C115="Buy",Bittrex!D115,IF(Bittrex!C115="Sale",Bittrex!E115,IF(AND(Bittrex!C115="Trade",'Bittrex Data'!C115="Limit_Sell"),Bittrex!E115,IF(AND(Bittrex!C115="Trade",'Bittrex Data'!C115="Limit_Buy"),Bittrex!D115,"")))))</f>
        <v/>
      </c>
      <c r="I115" t="str">
        <f>IF('Bittrex Data'!C115="","",IF(Bittrex!C115="Buy",F115,IF(C115="Sale",Bittrex!G115,IF(AND(C115="Trade",'Bittrex Data'!C115="Limit_Sell"),Bittrex!G115,IF(AND(Bittrex!C115="Trade",'Bittrex Data'!C115="Limit_Buy"),F115,"")))))</f>
        <v/>
      </c>
      <c r="J115" t="str">
        <f>IF('Bittrex Data'!B115="","",IF('Bittrex Data'!B115="","",IF(Bittrex!H115=Bittrex!E115,D115,Bittrex!E115)))</f>
        <v/>
      </c>
      <c r="K115" t="str">
        <f>IF('Bittrex Data'!B115="","",IF(Bittrex!I115=Bittrex!G115,Bittrex!F115,Bittrex!G115))</f>
        <v/>
      </c>
    </row>
    <row r="116" spans="3:11" x14ac:dyDescent="0.2">
      <c r="C116" t="str">
        <f>IF('Bittrex Data'!A116="","",IF(AND('Bittrex Data'!C116="LIMIT_SELL",Bittrex!D116="USD"),"Sale",IF(AND('Bittrex Data'!C116="LIMIT_BUY",Bittrex!D116="USD"),"Buy","Trade")))</f>
        <v/>
      </c>
      <c r="D116" t="str">
        <f>IF('Bittrex Data'!B116="","",LEFT(LEFT('Bittrex Data'!B116,SEARCH("-",'Bittrex Data'!B116,1)),LEN(LEFT('Bittrex Data'!B116,SEARCH("-",'Bittrex Data'!B116,1)))-1))</f>
        <v/>
      </c>
      <c r="E116" t="str">
        <f>IF('Bittrex Data'!B116="","",RIGHT(RIGHT('Bittrex Data'!B116,LEN('Bittrex Data'!B116)-SEARCH("-",'Bittrex Data'!B116,1)+1),LEN(RIGHT('Bittrex Data'!B116,LEN('Bittrex Data'!B116)-SEARCH("-",'Bittrex Data'!B116,1)+1))-1))</f>
        <v/>
      </c>
      <c r="F116" t="str">
        <f>IF('Bittrex Data'!C116="","",IF('Bittrex Data'!C116="Limit_Sell",'Bittrex Data'!G116-'Bittrex Data'!F116,IF('Bittrex Data'!C116="Limit_Buy",'Bittrex Data'!G116+'Bittrex Data'!F116,"")))</f>
        <v/>
      </c>
      <c r="G116" t="str">
        <f>IF('Bittrex Data'!B116="","",'Bittrex Data'!D116)</f>
        <v/>
      </c>
      <c r="H116" t="str">
        <f>IF('Bittrex Data'!C116="","",IF(Bittrex!C116="Buy",Bittrex!D116,IF(Bittrex!C116="Sale",Bittrex!E116,IF(AND(Bittrex!C116="Trade",'Bittrex Data'!C116="Limit_Sell"),Bittrex!E116,IF(AND(Bittrex!C116="Trade",'Bittrex Data'!C116="Limit_Buy"),Bittrex!D116,"")))))</f>
        <v/>
      </c>
      <c r="I116" t="str">
        <f>IF('Bittrex Data'!C116="","",IF(Bittrex!C116="Buy",F116,IF(C116="Sale",Bittrex!G116,IF(AND(C116="Trade",'Bittrex Data'!C116="Limit_Sell"),Bittrex!G116,IF(AND(Bittrex!C116="Trade",'Bittrex Data'!C116="Limit_Buy"),F116,"")))))</f>
        <v/>
      </c>
      <c r="J116" t="str">
        <f>IF('Bittrex Data'!B116="","",IF('Bittrex Data'!B116="","",IF(Bittrex!H116=Bittrex!E116,D116,Bittrex!E116)))</f>
        <v/>
      </c>
      <c r="K116" t="str">
        <f>IF('Bittrex Data'!B116="","",IF(Bittrex!I116=Bittrex!G116,Bittrex!F116,Bittrex!G116))</f>
        <v/>
      </c>
    </row>
    <row r="117" spans="3:11" x14ac:dyDescent="0.2">
      <c r="C117" t="str">
        <f>IF('Bittrex Data'!A117="","",IF(AND('Bittrex Data'!C117="LIMIT_SELL",Bittrex!D117="USD"),"Sale",IF(AND('Bittrex Data'!C117="LIMIT_BUY",Bittrex!D117="USD"),"Buy","Trade")))</f>
        <v/>
      </c>
      <c r="D117" t="str">
        <f>IF('Bittrex Data'!B117="","",LEFT(LEFT('Bittrex Data'!B117,SEARCH("-",'Bittrex Data'!B117,1)),LEN(LEFT('Bittrex Data'!B117,SEARCH("-",'Bittrex Data'!B117,1)))-1))</f>
        <v/>
      </c>
      <c r="E117" t="str">
        <f>IF('Bittrex Data'!B117="","",RIGHT(RIGHT('Bittrex Data'!B117,LEN('Bittrex Data'!B117)-SEARCH("-",'Bittrex Data'!B117,1)+1),LEN(RIGHT('Bittrex Data'!B117,LEN('Bittrex Data'!B117)-SEARCH("-",'Bittrex Data'!B117,1)+1))-1))</f>
        <v/>
      </c>
      <c r="F117" t="str">
        <f>IF('Bittrex Data'!C117="","",IF('Bittrex Data'!C117="Limit_Sell",'Bittrex Data'!G117-'Bittrex Data'!F117,IF('Bittrex Data'!C117="Limit_Buy",'Bittrex Data'!G117+'Bittrex Data'!F117,"")))</f>
        <v/>
      </c>
      <c r="G117" t="str">
        <f>IF('Bittrex Data'!B117="","",'Bittrex Data'!D117)</f>
        <v/>
      </c>
      <c r="H117" t="str">
        <f>IF('Bittrex Data'!C117="","",IF(Bittrex!C117="Buy",Bittrex!D117,IF(Bittrex!C117="Sale",Bittrex!E117,IF(AND(Bittrex!C117="Trade",'Bittrex Data'!C117="Limit_Sell"),Bittrex!E117,IF(AND(Bittrex!C117="Trade",'Bittrex Data'!C117="Limit_Buy"),Bittrex!D117,"")))))</f>
        <v/>
      </c>
      <c r="I117" t="str">
        <f>IF('Bittrex Data'!C117="","",IF(Bittrex!C117="Buy",F117,IF(C117="Sale",Bittrex!G117,IF(AND(C117="Trade",'Bittrex Data'!C117="Limit_Sell"),Bittrex!G117,IF(AND(Bittrex!C117="Trade",'Bittrex Data'!C117="Limit_Buy"),F117,"")))))</f>
        <v/>
      </c>
      <c r="J117" t="str">
        <f>IF('Bittrex Data'!B117="","",IF('Bittrex Data'!B117="","",IF(Bittrex!H117=Bittrex!E117,D117,Bittrex!E117)))</f>
        <v/>
      </c>
      <c r="K117" t="str">
        <f>IF('Bittrex Data'!B117="","",IF(Bittrex!I117=Bittrex!G117,Bittrex!F117,Bittrex!G117))</f>
        <v/>
      </c>
    </row>
    <row r="118" spans="3:11" x14ac:dyDescent="0.2">
      <c r="C118" t="str">
        <f>IF('Bittrex Data'!A118="","",IF(AND('Bittrex Data'!C118="LIMIT_SELL",Bittrex!D118="USD"),"Sale",IF(AND('Bittrex Data'!C118="LIMIT_BUY",Bittrex!D118="USD"),"Buy","Trade")))</f>
        <v/>
      </c>
      <c r="D118" t="str">
        <f>IF('Bittrex Data'!B118="","",LEFT(LEFT('Bittrex Data'!B118,SEARCH("-",'Bittrex Data'!B118,1)),LEN(LEFT('Bittrex Data'!B118,SEARCH("-",'Bittrex Data'!B118,1)))-1))</f>
        <v/>
      </c>
      <c r="E118" t="str">
        <f>IF('Bittrex Data'!B118="","",RIGHT(RIGHT('Bittrex Data'!B118,LEN('Bittrex Data'!B118)-SEARCH("-",'Bittrex Data'!B118,1)+1),LEN(RIGHT('Bittrex Data'!B118,LEN('Bittrex Data'!B118)-SEARCH("-",'Bittrex Data'!B118,1)+1))-1))</f>
        <v/>
      </c>
      <c r="F118" t="str">
        <f>IF('Bittrex Data'!C118="","",IF('Bittrex Data'!C118="Limit_Sell",'Bittrex Data'!G118-'Bittrex Data'!F118,IF('Bittrex Data'!C118="Limit_Buy",'Bittrex Data'!G118+'Bittrex Data'!F118,"")))</f>
        <v/>
      </c>
      <c r="G118" t="str">
        <f>IF('Bittrex Data'!B118="","",'Bittrex Data'!D118)</f>
        <v/>
      </c>
      <c r="H118" t="str">
        <f>IF('Bittrex Data'!C118="","",IF(Bittrex!C118="Buy",Bittrex!D118,IF(Bittrex!C118="Sale",Bittrex!E118,IF(AND(Bittrex!C118="Trade",'Bittrex Data'!C118="Limit_Sell"),Bittrex!E118,IF(AND(Bittrex!C118="Trade",'Bittrex Data'!C118="Limit_Buy"),Bittrex!D118,"")))))</f>
        <v/>
      </c>
      <c r="I118" t="str">
        <f>IF('Bittrex Data'!C118="","",IF(Bittrex!C118="Buy",F118,IF(C118="Sale",Bittrex!G118,IF(AND(C118="Trade",'Bittrex Data'!C118="Limit_Sell"),Bittrex!G118,IF(AND(Bittrex!C118="Trade",'Bittrex Data'!C118="Limit_Buy"),F118,"")))))</f>
        <v/>
      </c>
      <c r="J118" t="str">
        <f>IF('Bittrex Data'!B118="","",IF('Bittrex Data'!B118="","",IF(Bittrex!H118=Bittrex!E118,D118,Bittrex!E118)))</f>
        <v/>
      </c>
      <c r="K118" t="str">
        <f>IF('Bittrex Data'!B118="","",IF(Bittrex!I118=Bittrex!G118,Bittrex!F118,Bittrex!G118))</f>
        <v/>
      </c>
    </row>
    <row r="119" spans="3:11" x14ac:dyDescent="0.2">
      <c r="C119" t="str">
        <f>IF('Bittrex Data'!A119="","",IF(AND('Bittrex Data'!C119="LIMIT_SELL",Bittrex!D119="USD"),"Sale",IF(AND('Bittrex Data'!C119="LIMIT_BUY",Bittrex!D119="USD"),"Buy","Trade")))</f>
        <v/>
      </c>
      <c r="D119" t="str">
        <f>IF('Bittrex Data'!B119="","",LEFT(LEFT('Bittrex Data'!B119,SEARCH("-",'Bittrex Data'!B119,1)),LEN(LEFT('Bittrex Data'!B119,SEARCH("-",'Bittrex Data'!B119,1)))-1))</f>
        <v/>
      </c>
      <c r="E119" t="str">
        <f>IF('Bittrex Data'!B119="","",RIGHT(RIGHT('Bittrex Data'!B119,LEN('Bittrex Data'!B119)-SEARCH("-",'Bittrex Data'!B119,1)+1),LEN(RIGHT('Bittrex Data'!B119,LEN('Bittrex Data'!B119)-SEARCH("-",'Bittrex Data'!B119,1)+1))-1))</f>
        <v/>
      </c>
      <c r="F119" t="str">
        <f>IF('Bittrex Data'!C119="","",IF('Bittrex Data'!C119="Limit_Sell",'Bittrex Data'!G119-'Bittrex Data'!F119,IF('Bittrex Data'!C119="Limit_Buy",'Bittrex Data'!G119+'Bittrex Data'!F119,"")))</f>
        <v/>
      </c>
      <c r="G119" t="str">
        <f>IF('Bittrex Data'!B119="","",'Bittrex Data'!D119)</f>
        <v/>
      </c>
      <c r="H119" t="str">
        <f>IF('Bittrex Data'!C119="","",IF(Bittrex!C119="Buy",Bittrex!D119,IF(Bittrex!C119="Sale",Bittrex!E119,IF(AND(Bittrex!C119="Trade",'Bittrex Data'!C119="Limit_Sell"),Bittrex!E119,IF(AND(Bittrex!C119="Trade",'Bittrex Data'!C119="Limit_Buy"),Bittrex!D119,"")))))</f>
        <v/>
      </c>
      <c r="I119" t="str">
        <f>IF('Bittrex Data'!C119="","",IF(Bittrex!C119="Buy",F119,IF(C119="Sale",Bittrex!G119,IF(AND(C119="Trade",'Bittrex Data'!C119="Limit_Sell"),Bittrex!G119,IF(AND(Bittrex!C119="Trade",'Bittrex Data'!C119="Limit_Buy"),F119,"")))))</f>
        <v/>
      </c>
      <c r="J119" t="str">
        <f>IF('Bittrex Data'!B119="","",IF('Bittrex Data'!B119="","",IF(Bittrex!H119=Bittrex!E119,D119,Bittrex!E119)))</f>
        <v/>
      </c>
      <c r="K119" t="str">
        <f>IF('Bittrex Data'!B119="","",IF(Bittrex!I119=Bittrex!G119,Bittrex!F119,Bittrex!G119))</f>
        <v/>
      </c>
    </row>
    <row r="120" spans="3:11" x14ac:dyDescent="0.2">
      <c r="C120" t="str">
        <f>IF('Bittrex Data'!A120="","",IF(AND('Bittrex Data'!C120="LIMIT_SELL",Bittrex!D120="USD"),"Sale",IF(AND('Bittrex Data'!C120="LIMIT_BUY",Bittrex!D120="USD"),"Buy","Trade")))</f>
        <v/>
      </c>
      <c r="D120" t="str">
        <f>IF('Bittrex Data'!B120="","",LEFT(LEFT('Bittrex Data'!B120,SEARCH("-",'Bittrex Data'!B120,1)),LEN(LEFT('Bittrex Data'!B120,SEARCH("-",'Bittrex Data'!B120,1)))-1))</f>
        <v/>
      </c>
      <c r="E120" t="str">
        <f>IF('Bittrex Data'!B120="","",RIGHT(RIGHT('Bittrex Data'!B120,LEN('Bittrex Data'!B120)-SEARCH("-",'Bittrex Data'!B120,1)+1),LEN(RIGHT('Bittrex Data'!B120,LEN('Bittrex Data'!B120)-SEARCH("-",'Bittrex Data'!B120,1)+1))-1))</f>
        <v/>
      </c>
      <c r="F120" t="str">
        <f>IF('Bittrex Data'!C120="","",IF('Bittrex Data'!C120="Limit_Sell",'Bittrex Data'!G120-'Bittrex Data'!F120,IF('Bittrex Data'!C120="Limit_Buy",'Bittrex Data'!G120+'Bittrex Data'!F120,"")))</f>
        <v/>
      </c>
      <c r="G120" t="str">
        <f>IF('Bittrex Data'!B120="","",'Bittrex Data'!D120)</f>
        <v/>
      </c>
      <c r="H120" t="str">
        <f>IF('Bittrex Data'!C120="","",IF(Bittrex!C120="Buy",Bittrex!D120,IF(Bittrex!C120="Sale",Bittrex!E120,IF(AND(Bittrex!C120="Trade",'Bittrex Data'!C120="Limit_Sell"),Bittrex!E120,IF(AND(Bittrex!C120="Trade",'Bittrex Data'!C120="Limit_Buy"),Bittrex!D120,"")))))</f>
        <v/>
      </c>
      <c r="I120" t="str">
        <f>IF('Bittrex Data'!C120="","",IF(Bittrex!C120="Buy",F120,IF(C120="Sale",Bittrex!G120,IF(AND(C120="Trade",'Bittrex Data'!C120="Limit_Sell"),Bittrex!G120,IF(AND(Bittrex!C120="Trade",'Bittrex Data'!C120="Limit_Buy"),F120,"")))))</f>
        <v/>
      </c>
      <c r="J120" t="str">
        <f>IF('Bittrex Data'!B120="","",IF('Bittrex Data'!B120="","",IF(Bittrex!H120=Bittrex!E120,D120,Bittrex!E120)))</f>
        <v/>
      </c>
      <c r="K120" t="str">
        <f>IF('Bittrex Data'!B120="","",IF(Bittrex!I120=Bittrex!G120,Bittrex!F120,Bittrex!G120))</f>
        <v/>
      </c>
    </row>
    <row r="121" spans="3:11" x14ac:dyDescent="0.2">
      <c r="C121" t="str">
        <f>IF('Bittrex Data'!A121="","",IF(AND('Bittrex Data'!C121="LIMIT_SELL",Bittrex!D121="USD"),"Sale",IF(AND('Bittrex Data'!C121="LIMIT_BUY",Bittrex!D121="USD"),"Buy","Trade")))</f>
        <v/>
      </c>
      <c r="D121" t="str">
        <f>IF('Bittrex Data'!B121="","",LEFT(LEFT('Bittrex Data'!B121,SEARCH("-",'Bittrex Data'!B121,1)),LEN(LEFT('Bittrex Data'!B121,SEARCH("-",'Bittrex Data'!B121,1)))-1))</f>
        <v/>
      </c>
      <c r="E121" t="str">
        <f>IF('Bittrex Data'!B121="","",RIGHT(RIGHT('Bittrex Data'!B121,LEN('Bittrex Data'!B121)-SEARCH("-",'Bittrex Data'!B121,1)+1),LEN(RIGHT('Bittrex Data'!B121,LEN('Bittrex Data'!B121)-SEARCH("-",'Bittrex Data'!B121,1)+1))-1))</f>
        <v/>
      </c>
      <c r="F121" t="str">
        <f>IF('Bittrex Data'!C121="","",IF('Bittrex Data'!C121="Limit_Sell",'Bittrex Data'!G121-'Bittrex Data'!F121,IF('Bittrex Data'!C121="Limit_Buy",'Bittrex Data'!G121+'Bittrex Data'!F121,"")))</f>
        <v/>
      </c>
      <c r="G121" t="str">
        <f>IF('Bittrex Data'!B121="","",'Bittrex Data'!D121)</f>
        <v/>
      </c>
      <c r="H121" t="str">
        <f>IF('Bittrex Data'!C121="","",IF(Bittrex!C121="Buy",Bittrex!D121,IF(Bittrex!C121="Sale",Bittrex!E121,IF(AND(Bittrex!C121="Trade",'Bittrex Data'!C121="Limit_Sell"),Bittrex!E121,IF(AND(Bittrex!C121="Trade",'Bittrex Data'!C121="Limit_Buy"),Bittrex!D121,"")))))</f>
        <v/>
      </c>
      <c r="I121" t="str">
        <f>IF('Bittrex Data'!C121="","",IF(Bittrex!C121="Buy",F121,IF(C121="Sale",Bittrex!G121,IF(AND(C121="Trade",'Bittrex Data'!C121="Limit_Sell"),Bittrex!G121,IF(AND(Bittrex!C121="Trade",'Bittrex Data'!C121="Limit_Buy"),F121,"")))))</f>
        <v/>
      </c>
      <c r="J121" t="str">
        <f>IF('Bittrex Data'!B121="","",IF('Bittrex Data'!B121="","",IF(Bittrex!H121=Bittrex!E121,D121,Bittrex!E121)))</f>
        <v/>
      </c>
      <c r="K121" t="str">
        <f>IF('Bittrex Data'!B121="","",IF(Bittrex!I121=Bittrex!G121,Bittrex!F121,Bittrex!G121))</f>
        <v/>
      </c>
    </row>
    <row r="122" spans="3:11" x14ac:dyDescent="0.2">
      <c r="C122" t="str">
        <f>IF('Bittrex Data'!A122="","",IF(AND('Bittrex Data'!C122="LIMIT_SELL",Bittrex!D122="USD"),"Sale",IF(AND('Bittrex Data'!C122="LIMIT_BUY",Bittrex!D122="USD"),"Buy","Trade")))</f>
        <v/>
      </c>
      <c r="D122" t="str">
        <f>IF('Bittrex Data'!B122="","",LEFT(LEFT('Bittrex Data'!B122,SEARCH("-",'Bittrex Data'!B122,1)),LEN(LEFT('Bittrex Data'!B122,SEARCH("-",'Bittrex Data'!B122,1)))-1))</f>
        <v/>
      </c>
      <c r="E122" t="str">
        <f>IF('Bittrex Data'!B122="","",RIGHT(RIGHT('Bittrex Data'!B122,LEN('Bittrex Data'!B122)-SEARCH("-",'Bittrex Data'!B122,1)+1),LEN(RIGHT('Bittrex Data'!B122,LEN('Bittrex Data'!B122)-SEARCH("-",'Bittrex Data'!B122,1)+1))-1))</f>
        <v/>
      </c>
      <c r="F122" t="str">
        <f>IF('Bittrex Data'!C122="","",IF('Bittrex Data'!C122="Limit_Sell",'Bittrex Data'!G122-'Bittrex Data'!F122,IF('Bittrex Data'!C122="Limit_Buy",'Bittrex Data'!G122+'Bittrex Data'!F122,"")))</f>
        <v/>
      </c>
      <c r="G122" t="str">
        <f>IF('Bittrex Data'!B122="","",'Bittrex Data'!D122)</f>
        <v/>
      </c>
      <c r="H122" t="str">
        <f>IF('Bittrex Data'!C122="","",IF(Bittrex!C122="Buy",Bittrex!D122,IF(Bittrex!C122="Sale",Bittrex!E122,IF(AND(Bittrex!C122="Trade",'Bittrex Data'!C122="Limit_Sell"),Bittrex!E122,IF(AND(Bittrex!C122="Trade",'Bittrex Data'!C122="Limit_Buy"),Bittrex!D122,"")))))</f>
        <v/>
      </c>
      <c r="I122" t="str">
        <f>IF('Bittrex Data'!C122="","",IF(Bittrex!C122="Buy",F122,IF(C122="Sale",Bittrex!G122,IF(AND(C122="Trade",'Bittrex Data'!C122="Limit_Sell"),Bittrex!G122,IF(AND(Bittrex!C122="Trade",'Bittrex Data'!C122="Limit_Buy"),F122,"")))))</f>
        <v/>
      </c>
      <c r="J122" t="str">
        <f>IF('Bittrex Data'!B122="","",IF('Bittrex Data'!B122="","",IF(Bittrex!H122=Bittrex!E122,D122,Bittrex!E122)))</f>
        <v/>
      </c>
      <c r="K122" t="str">
        <f>IF('Bittrex Data'!B122="","",IF(Bittrex!I122=Bittrex!G122,Bittrex!F122,Bittrex!G122))</f>
        <v/>
      </c>
    </row>
    <row r="123" spans="3:11" x14ac:dyDescent="0.2">
      <c r="C123" t="str">
        <f>IF('Bittrex Data'!A123="","",IF(AND('Bittrex Data'!C123="LIMIT_SELL",Bittrex!D123="USD"),"Sale",IF(AND('Bittrex Data'!C123="LIMIT_BUY",Bittrex!D123="USD"),"Buy","Trade")))</f>
        <v/>
      </c>
      <c r="D123" t="str">
        <f>IF('Bittrex Data'!B123="","",LEFT(LEFT('Bittrex Data'!B123,SEARCH("-",'Bittrex Data'!B123,1)),LEN(LEFT('Bittrex Data'!B123,SEARCH("-",'Bittrex Data'!B123,1)))-1))</f>
        <v/>
      </c>
      <c r="E123" t="str">
        <f>IF('Bittrex Data'!B123="","",RIGHT(RIGHT('Bittrex Data'!B123,LEN('Bittrex Data'!B123)-SEARCH("-",'Bittrex Data'!B123,1)+1),LEN(RIGHT('Bittrex Data'!B123,LEN('Bittrex Data'!B123)-SEARCH("-",'Bittrex Data'!B123,1)+1))-1))</f>
        <v/>
      </c>
      <c r="F123" t="str">
        <f>IF('Bittrex Data'!C123="","",IF('Bittrex Data'!C123="Limit_Sell",'Bittrex Data'!G123-'Bittrex Data'!F123,IF('Bittrex Data'!C123="Limit_Buy",'Bittrex Data'!G123+'Bittrex Data'!F123,"")))</f>
        <v/>
      </c>
      <c r="G123" t="str">
        <f>IF('Bittrex Data'!B123="","",'Bittrex Data'!D123)</f>
        <v/>
      </c>
      <c r="H123" t="str">
        <f>IF('Bittrex Data'!C123="","",IF(Bittrex!C123="Buy",Bittrex!D123,IF(Bittrex!C123="Sale",Bittrex!E123,IF(AND(Bittrex!C123="Trade",'Bittrex Data'!C123="Limit_Sell"),Bittrex!E123,IF(AND(Bittrex!C123="Trade",'Bittrex Data'!C123="Limit_Buy"),Bittrex!D123,"")))))</f>
        <v/>
      </c>
      <c r="I123" t="str">
        <f>IF('Bittrex Data'!C123="","",IF(Bittrex!C123="Buy",F123,IF(C123="Sale",Bittrex!G123,IF(AND(C123="Trade",'Bittrex Data'!C123="Limit_Sell"),Bittrex!G123,IF(AND(Bittrex!C123="Trade",'Bittrex Data'!C123="Limit_Buy"),F123,"")))))</f>
        <v/>
      </c>
      <c r="J123" t="str">
        <f>IF('Bittrex Data'!B123="","",IF('Bittrex Data'!B123="","",IF(Bittrex!H123=Bittrex!E123,D123,Bittrex!E123)))</f>
        <v/>
      </c>
      <c r="K123" t="str">
        <f>IF('Bittrex Data'!B123="","",IF(Bittrex!I123=Bittrex!G123,Bittrex!F123,Bittrex!G123))</f>
        <v/>
      </c>
    </row>
    <row r="124" spans="3:11" x14ac:dyDescent="0.2">
      <c r="C124" t="str">
        <f>IF('Bittrex Data'!A124="","",IF(AND('Bittrex Data'!C124="LIMIT_SELL",Bittrex!D124="USD"),"Sale",IF(AND('Bittrex Data'!C124="LIMIT_BUY",Bittrex!D124="USD"),"Buy","Trade")))</f>
        <v/>
      </c>
      <c r="D124" t="str">
        <f>IF('Bittrex Data'!B124="","",LEFT(LEFT('Bittrex Data'!B124,SEARCH("-",'Bittrex Data'!B124,1)),LEN(LEFT('Bittrex Data'!B124,SEARCH("-",'Bittrex Data'!B124,1)))-1))</f>
        <v/>
      </c>
      <c r="E124" t="str">
        <f>IF('Bittrex Data'!B124="","",RIGHT(RIGHT('Bittrex Data'!B124,LEN('Bittrex Data'!B124)-SEARCH("-",'Bittrex Data'!B124,1)+1),LEN(RIGHT('Bittrex Data'!B124,LEN('Bittrex Data'!B124)-SEARCH("-",'Bittrex Data'!B124,1)+1))-1))</f>
        <v/>
      </c>
      <c r="F124" t="str">
        <f>IF('Bittrex Data'!C124="","",IF('Bittrex Data'!C124="Limit_Sell",'Bittrex Data'!G124-'Bittrex Data'!F124,IF('Bittrex Data'!C124="Limit_Buy",'Bittrex Data'!G124+'Bittrex Data'!F124,"")))</f>
        <v/>
      </c>
      <c r="G124" t="str">
        <f>IF('Bittrex Data'!B124="","",'Bittrex Data'!D124)</f>
        <v/>
      </c>
      <c r="H124" t="str">
        <f>IF('Bittrex Data'!C124="","",IF(Bittrex!C124="Buy",Bittrex!D124,IF(Bittrex!C124="Sale",Bittrex!E124,IF(AND(Bittrex!C124="Trade",'Bittrex Data'!C124="Limit_Sell"),Bittrex!E124,IF(AND(Bittrex!C124="Trade",'Bittrex Data'!C124="Limit_Buy"),Bittrex!D124,"")))))</f>
        <v/>
      </c>
      <c r="I124" t="str">
        <f>IF('Bittrex Data'!C124="","",IF(Bittrex!C124="Buy",F124,IF(C124="Sale",Bittrex!G124,IF(AND(C124="Trade",'Bittrex Data'!C124="Limit_Sell"),Bittrex!G124,IF(AND(Bittrex!C124="Trade",'Bittrex Data'!C124="Limit_Buy"),F124,"")))))</f>
        <v/>
      </c>
      <c r="J124" t="str">
        <f>IF('Bittrex Data'!B124="","",IF('Bittrex Data'!B124="","",IF(Bittrex!H124=Bittrex!E124,D124,Bittrex!E124)))</f>
        <v/>
      </c>
      <c r="K124" t="str">
        <f>IF('Bittrex Data'!B124="","",IF(Bittrex!I124=Bittrex!G124,Bittrex!F124,Bittrex!G124))</f>
        <v/>
      </c>
    </row>
    <row r="125" spans="3:11" x14ac:dyDescent="0.2">
      <c r="C125" t="str">
        <f>IF('Bittrex Data'!A125="","",IF(AND('Bittrex Data'!C125="LIMIT_SELL",Bittrex!D125="USD"),"Sale",IF(AND('Bittrex Data'!C125="LIMIT_BUY",Bittrex!D125="USD"),"Buy","Trade")))</f>
        <v/>
      </c>
      <c r="D125" t="str">
        <f>IF('Bittrex Data'!B125="","",LEFT(LEFT('Bittrex Data'!B125,SEARCH("-",'Bittrex Data'!B125,1)),LEN(LEFT('Bittrex Data'!B125,SEARCH("-",'Bittrex Data'!B125,1)))-1))</f>
        <v/>
      </c>
      <c r="E125" t="str">
        <f>IF('Bittrex Data'!B125="","",RIGHT(RIGHT('Bittrex Data'!B125,LEN('Bittrex Data'!B125)-SEARCH("-",'Bittrex Data'!B125,1)+1),LEN(RIGHT('Bittrex Data'!B125,LEN('Bittrex Data'!B125)-SEARCH("-",'Bittrex Data'!B125,1)+1))-1))</f>
        <v/>
      </c>
      <c r="F125" t="str">
        <f>IF('Bittrex Data'!C125="","",IF('Bittrex Data'!C125="Limit_Sell",'Bittrex Data'!G125-'Bittrex Data'!F125,IF('Bittrex Data'!C125="Limit_Buy",'Bittrex Data'!G125+'Bittrex Data'!F125,"")))</f>
        <v/>
      </c>
      <c r="G125" t="str">
        <f>IF('Bittrex Data'!B125="","",'Bittrex Data'!D125)</f>
        <v/>
      </c>
      <c r="H125" t="str">
        <f>IF('Bittrex Data'!C125="","",IF(Bittrex!C125="Buy",Bittrex!D125,IF(Bittrex!C125="Sale",Bittrex!E125,IF(AND(Bittrex!C125="Trade",'Bittrex Data'!C125="Limit_Sell"),Bittrex!E125,IF(AND(Bittrex!C125="Trade",'Bittrex Data'!C125="Limit_Buy"),Bittrex!D125,"")))))</f>
        <v/>
      </c>
      <c r="I125" t="str">
        <f>IF('Bittrex Data'!C125="","",IF(Bittrex!C125="Buy",F125,IF(C125="Sale",Bittrex!G125,IF(AND(C125="Trade",'Bittrex Data'!C125="Limit_Sell"),Bittrex!G125,IF(AND(Bittrex!C125="Trade",'Bittrex Data'!C125="Limit_Buy"),F125,"")))))</f>
        <v/>
      </c>
      <c r="J125" t="str">
        <f>IF('Bittrex Data'!B125="","",IF('Bittrex Data'!B125="","",IF(Bittrex!H125=Bittrex!E125,D125,Bittrex!E125)))</f>
        <v/>
      </c>
      <c r="K125" t="str">
        <f>IF('Bittrex Data'!B125="","",IF(Bittrex!I125=Bittrex!G125,Bittrex!F125,Bittrex!G125))</f>
        <v/>
      </c>
    </row>
    <row r="126" spans="3:11" x14ac:dyDescent="0.2">
      <c r="C126" t="str">
        <f>IF('Bittrex Data'!A126="","",IF(AND('Bittrex Data'!C126="LIMIT_SELL",Bittrex!D126="USD"),"Sale",IF(AND('Bittrex Data'!C126="LIMIT_BUY",Bittrex!D126="USD"),"Buy","Trade")))</f>
        <v/>
      </c>
      <c r="D126" t="str">
        <f>IF('Bittrex Data'!B126="","",LEFT(LEFT('Bittrex Data'!B126,SEARCH("-",'Bittrex Data'!B126,1)),LEN(LEFT('Bittrex Data'!B126,SEARCH("-",'Bittrex Data'!B126,1)))-1))</f>
        <v/>
      </c>
      <c r="E126" t="str">
        <f>IF('Bittrex Data'!B126="","",RIGHT(RIGHT('Bittrex Data'!B126,LEN('Bittrex Data'!B126)-SEARCH("-",'Bittrex Data'!B126,1)+1),LEN(RIGHT('Bittrex Data'!B126,LEN('Bittrex Data'!B126)-SEARCH("-",'Bittrex Data'!B126,1)+1))-1))</f>
        <v/>
      </c>
      <c r="F126" t="str">
        <f>IF('Bittrex Data'!C126="","",IF('Bittrex Data'!C126="Limit_Sell",'Bittrex Data'!G126-'Bittrex Data'!F126,IF('Bittrex Data'!C126="Limit_Buy",'Bittrex Data'!G126+'Bittrex Data'!F126,"")))</f>
        <v/>
      </c>
      <c r="G126" t="str">
        <f>IF('Bittrex Data'!B126="","",'Bittrex Data'!D126)</f>
        <v/>
      </c>
      <c r="H126" t="str">
        <f>IF('Bittrex Data'!C126="","",IF(Bittrex!C126="Buy",Bittrex!D126,IF(Bittrex!C126="Sale",Bittrex!E126,IF(AND(Bittrex!C126="Trade",'Bittrex Data'!C126="Limit_Sell"),Bittrex!E126,IF(AND(Bittrex!C126="Trade",'Bittrex Data'!C126="Limit_Buy"),Bittrex!D126,"")))))</f>
        <v/>
      </c>
      <c r="I126" t="str">
        <f>IF('Bittrex Data'!C126="","",IF(Bittrex!C126="Buy",F126,IF(C126="Sale",Bittrex!G126,IF(AND(C126="Trade",'Bittrex Data'!C126="Limit_Sell"),Bittrex!G126,IF(AND(Bittrex!C126="Trade",'Bittrex Data'!C126="Limit_Buy"),F126,"")))))</f>
        <v/>
      </c>
      <c r="J126" t="str">
        <f>IF('Bittrex Data'!B126="","",IF('Bittrex Data'!B126="","",IF(Bittrex!H126=Bittrex!E126,D126,Bittrex!E126)))</f>
        <v/>
      </c>
      <c r="K126" t="str">
        <f>IF('Bittrex Data'!B126="","",IF(Bittrex!I126=Bittrex!G126,Bittrex!F126,Bittrex!G126))</f>
        <v/>
      </c>
    </row>
    <row r="127" spans="3:11" x14ac:dyDescent="0.2">
      <c r="C127" t="str">
        <f>IF('Bittrex Data'!A127="","",IF(AND('Bittrex Data'!C127="LIMIT_SELL",Bittrex!D127="USD"),"Sale",IF(AND('Bittrex Data'!C127="LIMIT_BUY",Bittrex!D127="USD"),"Buy","Trade")))</f>
        <v/>
      </c>
      <c r="D127" t="str">
        <f>IF('Bittrex Data'!B127="","",LEFT(LEFT('Bittrex Data'!B127,SEARCH("-",'Bittrex Data'!B127,1)),LEN(LEFT('Bittrex Data'!B127,SEARCH("-",'Bittrex Data'!B127,1)))-1))</f>
        <v/>
      </c>
      <c r="E127" t="str">
        <f>IF('Bittrex Data'!B127="","",RIGHT(RIGHT('Bittrex Data'!B127,LEN('Bittrex Data'!B127)-SEARCH("-",'Bittrex Data'!B127,1)+1),LEN(RIGHT('Bittrex Data'!B127,LEN('Bittrex Data'!B127)-SEARCH("-",'Bittrex Data'!B127,1)+1))-1))</f>
        <v/>
      </c>
      <c r="F127" t="str">
        <f>IF('Bittrex Data'!C127="","",IF('Bittrex Data'!C127="Limit_Sell",'Bittrex Data'!G127-'Bittrex Data'!F127,IF('Bittrex Data'!C127="Limit_Buy",'Bittrex Data'!G127+'Bittrex Data'!F127,"")))</f>
        <v/>
      </c>
      <c r="G127" t="str">
        <f>IF('Bittrex Data'!B127="","",'Bittrex Data'!D127)</f>
        <v/>
      </c>
      <c r="H127" t="str">
        <f>IF('Bittrex Data'!C127="","",IF(Bittrex!C127="Buy",Bittrex!D127,IF(Bittrex!C127="Sale",Bittrex!E127,IF(AND(Bittrex!C127="Trade",'Bittrex Data'!C127="Limit_Sell"),Bittrex!E127,IF(AND(Bittrex!C127="Trade",'Bittrex Data'!C127="Limit_Buy"),Bittrex!D127,"")))))</f>
        <v/>
      </c>
      <c r="I127" t="str">
        <f>IF('Bittrex Data'!C127="","",IF(Bittrex!C127="Buy",F127,IF(C127="Sale",Bittrex!G127,IF(AND(C127="Trade",'Bittrex Data'!C127="Limit_Sell"),Bittrex!G127,IF(AND(Bittrex!C127="Trade",'Bittrex Data'!C127="Limit_Buy"),F127,"")))))</f>
        <v/>
      </c>
      <c r="J127" t="str">
        <f>IF('Bittrex Data'!B127="","",IF('Bittrex Data'!B127="","",IF(Bittrex!H127=Bittrex!E127,D127,Bittrex!E127)))</f>
        <v/>
      </c>
      <c r="K127" t="str">
        <f>IF('Bittrex Data'!B127="","",IF(Bittrex!I127=Bittrex!G127,Bittrex!F127,Bittrex!G127))</f>
        <v/>
      </c>
    </row>
    <row r="128" spans="3:11" x14ac:dyDescent="0.2">
      <c r="C128" t="str">
        <f>IF('Bittrex Data'!A128="","",IF(AND('Bittrex Data'!C128="LIMIT_SELL",Bittrex!D128="USD"),"Sale",IF(AND('Bittrex Data'!C128="LIMIT_BUY",Bittrex!D128="USD"),"Buy","Trade")))</f>
        <v/>
      </c>
      <c r="D128" t="str">
        <f>IF('Bittrex Data'!B128="","",LEFT(LEFT('Bittrex Data'!B128,SEARCH("-",'Bittrex Data'!B128,1)),LEN(LEFT('Bittrex Data'!B128,SEARCH("-",'Bittrex Data'!B128,1)))-1))</f>
        <v/>
      </c>
      <c r="E128" t="str">
        <f>IF('Bittrex Data'!B128="","",RIGHT(RIGHT('Bittrex Data'!B128,LEN('Bittrex Data'!B128)-SEARCH("-",'Bittrex Data'!B128,1)+1),LEN(RIGHT('Bittrex Data'!B128,LEN('Bittrex Data'!B128)-SEARCH("-",'Bittrex Data'!B128,1)+1))-1))</f>
        <v/>
      </c>
      <c r="F128" t="str">
        <f>IF('Bittrex Data'!C128="","",IF('Bittrex Data'!C128="Limit_Sell",'Bittrex Data'!G128-'Bittrex Data'!F128,IF('Bittrex Data'!C128="Limit_Buy",'Bittrex Data'!G128+'Bittrex Data'!F128,"")))</f>
        <v/>
      </c>
      <c r="G128" t="str">
        <f>IF('Bittrex Data'!B128="","",'Bittrex Data'!D128)</f>
        <v/>
      </c>
      <c r="H128" t="str">
        <f>IF('Bittrex Data'!C128="","",IF(Bittrex!C128="Buy",Bittrex!D128,IF(Bittrex!C128="Sale",Bittrex!E128,IF(AND(Bittrex!C128="Trade",'Bittrex Data'!C128="Limit_Sell"),Bittrex!E128,IF(AND(Bittrex!C128="Trade",'Bittrex Data'!C128="Limit_Buy"),Bittrex!D128,"")))))</f>
        <v/>
      </c>
      <c r="I128" t="str">
        <f>IF('Bittrex Data'!C128="","",IF(Bittrex!C128="Buy",F128,IF(C128="Sale",Bittrex!G128,IF(AND(C128="Trade",'Bittrex Data'!C128="Limit_Sell"),Bittrex!G128,IF(AND(Bittrex!C128="Trade",'Bittrex Data'!C128="Limit_Buy"),F128,"")))))</f>
        <v/>
      </c>
      <c r="J128" t="str">
        <f>IF('Bittrex Data'!B128="","",IF('Bittrex Data'!B128="","",IF(Bittrex!H128=Bittrex!E128,D128,Bittrex!E128)))</f>
        <v/>
      </c>
      <c r="K128" t="str">
        <f>IF('Bittrex Data'!B128="","",IF(Bittrex!I128=Bittrex!G128,Bittrex!F128,Bittrex!G128))</f>
        <v/>
      </c>
    </row>
    <row r="129" spans="3:11" x14ac:dyDescent="0.2">
      <c r="C129" t="str">
        <f>IF('Bittrex Data'!A129="","",IF(AND('Bittrex Data'!C129="LIMIT_SELL",Bittrex!D129="USD"),"Sale",IF(AND('Bittrex Data'!C129="LIMIT_BUY",Bittrex!D129="USD"),"Buy","Trade")))</f>
        <v/>
      </c>
      <c r="D129" t="str">
        <f>IF('Bittrex Data'!B129="","",LEFT(LEFT('Bittrex Data'!B129,SEARCH("-",'Bittrex Data'!B129,1)),LEN(LEFT('Bittrex Data'!B129,SEARCH("-",'Bittrex Data'!B129,1)))-1))</f>
        <v/>
      </c>
      <c r="E129" t="str">
        <f>IF('Bittrex Data'!B129="","",RIGHT(RIGHT('Bittrex Data'!B129,LEN('Bittrex Data'!B129)-SEARCH("-",'Bittrex Data'!B129,1)+1),LEN(RIGHT('Bittrex Data'!B129,LEN('Bittrex Data'!B129)-SEARCH("-",'Bittrex Data'!B129,1)+1))-1))</f>
        <v/>
      </c>
      <c r="F129" t="str">
        <f>IF('Bittrex Data'!C129="","",IF('Bittrex Data'!C129="Limit_Sell",'Bittrex Data'!G129-'Bittrex Data'!F129,IF('Bittrex Data'!C129="Limit_Buy",'Bittrex Data'!G129+'Bittrex Data'!F129,"")))</f>
        <v/>
      </c>
      <c r="G129" t="str">
        <f>IF('Bittrex Data'!B129="","",'Bittrex Data'!D129)</f>
        <v/>
      </c>
      <c r="H129" t="str">
        <f>IF('Bittrex Data'!C129="","",IF(Bittrex!C129="Buy",Bittrex!D129,IF(Bittrex!C129="Sale",Bittrex!E129,IF(AND(Bittrex!C129="Trade",'Bittrex Data'!C129="Limit_Sell"),Bittrex!E129,IF(AND(Bittrex!C129="Trade",'Bittrex Data'!C129="Limit_Buy"),Bittrex!D129,"")))))</f>
        <v/>
      </c>
      <c r="I129" t="str">
        <f>IF('Bittrex Data'!C129="","",IF(Bittrex!C129="Buy",F129,IF(C129="Sale",Bittrex!G129,IF(AND(C129="Trade",'Bittrex Data'!C129="Limit_Sell"),Bittrex!G129,IF(AND(Bittrex!C129="Trade",'Bittrex Data'!C129="Limit_Buy"),F129,"")))))</f>
        <v/>
      </c>
      <c r="J129" t="str">
        <f>IF('Bittrex Data'!B129="","",IF('Bittrex Data'!B129="","",IF(Bittrex!H129=Bittrex!E129,D129,Bittrex!E129)))</f>
        <v/>
      </c>
      <c r="K129" t="str">
        <f>IF('Bittrex Data'!B129="","",IF(Bittrex!I129=Bittrex!G129,Bittrex!F129,Bittrex!G129))</f>
        <v/>
      </c>
    </row>
    <row r="130" spans="3:11" x14ac:dyDescent="0.2">
      <c r="C130" t="str">
        <f>IF('Bittrex Data'!A130="","",IF(AND('Bittrex Data'!C130="LIMIT_SELL",Bittrex!D130="USD"),"Sale",IF(AND('Bittrex Data'!C130="LIMIT_BUY",Bittrex!D130="USD"),"Buy","Trade")))</f>
        <v/>
      </c>
      <c r="D130" t="str">
        <f>IF('Bittrex Data'!B130="","",LEFT(LEFT('Bittrex Data'!B130,SEARCH("-",'Bittrex Data'!B130,1)),LEN(LEFT('Bittrex Data'!B130,SEARCH("-",'Bittrex Data'!B130,1)))-1))</f>
        <v/>
      </c>
      <c r="E130" t="str">
        <f>IF('Bittrex Data'!B130="","",RIGHT(RIGHT('Bittrex Data'!B130,LEN('Bittrex Data'!B130)-SEARCH("-",'Bittrex Data'!B130,1)+1),LEN(RIGHT('Bittrex Data'!B130,LEN('Bittrex Data'!B130)-SEARCH("-",'Bittrex Data'!B130,1)+1))-1))</f>
        <v/>
      </c>
      <c r="F130" t="str">
        <f>IF('Bittrex Data'!C130="","",IF('Bittrex Data'!C130="Limit_Sell",'Bittrex Data'!G130-'Bittrex Data'!F130,IF('Bittrex Data'!C130="Limit_Buy",'Bittrex Data'!G130+'Bittrex Data'!F130,"")))</f>
        <v/>
      </c>
      <c r="G130" t="str">
        <f>IF('Bittrex Data'!B130="","",'Bittrex Data'!D130)</f>
        <v/>
      </c>
      <c r="H130" t="str">
        <f>IF('Bittrex Data'!C130="","",IF(Bittrex!C130="Buy",Bittrex!D130,IF(Bittrex!C130="Sale",Bittrex!E130,IF(AND(Bittrex!C130="Trade",'Bittrex Data'!C130="Limit_Sell"),Bittrex!E130,IF(AND(Bittrex!C130="Trade",'Bittrex Data'!C130="Limit_Buy"),Bittrex!D130,"")))))</f>
        <v/>
      </c>
      <c r="I130" t="str">
        <f>IF('Bittrex Data'!C130="","",IF(Bittrex!C130="Buy",F130,IF(C130="Sale",Bittrex!G130,IF(AND(C130="Trade",'Bittrex Data'!C130="Limit_Sell"),Bittrex!G130,IF(AND(Bittrex!C130="Trade",'Bittrex Data'!C130="Limit_Buy"),F130,"")))))</f>
        <v/>
      </c>
      <c r="J130" t="str">
        <f>IF('Bittrex Data'!B130="","",IF('Bittrex Data'!B130="","",IF(Bittrex!H130=Bittrex!E130,D130,Bittrex!E130)))</f>
        <v/>
      </c>
      <c r="K130" t="str">
        <f>IF('Bittrex Data'!B130="","",IF(Bittrex!I130=Bittrex!G130,Bittrex!F130,Bittrex!G130))</f>
        <v/>
      </c>
    </row>
    <row r="131" spans="3:11" x14ac:dyDescent="0.2">
      <c r="C131" t="str">
        <f>IF('Bittrex Data'!A131="","",IF(AND('Bittrex Data'!C131="LIMIT_SELL",Bittrex!D131="USD"),"Sale",IF(AND('Bittrex Data'!C131="LIMIT_BUY",Bittrex!D131="USD"),"Buy","Trade")))</f>
        <v/>
      </c>
      <c r="D131" t="str">
        <f>IF('Bittrex Data'!B131="","",LEFT(LEFT('Bittrex Data'!B131,SEARCH("-",'Bittrex Data'!B131,1)),LEN(LEFT('Bittrex Data'!B131,SEARCH("-",'Bittrex Data'!B131,1)))-1))</f>
        <v/>
      </c>
      <c r="E131" t="str">
        <f>IF('Bittrex Data'!B131="","",RIGHT(RIGHT('Bittrex Data'!B131,LEN('Bittrex Data'!B131)-SEARCH("-",'Bittrex Data'!B131,1)+1),LEN(RIGHT('Bittrex Data'!B131,LEN('Bittrex Data'!B131)-SEARCH("-",'Bittrex Data'!B131,1)+1))-1))</f>
        <v/>
      </c>
      <c r="F131" t="str">
        <f>IF('Bittrex Data'!C131="","",IF('Bittrex Data'!C131="Limit_Sell",'Bittrex Data'!G131-'Bittrex Data'!F131,IF('Bittrex Data'!C131="Limit_Buy",'Bittrex Data'!G131+'Bittrex Data'!F131,"")))</f>
        <v/>
      </c>
      <c r="G131" t="str">
        <f>IF('Bittrex Data'!B131="","",'Bittrex Data'!D131)</f>
        <v/>
      </c>
      <c r="H131" t="str">
        <f>IF('Bittrex Data'!C131="","",IF(Bittrex!C131="Buy",Bittrex!D131,IF(Bittrex!C131="Sale",Bittrex!E131,IF(AND(Bittrex!C131="Trade",'Bittrex Data'!C131="Limit_Sell"),Bittrex!E131,IF(AND(Bittrex!C131="Trade",'Bittrex Data'!C131="Limit_Buy"),Bittrex!D131,"")))))</f>
        <v/>
      </c>
      <c r="I131" t="str">
        <f>IF('Bittrex Data'!C131="","",IF(Bittrex!C131="Buy",F131,IF(C131="Sale",Bittrex!G131,IF(AND(C131="Trade",'Bittrex Data'!C131="Limit_Sell"),Bittrex!G131,IF(AND(Bittrex!C131="Trade",'Bittrex Data'!C131="Limit_Buy"),F131,"")))))</f>
        <v/>
      </c>
      <c r="J131" t="str">
        <f>IF('Bittrex Data'!B131="","",IF('Bittrex Data'!B131="","",IF(Bittrex!H131=Bittrex!E131,D131,Bittrex!E131)))</f>
        <v/>
      </c>
      <c r="K131" t="str">
        <f>IF('Bittrex Data'!B131="","",IF(Bittrex!I131=Bittrex!G131,Bittrex!F131,Bittrex!G131))</f>
        <v/>
      </c>
    </row>
    <row r="132" spans="3:11" x14ac:dyDescent="0.2">
      <c r="C132" t="str">
        <f>IF('Bittrex Data'!A132="","",IF(AND('Bittrex Data'!C132="LIMIT_SELL",Bittrex!D132="USD"),"Sale",IF(AND('Bittrex Data'!C132="LIMIT_BUY",Bittrex!D132="USD"),"Buy","Trade")))</f>
        <v/>
      </c>
      <c r="D132" t="str">
        <f>IF('Bittrex Data'!B132="","",LEFT(LEFT('Bittrex Data'!B132,SEARCH("-",'Bittrex Data'!B132,1)),LEN(LEFT('Bittrex Data'!B132,SEARCH("-",'Bittrex Data'!B132,1)))-1))</f>
        <v/>
      </c>
      <c r="E132" t="str">
        <f>IF('Bittrex Data'!B132="","",RIGHT(RIGHT('Bittrex Data'!B132,LEN('Bittrex Data'!B132)-SEARCH("-",'Bittrex Data'!B132,1)+1),LEN(RIGHT('Bittrex Data'!B132,LEN('Bittrex Data'!B132)-SEARCH("-",'Bittrex Data'!B132,1)+1))-1))</f>
        <v/>
      </c>
      <c r="F132" t="str">
        <f>IF('Bittrex Data'!C132="","",IF('Bittrex Data'!C132="Limit_Sell",'Bittrex Data'!G132-'Bittrex Data'!F132,IF('Bittrex Data'!C132="Limit_Buy",'Bittrex Data'!G132+'Bittrex Data'!F132,"")))</f>
        <v/>
      </c>
      <c r="G132" t="str">
        <f>IF('Bittrex Data'!B132="","",'Bittrex Data'!D132)</f>
        <v/>
      </c>
      <c r="H132" t="str">
        <f>IF('Bittrex Data'!C132="","",IF(Bittrex!C132="Buy",Bittrex!D132,IF(Bittrex!C132="Sale",Bittrex!E132,IF(AND(Bittrex!C132="Trade",'Bittrex Data'!C132="Limit_Sell"),Bittrex!E132,IF(AND(Bittrex!C132="Trade",'Bittrex Data'!C132="Limit_Buy"),Bittrex!D132,"")))))</f>
        <v/>
      </c>
      <c r="I132" t="str">
        <f>IF('Bittrex Data'!C132="","",IF(Bittrex!C132="Buy",F132,IF(C132="Sale",Bittrex!G132,IF(AND(C132="Trade",'Bittrex Data'!C132="Limit_Sell"),Bittrex!G132,IF(AND(Bittrex!C132="Trade",'Bittrex Data'!C132="Limit_Buy"),F132,"")))))</f>
        <v/>
      </c>
      <c r="J132" t="str">
        <f>IF('Bittrex Data'!B132="","",IF('Bittrex Data'!B132="","",IF(Bittrex!H132=Bittrex!E132,D132,Bittrex!E132)))</f>
        <v/>
      </c>
      <c r="K132" t="str">
        <f>IF('Bittrex Data'!B132="","",IF(Bittrex!I132=Bittrex!G132,Bittrex!F132,Bittrex!G132))</f>
        <v/>
      </c>
    </row>
    <row r="133" spans="3:11" x14ac:dyDescent="0.2">
      <c r="C133" t="str">
        <f>IF('Bittrex Data'!A133="","",IF(AND('Bittrex Data'!C133="LIMIT_SELL",Bittrex!D133="USD"),"Sale",IF(AND('Bittrex Data'!C133="LIMIT_BUY",Bittrex!D133="USD"),"Buy","Trade")))</f>
        <v/>
      </c>
      <c r="D133" t="str">
        <f>IF('Bittrex Data'!B133="","",LEFT(LEFT('Bittrex Data'!B133,SEARCH("-",'Bittrex Data'!B133,1)),LEN(LEFT('Bittrex Data'!B133,SEARCH("-",'Bittrex Data'!B133,1)))-1))</f>
        <v/>
      </c>
      <c r="E133" t="str">
        <f>IF('Bittrex Data'!B133="","",RIGHT(RIGHT('Bittrex Data'!B133,LEN('Bittrex Data'!B133)-SEARCH("-",'Bittrex Data'!B133,1)+1),LEN(RIGHT('Bittrex Data'!B133,LEN('Bittrex Data'!B133)-SEARCH("-",'Bittrex Data'!B133,1)+1))-1))</f>
        <v/>
      </c>
      <c r="F133" t="str">
        <f>IF('Bittrex Data'!C133="","",IF('Bittrex Data'!C133="Limit_Sell",'Bittrex Data'!G133-'Bittrex Data'!F133,IF('Bittrex Data'!C133="Limit_Buy",'Bittrex Data'!G133+'Bittrex Data'!F133,"")))</f>
        <v/>
      </c>
      <c r="G133" t="str">
        <f>IF('Bittrex Data'!B133="","",'Bittrex Data'!D133)</f>
        <v/>
      </c>
      <c r="H133" t="str">
        <f>IF('Bittrex Data'!C133="","",IF(Bittrex!C133="Buy",Bittrex!D133,IF(Bittrex!C133="Sale",Bittrex!E133,IF(AND(Bittrex!C133="Trade",'Bittrex Data'!C133="Limit_Sell"),Bittrex!E133,IF(AND(Bittrex!C133="Trade",'Bittrex Data'!C133="Limit_Buy"),Bittrex!D133,"")))))</f>
        <v/>
      </c>
      <c r="I133" t="str">
        <f>IF('Bittrex Data'!C133="","",IF(Bittrex!C133="Buy",F133,IF(C133="Sale",Bittrex!G133,IF(AND(C133="Trade",'Bittrex Data'!C133="Limit_Sell"),Bittrex!G133,IF(AND(Bittrex!C133="Trade",'Bittrex Data'!C133="Limit_Buy"),F133,"")))))</f>
        <v/>
      </c>
      <c r="J133" t="str">
        <f>IF('Bittrex Data'!B133="","",IF('Bittrex Data'!B133="","",IF(Bittrex!H133=Bittrex!E133,D133,Bittrex!E133)))</f>
        <v/>
      </c>
      <c r="K133" t="str">
        <f>IF('Bittrex Data'!B133="","",IF(Bittrex!I133=Bittrex!G133,Bittrex!F133,Bittrex!G133))</f>
        <v/>
      </c>
    </row>
    <row r="134" spans="3:11" x14ac:dyDescent="0.2">
      <c r="C134" t="str">
        <f>IF('Bittrex Data'!A134="","",IF(AND('Bittrex Data'!C134="LIMIT_SELL",Bittrex!D134="USD"),"Sale",IF(AND('Bittrex Data'!C134="LIMIT_BUY",Bittrex!D134="USD"),"Buy","Trade")))</f>
        <v/>
      </c>
      <c r="D134" t="str">
        <f>IF('Bittrex Data'!B134="","",LEFT(LEFT('Bittrex Data'!B134,SEARCH("-",'Bittrex Data'!B134,1)),LEN(LEFT('Bittrex Data'!B134,SEARCH("-",'Bittrex Data'!B134,1)))-1))</f>
        <v/>
      </c>
      <c r="E134" t="str">
        <f>IF('Bittrex Data'!B134="","",RIGHT(RIGHT('Bittrex Data'!B134,LEN('Bittrex Data'!B134)-SEARCH("-",'Bittrex Data'!B134,1)+1),LEN(RIGHT('Bittrex Data'!B134,LEN('Bittrex Data'!B134)-SEARCH("-",'Bittrex Data'!B134,1)+1))-1))</f>
        <v/>
      </c>
      <c r="F134" t="str">
        <f>IF('Bittrex Data'!C134="","",IF('Bittrex Data'!C134="Limit_Sell",'Bittrex Data'!G134-'Bittrex Data'!F134,IF('Bittrex Data'!C134="Limit_Buy",'Bittrex Data'!G134+'Bittrex Data'!F134,"")))</f>
        <v/>
      </c>
      <c r="G134" t="str">
        <f>IF('Bittrex Data'!B134="","",'Bittrex Data'!D134)</f>
        <v/>
      </c>
      <c r="H134" t="str">
        <f>IF('Bittrex Data'!C134="","",IF(Bittrex!C134="Buy",Bittrex!D134,IF(Bittrex!C134="Sale",Bittrex!E134,IF(AND(Bittrex!C134="Trade",'Bittrex Data'!C134="Limit_Sell"),Bittrex!E134,IF(AND(Bittrex!C134="Trade",'Bittrex Data'!C134="Limit_Buy"),Bittrex!D134,"")))))</f>
        <v/>
      </c>
      <c r="I134" t="str">
        <f>IF('Bittrex Data'!C134="","",IF(Bittrex!C134="Buy",F134,IF(C134="Sale",Bittrex!G134,IF(AND(C134="Trade",'Bittrex Data'!C134="Limit_Sell"),Bittrex!G134,IF(AND(Bittrex!C134="Trade",'Bittrex Data'!C134="Limit_Buy"),F134,"")))))</f>
        <v/>
      </c>
      <c r="J134" t="str">
        <f>IF('Bittrex Data'!B134="","",IF('Bittrex Data'!B134="","",IF(Bittrex!H134=Bittrex!E134,D134,Bittrex!E134)))</f>
        <v/>
      </c>
      <c r="K134" t="str">
        <f>IF('Bittrex Data'!B134="","",IF(Bittrex!I134=Bittrex!G134,Bittrex!F134,Bittrex!G134))</f>
        <v/>
      </c>
    </row>
    <row r="135" spans="3:11" x14ac:dyDescent="0.2">
      <c r="C135" t="str">
        <f>IF('Bittrex Data'!A135="","",IF(AND('Bittrex Data'!C135="LIMIT_SELL",Bittrex!D135="USD"),"Sale",IF(AND('Bittrex Data'!C135="LIMIT_BUY",Bittrex!D135="USD"),"Buy","Trade")))</f>
        <v/>
      </c>
      <c r="D135" t="str">
        <f>IF('Bittrex Data'!B135="","",LEFT(LEFT('Bittrex Data'!B135,SEARCH("-",'Bittrex Data'!B135,1)),LEN(LEFT('Bittrex Data'!B135,SEARCH("-",'Bittrex Data'!B135,1)))-1))</f>
        <v/>
      </c>
      <c r="E135" t="str">
        <f>IF('Bittrex Data'!B135="","",RIGHT(RIGHT('Bittrex Data'!B135,LEN('Bittrex Data'!B135)-SEARCH("-",'Bittrex Data'!B135,1)+1),LEN(RIGHT('Bittrex Data'!B135,LEN('Bittrex Data'!B135)-SEARCH("-",'Bittrex Data'!B135,1)+1))-1))</f>
        <v/>
      </c>
      <c r="F135" t="str">
        <f>IF('Bittrex Data'!C135="","",IF('Bittrex Data'!C135="Limit_Sell",'Bittrex Data'!G135-'Bittrex Data'!F135,IF('Bittrex Data'!C135="Limit_Buy",'Bittrex Data'!G135+'Bittrex Data'!F135,"")))</f>
        <v/>
      </c>
      <c r="G135" t="str">
        <f>IF('Bittrex Data'!B135="","",'Bittrex Data'!D135)</f>
        <v/>
      </c>
      <c r="H135" t="str">
        <f>IF('Bittrex Data'!C135="","",IF(Bittrex!C135="Buy",Bittrex!D135,IF(Bittrex!C135="Sale",Bittrex!E135,IF(AND(Bittrex!C135="Trade",'Bittrex Data'!C135="Limit_Sell"),Bittrex!E135,IF(AND(Bittrex!C135="Trade",'Bittrex Data'!C135="Limit_Buy"),Bittrex!D135,"")))))</f>
        <v/>
      </c>
      <c r="I135" t="str">
        <f>IF('Bittrex Data'!C135="","",IF(Bittrex!C135="Buy",F135,IF(C135="Sale",Bittrex!G135,IF(AND(C135="Trade",'Bittrex Data'!C135="Limit_Sell"),Bittrex!G135,IF(AND(Bittrex!C135="Trade",'Bittrex Data'!C135="Limit_Buy"),F135,"")))))</f>
        <v/>
      </c>
      <c r="J135" t="str">
        <f>IF('Bittrex Data'!B135="","",IF('Bittrex Data'!B135="","",IF(Bittrex!H135=Bittrex!E135,D135,Bittrex!E135)))</f>
        <v/>
      </c>
      <c r="K135" t="str">
        <f>IF('Bittrex Data'!B135="","",IF(Bittrex!I135=Bittrex!G135,Bittrex!F135,Bittrex!G135))</f>
        <v/>
      </c>
    </row>
    <row r="136" spans="3:11" x14ac:dyDescent="0.2">
      <c r="C136" t="str">
        <f>IF('Bittrex Data'!A136="","",IF(AND('Bittrex Data'!C136="LIMIT_SELL",Bittrex!D136="USD"),"Sale",IF(AND('Bittrex Data'!C136="LIMIT_BUY",Bittrex!D136="USD"),"Buy","Trade")))</f>
        <v/>
      </c>
      <c r="D136" t="str">
        <f>IF('Bittrex Data'!B136="","",LEFT(LEFT('Bittrex Data'!B136,SEARCH("-",'Bittrex Data'!B136,1)),LEN(LEFT('Bittrex Data'!B136,SEARCH("-",'Bittrex Data'!B136,1)))-1))</f>
        <v/>
      </c>
      <c r="E136" t="str">
        <f>IF('Bittrex Data'!B136="","",RIGHT(RIGHT('Bittrex Data'!B136,LEN('Bittrex Data'!B136)-SEARCH("-",'Bittrex Data'!B136,1)+1),LEN(RIGHT('Bittrex Data'!B136,LEN('Bittrex Data'!B136)-SEARCH("-",'Bittrex Data'!B136,1)+1))-1))</f>
        <v/>
      </c>
      <c r="F136" t="str">
        <f>IF('Bittrex Data'!C136="","",IF('Bittrex Data'!C136="Limit_Sell",'Bittrex Data'!G136-'Bittrex Data'!F136,IF('Bittrex Data'!C136="Limit_Buy",'Bittrex Data'!G136+'Bittrex Data'!F136,"")))</f>
        <v/>
      </c>
      <c r="G136" t="str">
        <f>IF('Bittrex Data'!B136="","",'Bittrex Data'!D136)</f>
        <v/>
      </c>
      <c r="H136" t="str">
        <f>IF('Bittrex Data'!C136="","",IF(Bittrex!C136="Buy",Bittrex!D136,IF(Bittrex!C136="Sale",Bittrex!E136,IF(AND(Bittrex!C136="Trade",'Bittrex Data'!C136="Limit_Sell"),Bittrex!E136,IF(AND(Bittrex!C136="Trade",'Bittrex Data'!C136="Limit_Buy"),Bittrex!D136,"")))))</f>
        <v/>
      </c>
      <c r="I136" t="str">
        <f>IF('Bittrex Data'!C136="","",IF(Bittrex!C136="Buy",F136,IF(C136="Sale",Bittrex!G136,IF(AND(C136="Trade",'Bittrex Data'!C136="Limit_Sell"),Bittrex!G136,IF(AND(Bittrex!C136="Trade",'Bittrex Data'!C136="Limit_Buy"),F136,"")))))</f>
        <v/>
      </c>
      <c r="J136" t="str">
        <f>IF('Bittrex Data'!B136="","",IF('Bittrex Data'!B136="","",IF(Bittrex!H136=Bittrex!E136,D136,Bittrex!E136)))</f>
        <v/>
      </c>
      <c r="K136" t="str">
        <f>IF('Bittrex Data'!B136="","",IF(Bittrex!I136=Bittrex!G136,Bittrex!F136,Bittrex!G136))</f>
        <v/>
      </c>
    </row>
    <row r="137" spans="3:11" x14ac:dyDescent="0.2">
      <c r="C137" t="str">
        <f>IF('Bittrex Data'!A137="","",IF(AND('Bittrex Data'!C137="LIMIT_SELL",Bittrex!D137="USD"),"Sale",IF(AND('Bittrex Data'!C137="LIMIT_BUY",Bittrex!D137="USD"),"Buy","Trade")))</f>
        <v/>
      </c>
      <c r="D137" t="str">
        <f>IF('Bittrex Data'!B137="","",LEFT(LEFT('Bittrex Data'!B137,SEARCH("-",'Bittrex Data'!B137,1)),LEN(LEFT('Bittrex Data'!B137,SEARCH("-",'Bittrex Data'!B137,1)))-1))</f>
        <v/>
      </c>
      <c r="E137" t="str">
        <f>IF('Bittrex Data'!B137="","",RIGHT(RIGHT('Bittrex Data'!B137,LEN('Bittrex Data'!B137)-SEARCH("-",'Bittrex Data'!B137,1)+1),LEN(RIGHT('Bittrex Data'!B137,LEN('Bittrex Data'!B137)-SEARCH("-",'Bittrex Data'!B137,1)+1))-1))</f>
        <v/>
      </c>
      <c r="F137" t="str">
        <f>IF('Bittrex Data'!C137="","",IF('Bittrex Data'!C137="Limit_Sell",'Bittrex Data'!G137-'Bittrex Data'!F137,IF('Bittrex Data'!C137="Limit_Buy",'Bittrex Data'!G137+'Bittrex Data'!F137,"")))</f>
        <v/>
      </c>
      <c r="G137" t="str">
        <f>IF('Bittrex Data'!B137="","",'Bittrex Data'!D137)</f>
        <v/>
      </c>
      <c r="H137" t="str">
        <f>IF('Bittrex Data'!C137="","",IF(Bittrex!C137="Buy",Bittrex!D137,IF(Bittrex!C137="Sale",Bittrex!E137,IF(AND(Bittrex!C137="Trade",'Bittrex Data'!C137="Limit_Sell"),Bittrex!E137,IF(AND(Bittrex!C137="Trade",'Bittrex Data'!C137="Limit_Buy"),Bittrex!D137,"")))))</f>
        <v/>
      </c>
      <c r="I137" t="str">
        <f>IF('Bittrex Data'!C137="","",IF(Bittrex!C137="Buy",F137,IF(C137="Sale",Bittrex!G137,IF(AND(C137="Trade",'Bittrex Data'!C137="Limit_Sell"),Bittrex!G137,IF(AND(Bittrex!C137="Trade",'Bittrex Data'!C137="Limit_Buy"),F137,"")))))</f>
        <v/>
      </c>
      <c r="J137" t="str">
        <f>IF('Bittrex Data'!B137="","",IF('Bittrex Data'!B137="","",IF(Bittrex!H137=Bittrex!E137,D137,Bittrex!E137)))</f>
        <v/>
      </c>
      <c r="K137" t="str">
        <f>IF('Bittrex Data'!B137="","",IF(Bittrex!I137=Bittrex!G137,Bittrex!F137,Bittrex!G137))</f>
        <v/>
      </c>
    </row>
    <row r="138" spans="3:11" x14ac:dyDescent="0.2">
      <c r="C138" t="str">
        <f>IF('Bittrex Data'!A138="","",IF(AND('Bittrex Data'!C138="LIMIT_SELL",Bittrex!D138="USD"),"Sale",IF(AND('Bittrex Data'!C138="LIMIT_BUY",Bittrex!D138="USD"),"Buy","Trade")))</f>
        <v/>
      </c>
      <c r="D138" t="str">
        <f>IF('Bittrex Data'!B138="","",LEFT(LEFT('Bittrex Data'!B138,SEARCH("-",'Bittrex Data'!B138,1)),LEN(LEFT('Bittrex Data'!B138,SEARCH("-",'Bittrex Data'!B138,1)))-1))</f>
        <v/>
      </c>
      <c r="E138" t="str">
        <f>IF('Bittrex Data'!B138="","",RIGHT(RIGHT('Bittrex Data'!B138,LEN('Bittrex Data'!B138)-SEARCH("-",'Bittrex Data'!B138,1)+1),LEN(RIGHT('Bittrex Data'!B138,LEN('Bittrex Data'!B138)-SEARCH("-",'Bittrex Data'!B138,1)+1))-1))</f>
        <v/>
      </c>
      <c r="F138" t="str">
        <f>IF('Bittrex Data'!C138="","",IF('Bittrex Data'!C138="Limit_Sell",'Bittrex Data'!G138-'Bittrex Data'!F138,IF('Bittrex Data'!C138="Limit_Buy",'Bittrex Data'!G138+'Bittrex Data'!F138,"")))</f>
        <v/>
      </c>
      <c r="G138" t="str">
        <f>IF('Bittrex Data'!B138="","",'Bittrex Data'!D138)</f>
        <v/>
      </c>
      <c r="H138" t="str">
        <f>IF('Bittrex Data'!C138="","",IF(Bittrex!C138="Buy",Bittrex!D138,IF(Bittrex!C138="Sale",Bittrex!E138,IF(AND(Bittrex!C138="Trade",'Bittrex Data'!C138="Limit_Sell"),Bittrex!E138,IF(AND(Bittrex!C138="Trade",'Bittrex Data'!C138="Limit_Buy"),Bittrex!D138,"")))))</f>
        <v/>
      </c>
      <c r="I138" t="str">
        <f>IF('Bittrex Data'!C138="","",IF(Bittrex!C138="Buy",F138,IF(C138="Sale",Bittrex!G138,IF(AND(C138="Trade",'Bittrex Data'!C138="Limit_Sell"),Bittrex!G138,IF(AND(Bittrex!C138="Trade",'Bittrex Data'!C138="Limit_Buy"),F138,"")))))</f>
        <v/>
      </c>
      <c r="J138" t="str">
        <f>IF('Bittrex Data'!B138="","",IF('Bittrex Data'!B138="","",IF(Bittrex!H138=Bittrex!E138,D138,Bittrex!E138)))</f>
        <v/>
      </c>
      <c r="K138" t="str">
        <f>IF('Bittrex Data'!B138="","",IF(Bittrex!I138=Bittrex!G138,Bittrex!F138,Bittrex!G138))</f>
        <v/>
      </c>
    </row>
    <row r="139" spans="3:11" x14ac:dyDescent="0.2">
      <c r="C139" t="str">
        <f>IF('Bittrex Data'!A139="","",IF(AND('Bittrex Data'!C139="LIMIT_SELL",Bittrex!D139="USD"),"Sale",IF(AND('Bittrex Data'!C139="LIMIT_BUY",Bittrex!D139="USD"),"Buy","Trade")))</f>
        <v/>
      </c>
      <c r="D139" t="str">
        <f>IF('Bittrex Data'!B139="","",LEFT(LEFT('Bittrex Data'!B139,SEARCH("-",'Bittrex Data'!B139,1)),LEN(LEFT('Bittrex Data'!B139,SEARCH("-",'Bittrex Data'!B139,1)))-1))</f>
        <v/>
      </c>
      <c r="E139" t="str">
        <f>IF('Bittrex Data'!B139="","",RIGHT(RIGHT('Bittrex Data'!B139,LEN('Bittrex Data'!B139)-SEARCH("-",'Bittrex Data'!B139,1)+1),LEN(RIGHT('Bittrex Data'!B139,LEN('Bittrex Data'!B139)-SEARCH("-",'Bittrex Data'!B139,1)+1))-1))</f>
        <v/>
      </c>
      <c r="F139" t="str">
        <f>IF('Bittrex Data'!C139="","",IF('Bittrex Data'!C139="Limit_Sell",'Bittrex Data'!G139-'Bittrex Data'!F139,IF('Bittrex Data'!C139="Limit_Buy",'Bittrex Data'!G139+'Bittrex Data'!F139,"")))</f>
        <v/>
      </c>
      <c r="G139" t="str">
        <f>IF('Bittrex Data'!B139="","",'Bittrex Data'!D139)</f>
        <v/>
      </c>
      <c r="H139" t="str">
        <f>IF('Bittrex Data'!C139="","",IF(Bittrex!C139="Buy",Bittrex!D139,IF(Bittrex!C139="Sale",Bittrex!E139,IF(AND(Bittrex!C139="Trade",'Bittrex Data'!C139="Limit_Sell"),Bittrex!E139,IF(AND(Bittrex!C139="Trade",'Bittrex Data'!C139="Limit_Buy"),Bittrex!D139,"")))))</f>
        <v/>
      </c>
      <c r="I139" t="str">
        <f>IF('Bittrex Data'!C139="","",IF(Bittrex!C139="Buy",F139,IF(C139="Sale",Bittrex!G139,IF(AND(C139="Trade",'Bittrex Data'!C139="Limit_Sell"),Bittrex!G139,IF(AND(Bittrex!C139="Trade",'Bittrex Data'!C139="Limit_Buy"),F139,"")))))</f>
        <v/>
      </c>
      <c r="J139" t="str">
        <f>IF('Bittrex Data'!B139="","",IF('Bittrex Data'!B139="","",IF(Bittrex!H139=Bittrex!E139,D139,Bittrex!E139)))</f>
        <v/>
      </c>
      <c r="K139" t="str">
        <f>IF('Bittrex Data'!B139="","",IF(Bittrex!I139=Bittrex!G139,Bittrex!F139,Bittrex!G139))</f>
        <v/>
      </c>
    </row>
    <row r="140" spans="3:11" x14ac:dyDescent="0.2">
      <c r="C140" t="str">
        <f>IF('Bittrex Data'!A140="","",IF(AND('Bittrex Data'!C140="LIMIT_SELL",Bittrex!D140="USD"),"Sale",IF(AND('Bittrex Data'!C140="LIMIT_BUY",Bittrex!D140="USD"),"Buy","Trade")))</f>
        <v/>
      </c>
      <c r="D140" t="str">
        <f>IF('Bittrex Data'!B140="","",LEFT(LEFT('Bittrex Data'!B140,SEARCH("-",'Bittrex Data'!B140,1)),LEN(LEFT('Bittrex Data'!B140,SEARCH("-",'Bittrex Data'!B140,1)))-1))</f>
        <v/>
      </c>
      <c r="E140" t="str">
        <f>IF('Bittrex Data'!B140="","",RIGHT(RIGHT('Bittrex Data'!B140,LEN('Bittrex Data'!B140)-SEARCH("-",'Bittrex Data'!B140,1)+1),LEN(RIGHT('Bittrex Data'!B140,LEN('Bittrex Data'!B140)-SEARCH("-",'Bittrex Data'!B140,1)+1))-1))</f>
        <v/>
      </c>
      <c r="F140" t="str">
        <f>IF('Bittrex Data'!C140="","",IF('Bittrex Data'!C140="Limit_Sell",'Bittrex Data'!G140-'Bittrex Data'!F140,IF('Bittrex Data'!C140="Limit_Buy",'Bittrex Data'!G140+'Bittrex Data'!F140,"")))</f>
        <v/>
      </c>
      <c r="G140" t="str">
        <f>IF('Bittrex Data'!B140="","",'Bittrex Data'!D140)</f>
        <v/>
      </c>
      <c r="H140" t="str">
        <f>IF('Bittrex Data'!C140="","",IF(Bittrex!C140="Buy",Bittrex!D140,IF(Bittrex!C140="Sale",Bittrex!E140,IF(AND(Bittrex!C140="Trade",'Bittrex Data'!C140="Limit_Sell"),Bittrex!E140,IF(AND(Bittrex!C140="Trade",'Bittrex Data'!C140="Limit_Buy"),Bittrex!D140,"")))))</f>
        <v/>
      </c>
      <c r="I140" t="str">
        <f>IF('Bittrex Data'!C140="","",IF(Bittrex!C140="Buy",F140,IF(C140="Sale",Bittrex!G140,IF(AND(C140="Trade",'Bittrex Data'!C140="Limit_Sell"),Bittrex!G140,IF(AND(Bittrex!C140="Trade",'Bittrex Data'!C140="Limit_Buy"),F140,"")))))</f>
        <v/>
      </c>
      <c r="J140" t="str">
        <f>IF('Bittrex Data'!B140="","",IF('Bittrex Data'!B140="","",IF(Bittrex!H140=Bittrex!E140,D140,Bittrex!E140)))</f>
        <v/>
      </c>
      <c r="K140" t="str">
        <f>IF('Bittrex Data'!B140="","",IF(Bittrex!I140=Bittrex!G140,Bittrex!F140,Bittrex!G140))</f>
        <v/>
      </c>
    </row>
    <row r="141" spans="3:11" x14ac:dyDescent="0.2">
      <c r="C141" t="str">
        <f>IF('Bittrex Data'!A141="","",IF(AND('Bittrex Data'!C141="LIMIT_SELL",Bittrex!D141="USD"),"Sale",IF(AND('Bittrex Data'!C141="LIMIT_BUY",Bittrex!D141="USD"),"Buy","Trade")))</f>
        <v/>
      </c>
      <c r="D141" t="str">
        <f>IF('Bittrex Data'!B141="","",LEFT(LEFT('Bittrex Data'!B141,SEARCH("-",'Bittrex Data'!B141,1)),LEN(LEFT('Bittrex Data'!B141,SEARCH("-",'Bittrex Data'!B141,1)))-1))</f>
        <v/>
      </c>
      <c r="E141" t="str">
        <f>IF('Bittrex Data'!B141="","",RIGHT(RIGHT('Bittrex Data'!B141,LEN('Bittrex Data'!B141)-SEARCH("-",'Bittrex Data'!B141,1)+1),LEN(RIGHT('Bittrex Data'!B141,LEN('Bittrex Data'!B141)-SEARCH("-",'Bittrex Data'!B141,1)+1))-1))</f>
        <v/>
      </c>
      <c r="F141" t="str">
        <f>IF('Bittrex Data'!C141="","",IF('Bittrex Data'!C141="Limit_Sell",'Bittrex Data'!G141-'Bittrex Data'!F141,IF('Bittrex Data'!C141="Limit_Buy",'Bittrex Data'!G141+'Bittrex Data'!F141,"")))</f>
        <v/>
      </c>
      <c r="G141" t="str">
        <f>IF('Bittrex Data'!B141="","",'Bittrex Data'!D141)</f>
        <v/>
      </c>
      <c r="H141" t="str">
        <f>IF('Bittrex Data'!C141="","",IF(Bittrex!C141="Buy",Bittrex!D141,IF(Bittrex!C141="Sale",Bittrex!E141,IF(AND(Bittrex!C141="Trade",'Bittrex Data'!C141="Limit_Sell"),Bittrex!E141,IF(AND(Bittrex!C141="Trade",'Bittrex Data'!C141="Limit_Buy"),Bittrex!D141,"")))))</f>
        <v/>
      </c>
      <c r="I141" t="str">
        <f>IF('Bittrex Data'!C141="","",IF(Bittrex!C141="Buy",F141,IF(C141="Sale",Bittrex!G141,IF(AND(C141="Trade",'Bittrex Data'!C141="Limit_Sell"),Bittrex!G141,IF(AND(Bittrex!C141="Trade",'Bittrex Data'!C141="Limit_Buy"),F141,"")))))</f>
        <v/>
      </c>
      <c r="J141" t="str">
        <f>IF('Bittrex Data'!B141="","",IF('Bittrex Data'!B141="","",IF(Bittrex!H141=Bittrex!E141,D141,Bittrex!E141)))</f>
        <v/>
      </c>
      <c r="K141" t="str">
        <f>IF('Bittrex Data'!B141="","",IF(Bittrex!I141=Bittrex!G141,Bittrex!F141,Bittrex!G141))</f>
        <v/>
      </c>
    </row>
    <row r="142" spans="3:11" x14ac:dyDescent="0.2">
      <c r="C142" t="str">
        <f>IF('Bittrex Data'!A142="","",IF(AND('Bittrex Data'!C142="LIMIT_SELL",Bittrex!D142="USD"),"Sale",IF(AND('Bittrex Data'!C142="LIMIT_BUY",Bittrex!D142="USD"),"Buy","Trade")))</f>
        <v/>
      </c>
      <c r="D142" t="str">
        <f>IF('Bittrex Data'!B142="","",LEFT(LEFT('Bittrex Data'!B142,SEARCH("-",'Bittrex Data'!B142,1)),LEN(LEFT('Bittrex Data'!B142,SEARCH("-",'Bittrex Data'!B142,1)))-1))</f>
        <v/>
      </c>
      <c r="E142" t="str">
        <f>IF('Bittrex Data'!B142="","",RIGHT(RIGHT('Bittrex Data'!B142,LEN('Bittrex Data'!B142)-SEARCH("-",'Bittrex Data'!B142,1)+1),LEN(RIGHT('Bittrex Data'!B142,LEN('Bittrex Data'!B142)-SEARCH("-",'Bittrex Data'!B142,1)+1))-1))</f>
        <v/>
      </c>
      <c r="F142" t="str">
        <f>IF('Bittrex Data'!C142="","",IF('Bittrex Data'!C142="Limit_Sell",'Bittrex Data'!G142-'Bittrex Data'!F142,IF('Bittrex Data'!C142="Limit_Buy",'Bittrex Data'!G142+'Bittrex Data'!F142,"")))</f>
        <v/>
      </c>
      <c r="G142" t="str">
        <f>IF('Bittrex Data'!B142="","",'Bittrex Data'!D142)</f>
        <v/>
      </c>
      <c r="H142" t="str">
        <f>IF('Bittrex Data'!C142="","",IF(Bittrex!C142="Buy",Bittrex!D142,IF(Bittrex!C142="Sale",Bittrex!E142,IF(AND(Bittrex!C142="Trade",'Bittrex Data'!C142="Limit_Sell"),Bittrex!E142,IF(AND(Bittrex!C142="Trade",'Bittrex Data'!C142="Limit_Buy"),Bittrex!D142,"")))))</f>
        <v/>
      </c>
      <c r="I142" t="str">
        <f>IF('Bittrex Data'!C142="","",IF(Bittrex!C142="Buy",F142,IF(C142="Sale",Bittrex!G142,IF(AND(C142="Trade",'Bittrex Data'!C142="Limit_Sell"),Bittrex!G142,IF(AND(Bittrex!C142="Trade",'Bittrex Data'!C142="Limit_Buy"),F142,"")))))</f>
        <v/>
      </c>
      <c r="J142" t="str">
        <f>IF('Bittrex Data'!B142="","",IF('Bittrex Data'!B142="","",IF(Bittrex!H142=Bittrex!E142,D142,Bittrex!E142)))</f>
        <v/>
      </c>
      <c r="K142" t="str">
        <f>IF('Bittrex Data'!B142="","",IF(Bittrex!I142=Bittrex!G142,Bittrex!F142,Bittrex!G142))</f>
        <v/>
      </c>
    </row>
    <row r="143" spans="3:11" x14ac:dyDescent="0.2">
      <c r="C143" t="str">
        <f>IF('Bittrex Data'!A143="","",IF(AND('Bittrex Data'!C143="LIMIT_SELL",Bittrex!D143="USD"),"Sale",IF(AND('Bittrex Data'!C143="LIMIT_BUY",Bittrex!D143="USD"),"Buy","Trade")))</f>
        <v/>
      </c>
      <c r="D143" t="str">
        <f>IF('Bittrex Data'!B143="","",LEFT(LEFT('Bittrex Data'!B143,SEARCH("-",'Bittrex Data'!B143,1)),LEN(LEFT('Bittrex Data'!B143,SEARCH("-",'Bittrex Data'!B143,1)))-1))</f>
        <v/>
      </c>
      <c r="E143" t="str">
        <f>IF('Bittrex Data'!B143="","",RIGHT(RIGHT('Bittrex Data'!B143,LEN('Bittrex Data'!B143)-SEARCH("-",'Bittrex Data'!B143,1)+1),LEN(RIGHT('Bittrex Data'!B143,LEN('Bittrex Data'!B143)-SEARCH("-",'Bittrex Data'!B143,1)+1))-1))</f>
        <v/>
      </c>
      <c r="F143" t="str">
        <f>IF('Bittrex Data'!C143="","",IF('Bittrex Data'!C143="Limit_Sell",'Bittrex Data'!G143-'Bittrex Data'!F143,IF('Bittrex Data'!C143="Limit_Buy",'Bittrex Data'!G143+'Bittrex Data'!F143,"")))</f>
        <v/>
      </c>
      <c r="G143" t="str">
        <f>IF('Bittrex Data'!B143="","",'Bittrex Data'!D143)</f>
        <v/>
      </c>
      <c r="H143" t="str">
        <f>IF('Bittrex Data'!C143="","",IF(Bittrex!C143="Buy",Bittrex!D143,IF(Bittrex!C143="Sale",Bittrex!E143,IF(AND(Bittrex!C143="Trade",'Bittrex Data'!C143="Limit_Sell"),Bittrex!E143,IF(AND(Bittrex!C143="Trade",'Bittrex Data'!C143="Limit_Buy"),Bittrex!D143,"")))))</f>
        <v/>
      </c>
      <c r="I143" t="str">
        <f>IF('Bittrex Data'!C143="","",IF(Bittrex!C143="Buy",F143,IF(C143="Sale",Bittrex!G143,IF(AND(C143="Trade",'Bittrex Data'!C143="Limit_Sell"),Bittrex!G143,IF(AND(Bittrex!C143="Trade",'Bittrex Data'!C143="Limit_Buy"),F143,"")))))</f>
        <v/>
      </c>
      <c r="J143" t="str">
        <f>IF('Bittrex Data'!B143="","",IF('Bittrex Data'!B143="","",IF(Bittrex!H143=Bittrex!E143,D143,Bittrex!E143)))</f>
        <v/>
      </c>
      <c r="K143" t="str">
        <f>IF('Bittrex Data'!B143="","",IF(Bittrex!I143=Bittrex!G143,Bittrex!F143,Bittrex!G143))</f>
        <v/>
      </c>
    </row>
    <row r="144" spans="3:11" x14ac:dyDescent="0.2">
      <c r="C144" t="str">
        <f>IF('Bittrex Data'!A144="","",IF(AND('Bittrex Data'!C144="LIMIT_SELL",Bittrex!D144="USD"),"Sale",IF(AND('Bittrex Data'!C144="LIMIT_BUY",Bittrex!D144="USD"),"Buy","Trade")))</f>
        <v/>
      </c>
      <c r="D144" t="str">
        <f>IF('Bittrex Data'!B144="","",LEFT(LEFT('Bittrex Data'!B144,SEARCH("-",'Bittrex Data'!B144,1)),LEN(LEFT('Bittrex Data'!B144,SEARCH("-",'Bittrex Data'!B144,1)))-1))</f>
        <v/>
      </c>
      <c r="E144" t="str">
        <f>IF('Bittrex Data'!B144="","",RIGHT(RIGHT('Bittrex Data'!B144,LEN('Bittrex Data'!B144)-SEARCH("-",'Bittrex Data'!B144,1)+1),LEN(RIGHT('Bittrex Data'!B144,LEN('Bittrex Data'!B144)-SEARCH("-",'Bittrex Data'!B144,1)+1))-1))</f>
        <v/>
      </c>
      <c r="F144" t="str">
        <f>IF('Bittrex Data'!C144="","",IF('Bittrex Data'!C144="Limit_Sell",'Bittrex Data'!G144-'Bittrex Data'!F144,IF('Bittrex Data'!C144="Limit_Buy",'Bittrex Data'!G144+'Bittrex Data'!F144,"")))</f>
        <v/>
      </c>
      <c r="G144" t="str">
        <f>IF('Bittrex Data'!B144="","",'Bittrex Data'!D144)</f>
        <v/>
      </c>
      <c r="H144" t="str">
        <f>IF('Bittrex Data'!C144="","",IF(Bittrex!C144="Buy",Bittrex!D144,IF(Bittrex!C144="Sale",Bittrex!E144,IF(AND(Bittrex!C144="Trade",'Bittrex Data'!C144="Limit_Sell"),Bittrex!E144,IF(AND(Bittrex!C144="Trade",'Bittrex Data'!C144="Limit_Buy"),Bittrex!D144,"")))))</f>
        <v/>
      </c>
      <c r="I144" t="str">
        <f>IF('Bittrex Data'!C144="","",IF(Bittrex!C144="Buy",F144,IF(C144="Sale",Bittrex!G144,IF(AND(C144="Trade",'Bittrex Data'!C144="Limit_Sell"),Bittrex!G144,IF(AND(Bittrex!C144="Trade",'Bittrex Data'!C144="Limit_Buy"),F144,"")))))</f>
        <v/>
      </c>
      <c r="J144" t="str">
        <f>IF('Bittrex Data'!B144="","",IF('Bittrex Data'!B144="","",IF(Bittrex!H144=Bittrex!E144,D144,Bittrex!E144)))</f>
        <v/>
      </c>
      <c r="K144" t="str">
        <f>IF('Bittrex Data'!B144="","",IF(Bittrex!I144=Bittrex!G144,Bittrex!F144,Bittrex!G144))</f>
        <v/>
      </c>
    </row>
    <row r="145" spans="3:11" x14ac:dyDescent="0.2">
      <c r="C145" t="str">
        <f>IF('Bittrex Data'!A145="","",IF(AND('Bittrex Data'!C145="LIMIT_SELL",Bittrex!D145="USD"),"Sale",IF(AND('Bittrex Data'!C145="LIMIT_BUY",Bittrex!D145="USD"),"Buy","Trade")))</f>
        <v/>
      </c>
      <c r="D145" t="str">
        <f>IF('Bittrex Data'!B145="","",LEFT(LEFT('Bittrex Data'!B145,SEARCH("-",'Bittrex Data'!B145,1)),LEN(LEFT('Bittrex Data'!B145,SEARCH("-",'Bittrex Data'!B145,1)))-1))</f>
        <v/>
      </c>
      <c r="E145" t="str">
        <f>IF('Bittrex Data'!B145="","",RIGHT(RIGHT('Bittrex Data'!B145,LEN('Bittrex Data'!B145)-SEARCH("-",'Bittrex Data'!B145,1)+1),LEN(RIGHT('Bittrex Data'!B145,LEN('Bittrex Data'!B145)-SEARCH("-",'Bittrex Data'!B145,1)+1))-1))</f>
        <v/>
      </c>
      <c r="F145" t="str">
        <f>IF('Bittrex Data'!C145="","",IF('Bittrex Data'!C145="Limit_Sell",'Bittrex Data'!G145-'Bittrex Data'!F145,IF('Bittrex Data'!C145="Limit_Buy",'Bittrex Data'!G145+'Bittrex Data'!F145,"")))</f>
        <v/>
      </c>
      <c r="G145" t="str">
        <f>IF('Bittrex Data'!B145="","",'Bittrex Data'!D145)</f>
        <v/>
      </c>
      <c r="H145" t="str">
        <f>IF('Bittrex Data'!C145="","",IF(Bittrex!C145="Buy",Bittrex!D145,IF(Bittrex!C145="Sale",Bittrex!E145,IF(AND(Bittrex!C145="Trade",'Bittrex Data'!C145="Limit_Sell"),Bittrex!E145,IF(AND(Bittrex!C145="Trade",'Bittrex Data'!C145="Limit_Buy"),Bittrex!D145,"")))))</f>
        <v/>
      </c>
      <c r="I145" t="str">
        <f>IF('Bittrex Data'!C145="","",IF(Bittrex!C145="Buy",F145,IF(C145="Sale",Bittrex!G145,IF(AND(C145="Trade",'Bittrex Data'!C145="Limit_Sell"),Bittrex!G145,IF(AND(Bittrex!C145="Trade",'Bittrex Data'!C145="Limit_Buy"),F145,"")))))</f>
        <v/>
      </c>
      <c r="J145" t="str">
        <f>IF('Bittrex Data'!B145="","",IF('Bittrex Data'!B145="","",IF(Bittrex!H145=Bittrex!E145,D145,Bittrex!E145)))</f>
        <v/>
      </c>
      <c r="K145" t="str">
        <f>IF('Bittrex Data'!B145="","",IF(Bittrex!I145=Bittrex!G145,Bittrex!F145,Bittrex!G145))</f>
        <v/>
      </c>
    </row>
    <row r="146" spans="3:11" x14ac:dyDescent="0.2">
      <c r="C146" t="str">
        <f>IF('Bittrex Data'!A146="","",IF(AND('Bittrex Data'!C146="LIMIT_SELL",Bittrex!D146="USD"),"Sale",IF(AND('Bittrex Data'!C146="LIMIT_BUY",Bittrex!D146="USD"),"Buy","Trade")))</f>
        <v/>
      </c>
      <c r="D146" t="str">
        <f>IF('Bittrex Data'!B146="","",LEFT(LEFT('Bittrex Data'!B146,SEARCH("-",'Bittrex Data'!B146,1)),LEN(LEFT('Bittrex Data'!B146,SEARCH("-",'Bittrex Data'!B146,1)))-1))</f>
        <v/>
      </c>
      <c r="E146" t="str">
        <f>IF('Bittrex Data'!B146="","",RIGHT(RIGHT('Bittrex Data'!B146,LEN('Bittrex Data'!B146)-SEARCH("-",'Bittrex Data'!B146,1)+1),LEN(RIGHT('Bittrex Data'!B146,LEN('Bittrex Data'!B146)-SEARCH("-",'Bittrex Data'!B146,1)+1))-1))</f>
        <v/>
      </c>
      <c r="F146" t="str">
        <f>IF('Bittrex Data'!C146="","",IF('Bittrex Data'!C146="Limit_Sell",'Bittrex Data'!G146-'Bittrex Data'!F146,IF('Bittrex Data'!C146="Limit_Buy",'Bittrex Data'!G146+'Bittrex Data'!F146,"")))</f>
        <v/>
      </c>
      <c r="G146" t="str">
        <f>IF('Bittrex Data'!B146="","",'Bittrex Data'!D146)</f>
        <v/>
      </c>
      <c r="H146" t="str">
        <f>IF('Bittrex Data'!C146="","",IF(Bittrex!C146="Buy",Bittrex!D146,IF(Bittrex!C146="Sale",Bittrex!E146,IF(AND(Bittrex!C146="Trade",'Bittrex Data'!C146="Limit_Sell"),Bittrex!E146,IF(AND(Bittrex!C146="Trade",'Bittrex Data'!C146="Limit_Buy"),Bittrex!D146,"")))))</f>
        <v/>
      </c>
      <c r="I146" t="str">
        <f>IF('Bittrex Data'!C146="","",IF(Bittrex!C146="Buy",F146,IF(C146="Sale",Bittrex!G146,IF(AND(C146="Trade",'Bittrex Data'!C146="Limit_Sell"),Bittrex!G146,IF(AND(Bittrex!C146="Trade",'Bittrex Data'!C146="Limit_Buy"),F146,"")))))</f>
        <v/>
      </c>
      <c r="J146" t="str">
        <f>IF('Bittrex Data'!B146="","",IF('Bittrex Data'!B146="","",IF(Bittrex!H146=Bittrex!E146,D146,Bittrex!E146)))</f>
        <v/>
      </c>
      <c r="K146" t="str">
        <f>IF('Bittrex Data'!B146="","",IF(Bittrex!I146=Bittrex!G146,Bittrex!F146,Bittrex!G146))</f>
        <v/>
      </c>
    </row>
    <row r="147" spans="3:11" x14ac:dyDescent="0.2">
      <c r="C147" t="str">
        <f>IF('Bittrex Data'!A147="","",IF(AND('Bittrex Data'!C147="LIMIT_SELL",Bittrex!D147="USD"),"Sale",IF(AND('Bittrex Data'!C147="LIMIT_BUY",Bittrex!D147="USD"),"Buy","Trade")))</f>
        <v/>
      </c>
      <c r="D147" t="str">
        <f>IF('Bittrex Data'!B147="","",LEFT(LEFT('Bittrex Data'!B147,SEARCH("-",'Bittrex Data'!B147,1)),LEN(LEFT('Bittrex Data'!B147,SEARCH("-",'Bittrex Data'!B147,1)))-1))</f>
        <v/>
      </c>
      <c r="E147" t="str">
        <f>IF('Bittrex Data'!B147="","",RIGHT(RIGHT('Bittrex Data'!B147,LEN('Bittrex Data'!B147)-SEARCH("-",'Bittrex Data'!B147,1)+1),LEN(RIGHT('Bittrex Data'!B147,LEN('Bittrex Data'!B147)-SEARCH("-",'Bittrex Data'!B147,1)+1))-1))</f>
        <v/>
      </c>
      <c r="F147" t="str">
        <f>IF('Bittrex Data'!C147="","",IF('Bittrex Data'!C147="Limit_Sell",'Bittrex Data'!G147-'Bittrex Data'!F147,IF('Bittrex Data'!C147="Limit_Buy",'Bittrex Data'!G147+'Bittrex Data'!F147,"")))</f>
        <v/>
      </c>
      <c r="G147" t="str">
        <f>IF('Bittrex Data'!B147="","",'Bittrex Data'!D147)</f>
        <v/>
      </c>
      <c r="H147" t="str">
        <f>IF('Bittrex Data'!C147="","",IF(Bittrex!C147="Buy",Bittrex!D147,IF(Bittrex!C147="Sale",Bittrex!E147,IF(AND(Bittrex!C147="Trade",'Bittrex Data'!C147="Limit_Sell"),Bittrex!E147,IF(AND(Bittrex!C147="Trade",'Bittrex Data'!C147="Limit_Buy"),Bittrex!D147,"")))))</f>
        <v/>
      </c>
      <c r="I147" t="str">
        <f>IF('Bittrex Data'!C147="","",IF(Bittrex!C147="Buy",F147,IF(C147="Sale",Bittrex!G147,IF(AND(C147="Trade",'Bittrex Data'!C147="Limit_Sell"),Bittrex!G147,IF(AND(Bittrex!C147="Trade",'Bittrex Data'!C147="Limit_Buy"),F147,"")))))</f>
        <v/>
      </c>
      <c r="J147" t="str">
        <f>IF('Bittrex Data'!B147="","",IF('Bittrex Data'!B147="","",IF(Bittrex!H147=Bittrex!E147,D147,Bittrex!E147)))</f>
        <v/>
      </c>
      <c r="K147" t="str">
        <f>IF('Bittrex Data'!B147="","",IF(Bittrex!I147=Bittrex!G147,Bittrex!F147,Bittrex!G147))</f>
        <v/>
      </c>
    </row>
    <row r="148" spans="3:11" x14ac:dyDescent="0.2">
      <c r="C148" t="str">
        <f>IF('Bittrex Data'!A148="","",IF(AND('Bittrex Data'!C148="LIMIT_SELL",Bittrex!D148="USD"),"Sale",IF(AND('Bittrex Data'!C148="LIMIT_BUY",Bittrex!D148="USD"),"Buy","Trade")))</f>
        <v/>
      </c>
      <c r="D148" t="str">
        <f>IF('Bittrex Data'!B148="","",LEFT(LEFT('Bittrex Data'!B148,SEARCH("-",'Bittrex Data'!B148,1)),LEN(LEFT('Bittrex Data'!B148,SEARCH("-",'Bittrex Data'!B148,1)))-1))</f>
        <v/>
      </c>
      <c r="E148" t="str">
        <f>IF('Bittrex Data'!B148="","",RIGHT(RIGHT('Bittrex Data'!B148,LEN('Bittrex Data'!B148)-SEARCH("-",'Bittrex Data'!B148,1)+1),LEN(RIGHT('Bittrex Data'!B148,LEN('Bittrex Data'!B148)-SEARCH("-",'Bittrex Data'!B148,1)+1))-1))</f>
        <v/>
      </c>
      <c r="F148" t="str">
        <f>IF('Bittrex Data'!C148="","",IF('Bittrex Data'!C148="Limit_Sell",'Bittrex Data'!G148-'Bittrex Data'!F148,IF('Bittrex Data'!C148="Limit_Buy",'Bittrex Data'!G148+'Bittrex Data'!F148,"")))</f>
        <v/>
      </c>
      <c r="G148" t="str">
        <f>IF('Bittrex Data'!B148="","",'Bittrex Data'!D148)</f>
        <v/>
      </c>
      <c r="H148" t="str">
        <f>IF('Bittrex Data'!C148="","",IF(Bittrex!C148="Buy",Bittrex!D148,IF(Bittrex!C148="Sale",Bittrex!E148,IF(AND(Bittrex!C148="Trade",'Bittrex Data'!C148="Limit_Sell"),Bittrex!E148,IF(AND(Bittrex!C148="Trade",'Bittrex Data'!C148="Limit_Buy"),Bittrex!D148,"")))))</f>
        <v/>
      </c>
      <c r="I148" t="str">
        <f>IF('Bittrex Data'!C148="","",IF(Bittrex!C148="Buy",F148,IF(C148="Sale",Bittrex!G148,IF(AND(C148="Trade",'Bittrex Data'!C148="Limit_Sell"),Bittrex!G148,IF(AND(Bittrex!C148="Trade",'Bittrex Data'!C148="Limit_Buy"),F148,"")))))</f>
        <v/>
      </c>
      <c r="J148" t="str">
        <f>IF('Bittrex Data'!B148="","",IF('Bittrex Data'!B148="","",IF(Bittrex!H148=Bittrex!E148,D148,Bittrex!E148)))</f>
        <v/>
      </c>
      <c r="K148" t="str">
        <f>IF('Bittrex Data'!B148="","",IF(Bittrex!I148=Bittrex!G148,Bittrex!F148,Bittrex!G148))</f>
        <v/>
      </c>
    </row>
    <row r="149" spans="3:11" x14ac:dyDescent="0.2">
      <c r="C149" t="str">
        <f>IF('Bittrex Data'!A149="","",IF(AND('Bittrex Data'!C149="LIMIT_SELL",Bittrex!D149="USD"),"Sale",IF(AND('Bittrex Data'!C149="LIMIT_BUY",Bittrex!D149="USD"),"Buy","Trade")))</f>
        <v/>
      </c>
      <c r="D149" t="str">
        <f>IF('Bittrex Data'!B149="","",LEFT(LEFT('Bittrex Data'!B149,SEARCH("-",'Bittrex Data'!B149,1)),LEN(LEFT('Bittrex Data'!B149,SEARCH("-",'Bittrex Data'!B149,1)))-1))</f>
        <v/>
      </c>
      <c r="E149" t="str">
        <f>IF('Bittrex Data'!B149="","",RIGHT(RIGHT('Bittrex Data'!B149,LEN('Bittrex Data'!B149)-SEARCH("-",'Bittrex Data'!B149,1)+1),LEN(RIGHT('Bittrex Data'!B149,LEN('Bittrex Data'!B149)-SEARCH("-",'Bittrex Data'!B149,1)+1))-1))</f>
        <v/>
      </c>
      <c r="F149" t="str">
        <f>IF('Bittrex Data'!C149="","",IF('Bittrex Data'!C149="Limit_Sell",'Bittrex Data'!G149-'Bittrex Data'!F149,IF('Bittrex Data'!C149="Limit_Buy",'Bittrex Data'!G149+'Bittrex Data'!F149,"")))</f>
        <v/>
      </c>
      <c r="G149" t="str">
        <f>IF('Bittrex Data'!B149="","",'Bittrex Data'!D149)</f>
        <v/>
      </c>
      <c r="H149" t="str">
        <f>IF('Bittrex Data'!C149="","",IF(Bittrex!C149="Buy",Bittrex!D149,IF(Bittrex!C149="Sale",Bittrex!E149,IF(AND(Bittrex!C149="Trade",'Bittrex Data'!C149="Limit_Sell"),Bittrex!E149,IF(AND(Bittrex!C149="Trade",'Bittrex Data'!C149="Limit_Buy"),Bittrex!D149,"")))))</f>
        <v/>
      </c>
      <c r="I149" t="str">
        <f>IF('Bittrex Data'!C149="","",IF(Bittrex!C149="Buy",F149,IF(C149="Sale",Bittrex!G149,IF(AND(C149="Trade",'Bittrex Data'!C149="Limit_Sell"),Bittrex!G149,IF(AND(Bittrex!C149="Trade",'Bittrex Data'!C149="Limit_Buy"),F149,"")))))</f>
        <v/>
      </c>
      <c r="J149" t="str">
        <f>IF('Bittrex Data'!B149="","",IF('Bittrex Data'!B149="","",IF(Bittrex!H149=Bittrex!E149,D149,Bittrex!E149)))</f>
        <v/>
      </c>
      <c r="K149" t="str">
        <f>IF('Bittrex Data'!B149="","",IF(Bittrex!I149=Bittrex!G149,Bittrex!F149,Bittrex!G149))</f>
        <v/>
      </c>
    </row>
    <row r="150" spans="3:11" x14ac:dyDescent="0.2">
      <c r="C150" t="str">
        <f>IF('Bittrex Data'!A150="","",IF(AND('Bittrex Data'!C150="LIMIT_SELL",Bittrex!D150="USD"),"Sale",IF(AND('Bittrex Data'!C150="LIMIT_BUY",Bittrex!D150="USD"),"Buy","Trade")))</f>
        <v/>
      </c>
      <c r="D150" t="str">
        <f>IF('Bittrex Data'!B150="","",LEFT(LEFT('Bittrex Data'!B150,SEARCH("-",'Bittrex Data'!B150,1)),LEN(LEFT('Bittrex Data'!B150,SEARCH("-",'Bittrex Data'!B150,1)))-1))</f>
        <v/>
      </c>
      <c r="E150" t="str">
        <f>IF('Bittrex Data'!B150="","",RIGHT(RIGHT('Bittrex Data'!B150,LEN('Bittrex Data'!B150)-SEARCH("-",'Bittrex Data'!B150,1)+1),LEN(RIGHT('Bittrex Data'!B150,LEN('Bittrex Data'!B150)-SEARCH("-",'Bittrex Data'!B150,1)+1))-1))</f>
        <v/>
      </c>
      <c r="F150" t="str">
        <f>IF('Bittrex Data'!C150="","",IF('Bittrex Data'!C150="Limit_Sell",'Bittrex Data'!G150-'Bittrex Data'!F150,IF('Bittrex Data'!C150="Limit_Buy",'Bittrex Data'!G150+'Bittrex Data'!F150,"")))</f>
        <v/>
      </c>
      <c r="G150" t="str">
        <f>IF('Bittrex Data'!B150="","",'Bittrex Data'!D150)</f>
        <v/>
      </c>
      <c r="H150" t="str">
        <f>IF('Bittrex Data'!C150="","",IF(Bittrex!C150="Buy",Bittrex!D150,IF(Bittrex!C150="Sale",Bittrex!E150,IF(AND(Bittrex!C150="Trade",'Bittrex Data'!C150="Limit_Sell"),Bittrex!E150,IF(AND(Bittrex!C150="Trade",'Bittrex Data'!C150="Limit_Buy"),Bittrex!D150,"")))))</f>
        <v/>
      </c>
      <c r="I150" t="str">
        <f>IF('Bittrex Data'!C150="","",IF(Bittrex!C150="Buy",F150,IF(C150="Sale",Bittrex!G150,IF(AND(C150="Trade",'Bittrex Data'!C150="Limit_Sell"),Bittrex!G150,IF(AND(Bittrex!C150="Trade",'Bittrex Data'!C150="Limit_Buy"),F150,"")))))</f>
        <v/>
      </c>
      <c r="J150" t="str">
        <f>IF('Bittrex Data'!B150="","",IF('Bittrex Data'!B150="","",IF(Bittrex!H150=Bittrex!E150,D150,Bittrex!E150)))</f>
        <v/>
      </c>
      <c r="K150" t="str">
        <f>IF('Bittrex Data'!B150="","",IF(Bittrex!I150=Bittrex!G150,Bittrex!F150,Bittrex!G150))</f>
        <v/>
      </c>
    </row>
    <row r="151" spans="3:11" x14ac:dyDescent="0.2">
      <c r="C151" t="str">
        <f>IF('Bittrex Data'!A151="","",IF(AND('Bittrex Data'!C151="LIMIT_SELL",Bittrex!D151="USD"),"Sale",IF(AND('Bittrex Data'!C151="LIMIT_BUY",Bittrex!D151="USD"),"Buy","Trade")))</f>
        <v/>
      </c>
      <c r="D151" t="str">
        <f>IF('Bittrex Data'!B151="","",LEFT(LEFT('Bittrex Data'!B151,SEARCH("-",'Bittrex Data'!B151,1)),LEN(LEFT('Bittrex Data'!B151,SEARCH("-",'Bittrex Data'!B151,1)))-1))</f>
        <v/>
      </c>
      <c r="E151" t="str">
        <f>IF('Bittrex Data'!B151="","",RIGHT(RIGHT('Bittrex Data'!B151,LEN('Bittrex Data'!B151)-SEARCH("-",'Bittrex Data'!B151,1)+1),LEN(RIGHT('Bittrex Data'!B151,LEN('Bittrex Data'!B151)-SEARCH("-",'Bittrex Data'!B151,1)+1))-1))</f>
        <v/>
      </c>
      <c r="F151" t="str">
        <f>IF('Bittrex Data'!C151="","",IF('Bittrex Data'!C151="Limit_Sell",'Bittrex Data'!G151-'Bittrex Data'!F151,IF('Bittrex Data'!C151="Limit_Buy",'Bittrex Data'!G151+'Bittrex Data'!F151,"")))</f>
        <v/>
      </c>
      <c r="G151" t="str">
        <f>IF('Bittrex Data'!B151="","",'Bittrex Data'!D151)</f>
        <v/>
      </c>
      <c r="H151" t="str">
        <f>IF('Bittrex Data'!C151="","",IF(Bittrex!C151="Buy",Bittrex!D151,IF(Bittrex!C151="Sale",Bittrex!E151,IF(AND(Bittrex!C151="Trade",'Bittrex Data'!C151="Limit_Sell"),Bittrex!E151,IF(AND(Bittrex!C151="Trade",'Bittrex Data'!C151="Limit_Buy"),Bittrex!D151,"")))))</f>
        <v/>
      </c>
      <c r="I151" t="str">
        <f>IF('Bittrex Data'!C151="","",IF(Bittrex!C151="Buy",F151,IF(C151="Sale",Bittrex!G151,IF(AND(C151="Trade",'Bittrex Data'!C151="Limit_Sell"),Bittrex!G151,IF(AND(Bittrex!C151="Trade",'Bittrex Data'!C151="Limit_Buy"),F151,"")))))</f>
        <v/>
      </c>
      <c r="J151" t="str">
        <f>IF('Bittrex Data'!B151="","",IF('Bittrex Data'!B151="","",IF(Bittrex!H151=Bittrex!E151,D151,Bittrex!E151)))</f>
        <v/>
      </c>
      <c r="K151" t="str">
        <f>IF('Bittrex Data'!B151="","",IF(Bittrex!I151=Bittrex!G151,Bittrex!F151,Bittrex!G151))</f>
        <v/>
      </c>
    </row>
    <row r="152" spans="3:11" x14ac:dyDescent="0.2">
      <c r="C152" t="str">
        <f>IF('Bittrex Data'!A152="","",IF(AND('Bittrex Data'!C152="LIMIT_SELL",Bittrex!D152="USD"),"Sale",IF(AND('Bittrex Data'!C152="LIMIT_BUY",Bittrex!D152="USD"),"Buy","Trade")))</f>
        <v/>
      </c>
      <c r="D152" t="str">
        <f>IF('Bittrex Data'!B152="","",LEFT(LEFT('Bittrex Data'!B152,SEARCH("-",'Bittrex Data'!B152,1)),LEN(LEFT('Bittrex Data'!B152,SEARCH("-",'Bittrex Data'!B152,1)))-1))</f>
        <v/>
      </c>
      <c r="E152" t="str">
        <f>IF('Bittrex Data'!B152="","",RIGHT(RIGHT('Bittrex Data'!B152,LEN('Bittrex Data'!B152)-SEARCH("-",'Bittrex Data'!B152,1)+1),LEN(RIGHT('Bittrex Data'!B152,LEN('Bittrex Data'!B152)-SEARCH("-",'Bittrex Data'!B152,1)+1))-1))</f>
        <v/>
      </c>
      <c r="F152" t="str">
        <f>IF('Bittrex Data'!C152="","",IF('Bittrex Data'!C152="Limit_Sell",'Bittrex Data'!G152-'Bittrex Data'!F152,IF('Bittrex Data'!C152="Limit_Buy",'Bittrex Data'!G152+'Bittrex Data'!F152,"")))</f>
        <v/>
      </c>
      <c r="G152" t="str">
        <f>IF('Bittrex Data'!B152="","",'Bittrex Data'!D152)</f>
        <v/>
      </c>
      <c r="H152" t="str">
        <f>IF('Bittrex Data'!C152="","",IF(Bittrex!C152="Buy",Bittrex!D152,IF(Bittrex!C152="Sale",Bittrex!E152,IF(AND(Bittrex!C152="Trade",'Bittrex Data'!C152="Limit_Sell"),Bittrex!E152,IF(AND(Bittrex!C152="Trade",'Bittrex Data'!C152="Limit_Buy"),Bittrex!D152,"")))))</f>
        <v/>
      </c>
      <c r="I152" t="str">
        <f>IF('Bittrex Data'!C152="","",IF(Bittrex!C152="Buy",F152,IF(C152="Sale",Bittrex!G152,IF(AND(C152="Trade",'Bittrex Data'!C152="Limit_Sell"),Bittrex!G152,IF(AND(Bittrex!C152="Trade",'Bittrex Data'!C152="Limit_Buy"),F152,"")))))</f>
        <v/>
      </c>
      <c r="J152" t="str">
        <f>IF('Bittrex Data'!B152="","",IF('Bittrex Data'!B152="","",IF(Bittrex!H152=Bittrex!E152,D152,Bittrex!E152)))</f>
        <v/>
      </c>
      <c r="K152" t="str">
        <f>IF('Bittrex Data'!B152="","",IF(Bittrex!I152=Bittrex!G152,Bittrex!F152,Bittrex!G152))</f>
        <v/>
      </c>
    </row>
    <row r="153" spans="3:11" x14ac:dyDescent="0.2">
      <c r="C153" t="str">
        <f>IF('Bittrex Data'!A153="","",IF(AND('Bittrex Data'!C153="LIMIT_SELL",Bittrex!D153="USD"),"Sale",IF(AND('Bittrex Data'!C153="LIMIT_BUY",Bittrex!D153="USD"),"Buy","Trade")))</f>
        <v/>
      </c>
      <c r="D153" t="str">
        <f>IF('Bittrex Data'!B153="","",LEFT(LEFT('Bittrex Data'!B153,SEARCH("-",'Bittrex Data'!B153,1)),LEN(LEFT('Bittrex Data'!B153,SEARCH("-",'Bittrex Data'!B153,1)))-1))</f>
        <v/>
      </c>
      <c r="E153" t="str">
        <f>IF('Bittrex Data'!B153="","",RIGHT(RIGHT('Bittrex Data'!B153,LEN('Bittrex Data'!B153)-SEARCH("-",'Bittrex Data'!B153,1)+1),LEN(RIGHT('Bittrex Data'!B153,LEN('Bittrex Data'!B153)-SEARCH("-",'Bittrex Data'!B153,1)+1))-1))</f>
        <v/>
      </c>
      <c r="F153" t="str">
        <f>IF('Bittrex Data'!C153="","",IF('Bittrex Data'!C153="Limit_Sell",'Bittrex Data'!G153-'Bittrex Data'!F153,IF('Bittrex Data'!C153="Limit_Buy",'Bittrex Data'!G153+'Bittrex Data'!F153,"")))</f>
        <v/>
      </c>
      <c r="G153" t="str">
        <f>IF('Bittrex Data'!B153="","",'Bittrex Data'!D153)</f>
        <v/>
      </c>
      <c r="H153" t="str">
        <f>IF('Bittrex Data'!C153="","",IF(Bittrex!C153="Buy",Bittrex!D153,IF(Bittrex!C153="Sale",Bittrex!E153,IF(AND(Bittrex!C153="Trade",'Bittrex Data'!C153="Limit_Sell"),Bittrex!E153,IF(AND(Bittrex!C153="Trade",'Bittrex Data'!C153="Limit_Buy"),Bittrex!D153,"")))))</f>
        <v/>
      </c>
      <c r="I153" t="str">
        <f>IF('Bittrex Data'!C153="","",IF(Bittrex!C153="Buy",F153,IF(C153="Sale",Bittrex!G153,IF(AND(C153="Trade",'Bittrex Data'!C153="Limit_Sell"),Bittrex!G153,IF(AND(Bittrex!C153="Trade",'Bittrex Data'!C153="Limit_Buy"),F153,"")))))</f>
        <v/>
      </c>
      <c r="J153" t="str">
        <f>IF('Bittrex Data'!B153="","",IF('Bittrex Data'!B153="","",IF(Bittrex!H153=Bittrex!E153,D153,Bittrex!E153)))</f>
        <v/>
      </c>
      <c r="K153" t="str">
        <f>IF('Bittrex Data'!B153="","",IF(Bittrex!I153=Bittrex!G153,Bittrex!F153,Bittrex!G153))</f>
        <v/>
      </c>
    </row>
    <row r="154" spans="3:11" x14ac:dyDescent="0.2">
      <c r="C154" t="str">
        <f>IF('Bittrex Data'!A154="","",IF(AND('Bittrex Data'!C154="LIMIT_SELL",Bittrex!D154="USD"),"Sale",IF(AND('Bittrex Data'!C154="LIMIT_BUY",Bittrex!D154="USD"),"Buy","Trade")))</f>
        <v/>
      </c>
      <c r="D154" t="str">
        <f>IF('Bittrex Data'!B154="","",LEFT(LEFT('Bittrex Data'!B154,SEARCH("-",'Bittrex Data'!B154,1)),LEN(LEFT('Bittrex Data'!B154,SEARCH("-",'Bittrex Data'!B154,1)))-1))</f>
        <v/>
      </c>
      <c r="E154" t="str">
        <f>IF('Bittrex Data'!B154="","",RIGHT(RIGHT('Bittrex Data'!B154,LEN('Bittrex Data'!B154)-SEARCH("-",'Bittrex Data'!B154,1)+1),LEN(RIGHT('Bittrex Data'!B154,LEN('Bittrex Data'!B154)-SEARCH("-",'Bittrex Data'!B154,1)+1))-1))</f>
        <v/>
      </c>
      <c r="F154" t="str">
        <f>IF('Bittrex Data'!C154="","",IF('Bittrex Data'!C154="Limit_Sell",'Bittrex Data'!G154-'Bittrex Data'!F154,IF('Bittrex Data'!C154="Limit_Buy",'Bittrex Data'!G154+'Bittrex Data'!F154,"")))</f>
        <v/>
      </c>
      <c r="G154" t="str">
        <f>IF('Bittrex Data'!B154="","",'Bittrex Data'!D154)</f>
        <v/>
      </c>
      <c r="H154" t="str">
        <f>IF('Bittrex Data'!C154="","",IF(Bittrex!C154="Buy",Bittrex!D154,IF(Bittrex!C154="Sale",Bittrex!E154,IF(AND(Bittrex!C154="Trade",'Bittrex Data'!C154="Limit_Sell"),Bittrex!E154,IF(AND(Bittrex!C154="Trade",'Bittrex Data'!C154="Limit_Buy"),Bittrex!D154,"")))))</f>
        <v/>
      </c>
      <c r="I154" t="str">
        <f>IF('Bittrex Data'!C154="","",IF(Bittrex!C154="Buy",F154,IF(C154="Sale",Bittrex!G154,IF(AND(C154="Trade",'Bittrex Data'!C154="Limit_Sell"),Bittrex!G154,IF(AND(Bittrex!C154="Trade",'Bittrex Data'!C154="Limit_Buy"),F154,"")))))</f>
        <v/>
      </c>
      <c r="J154" t="str">
        <f>IF('Bittrex Data'!B154="","",IF('Bittrex Data'!B154="","",IF(Bittrex!H154=Bittrex!E154,D154,Bittrex!E154)))</f>
        <v/>
      </c>
      <c r="K154" t="str">
        <f>IF('Bittrex Data'!B154="","",IF(Bittrex!I154=Bittrex!G154,Bittrex!F154,Bittrex!G154))</f>
        <v/>
      </c>
    </row>
    <row r="155" spans="3:11" x14ac:dyDescent="0.2">
      <c r="C155" t="str">
        <f>IF('Bittrex Data'!A155="","",IF(AND('Bittrex Data'!C155="LIMIT_SELL",Bittrex!D155="USD"),"Sale",IF(AND('Bittrex Data'!C155="LIMIT_BUY",Bittrex!D155="USD"),"Buy","Trade")))</f>
        <v/>
      </c>
      <c r="D155" t="str">
        <f>IF('Bittrex Data'!B155="","",LEFT(LEFT('Bittrex Data'!B155,SEARCH("-",'Bittrex Data'!B155,1)),LEN(LEFT('Bittrex Data'!B155,SEARCH("-",'Bittrex Data'!B155,1)))-1))</f>
        <v/>
      </c>
      <c r="E155" t="str">
        <f>IF('Bittrex Data'!B155="","",RIGHT(RIGHT('Bittrex Data'!B155,LEN('Bittrex Data'!B155)-SEARCH("-",'Bittrex Data'!B155,1)+1),LEN(RIGHT('Bittrex Data'!B155,LEN('Bittrex Data'!B155)-SEARCH("-",'Bittrex Data'!B155,1)+1))-1))</f>
        <v/>
      </c>
      <c r="F155" t="str">
        <f>IF('Bittrex Data'!C155="","",IF('Bittrex Data'!C155="Limit_Sell",'Bittrex Data'!G155-'Bittrex Data'!F155,IF('Bittrex Data'!C155="Limit_Buy",'Bittrex Data'!G155+'Bittrex Data'!F155,"")))</f>
        <v/>
      </c>
      <c r="G155" t="str">
        <f>IF('Bittrex Data'!B155="","",'Bittrex Data'!D155)</f>
        <v/>
      </c>
      <c r="H155" t="str">
        <f>IF('Bittrex Data'!C155="","",IF(Bittrex!C155="Buy",Bittrex!D155,IF(Bittrex!C155="Sale",Bittrex!E155,IF(AND(Bittrex!C155="Trade",'Bittrex Data'!C155="Limit_Sell"),Bittrex!E155,IF(AND(Bittrex!C155="Trade",'Bittrex Data'!C155="Limit_Buy"),Bittrex!D155,"")))))</f>
        <v/>
      </c>
      <c r="I155" t="str">
        <f>IF('Bittrex Data'!C155="","",IF(Bittrex!C155="Buy",F155,IF(C155="Sale",Bittrex!G155,IF(AND(C155="Trade",'Bittrex Data'!C155="Limit_Sell"),Bittrex!G155,IF(AND(Bittrex!C155="Trade",'Bittrex Data'!C155="Limit_Buy"),F155,"")))))</f>
        <v/>
      </c>
      <c r="J155" t="str">
        <f>IF('Bittrex Data'!B155="","",IF('Bittrex Data'!B155="","",IF(Bittrex!H155=Bittrex!E155,D155,Bittrex!E155)))</f>
        <v/>
      </c>
      <c r="K155" t="str">
        <f>IF('Bittrex Data'!B155="","",IF(Bittrex!I155=Bittrex!G155,Bittrex!F155,Bittrex!G155))</f>
        <v/>
      </c>
    </row>
    <row r="156" spans="3:11" x14ac:dyDescent="0.2">
      <c r="C156" t="str">
        <f>IF('Bittrex Data'!A156="","",IF(AND('Bittrex Data'!C156="LIMIT_SELL",Bittrex!D156="USD"),"Sale",IF(AND('Bittrex Data'!C156="LIMIT_BUY",Bittrex!D156="USD"),"Buy","Trade")))</f>
        <v/>
      </c>
      <c r="D156" t="str">
        <f>IF('Bittrex Data'!B156="","",LEFT(LEFT('Bittrex Data'!B156,SEARCH("-",'Bittrex Data'!B156,1)),LEN(LEFT('Bittrex Data'!B156,SEARCH("-",'Bittrex Data'!B156,1)))-1))</f>
        <v/>
      </c>
      <c r="E156" t="str">
        <f>IF('Bittrex Data'!B156="","",RIGHT(RIGHT('Bittrex Data'!B156,LEN('Bittrex Data'!B156)-SEARCH("-",'Bittrex Data'!B156,1)+1),LEN(RIGHT('Bittrex Data'!B156,LEN('Bittrex Data'!B156)-SEARCH("-",'Bittrex Data'!B156,1)+1))-1))</f>
        <v/>
      </c>
      <c r="F156" t="str">
        <f>IF('Bittrex Data'!C156="","",IF('Bittrex Data'!C156="Limit_Sell",'Bittrex Data'!G156-'Bittrex Data'!F156,IF('Bittrex Data'!C156="Limit_Buy",'Bittrex Data'!G156+'Bittrex Data'!F156,"")))</f>
        <v/>
      </c>
      <c r="G156" t="str">
        <f>IF('Bittrex Data'!B156="","",'Bittrex Data'!D156)</f>
        <v/>
      </c>
      <c r="H156" t="str">
        <f>IF('Bittrex Data'!C156="","",IF(Bittrex!C156="Buy",Bittrex!D156,IF(Bittrex!C156="Sale",Bittrex!E156,IF(AND(Bittrex!C156="Trade",'Bittrex Data'!C156="Limit_Sell"),Bittrex!E156,IF(AND(Bittrex!C156="Trade",'Bittrex Data'!C156="Limit_Buy"),Bittrex!D156,"")))))</f>
        <v/>
      </c>
      <c r="I156" t="str">
        <f>IF('Bittrex Data'!C156="","",IF(Bittrex!C156="Buy",F156,IF(C156="Sale",Bittrex!G156,IF(AND(C156="Trade",'Bittrex Data'!C156="Limit_Sell"),Bittrex!G156,IF(AND(Bittrex!C156="Trade",'Bittrex Data'!C156="Limit_Buy"),F156,"")))))</f>
        <v/>
      </c>
      <c r="J156" t="str">
        <f>IF('Bittrex Data'!B156="","",IF('Bittrex Data'!B156="","",IF(Bittrex!H156=Bittrex!E156,D156,Bittrex!E156)))</f>
        <v/>
      </c>
      <c r="K156" t="str">
        <f>IF('Bittrex Data'!B156="","",IF(Bittrex!I156=Bittrex!G156,Bittrex!F156,Bittrex!G156))</f>
        <v/>
      </c>
    </row>
    <row r="157" spans="3:11" x14ac:dyDescent="0.2">
      <c r="C157" t="str">
        <f>IF('Bittrex Data'!A157="","",IF(AND('Bittrex Data'!C157="LIMIT_SELL",Bittrex!D157="USD"),"Sale",IF(AND('Bittrex Data'!C157="LIMIT_BUY",Bittrex!D157="USD"),"Buy","Trade")))</f>
        <v/>
      </c>
      <c r="D157" t="str">
        <f>IF('Bittrex Data'!B157="","",LEFT(LEFT('Bittrex Data'!B157,SEARCH("-",'Bittrex Data'!B157,1)),LEN(LEFT('Bittrex Data'!B157,SEARCH("-",'Bittrex Data'!B157,1)))-1))</f>
        <v/>
      </c>
      <c r="E157" t="str">
        <f>IF('Bittrex Data'!B157="","",RIGHT(RIGHT('Bittrex Data'!B157,LEN('Bittrex Data'!B157)-SEARCH("-",'Bittrex Data'!B157,1)+1),LEN(RIGHT('Bittrex Data'!B157,LEN('Bittrex Data'!B157)-SEARCH("-",'Bittrex Data'!B157,1)+1))-1))</f>
        <v/>
      </c>
      <c r="F157" t="str">
        <f>IF('Bittrex Data'!C157="","",IF('Bittrex Data'!C157="Limit_Sell",'Bittrex Data'!G157-'Bittrex Data'!F157,IF('Bittrex Data'!C157="Limit_Buy",'Bittrex Data'!G157+'Bittrex Data'!F157,"")))</f>
        <v/>
      </c>
      <c r="G157" t="str">
        <f>IF('Bittrex Data'!B157="","",'Bittrex Data'!D157)</f>
        <v/>
      </c>
      <c r="H157" t="str">
        <f>IF('Bittrex Data'!C157="","",IF(Bittrex!C157="Buy",Bittrex!D157,IF(Bittrex!C157="Sale",Bittrex!E157,IF(AND(Bittrex!C157="Trade",'Bittrex Data'!C157="Limit_Sell"),Bittrex!E157,IF(AND(Bittrex!C157="Trade",'Bittrex Data'!C157="Limit_Buy"),Bittrex!D157,"")))))</f>
        <v/>
      </c>
      <c r="I157" t="str">
        <f>IF('Bittrex Data'!C157="","",IF(Bittrex!C157="Buy",F157,IF(C157="Sale",Bittrex!G157,IF(AND(C157="Trade",'Bittrex Data'!C157="Limit_Sell"),Bittrex!G157,IF(AND(Bittrex!C157="Trade",'Bittrex Data'!C157="Limit_Buy"),F157,"")))))</f>
        <v/>
      </c>
      <c r="J157" t="str">
        <f>IF('Bittrex Data'!B157="","",IF('Bittrex Data'!B157="","",IF(Bittrex!H157=Bittrex!E157,D157,Bittrex!E157)))</f>
        <v/>
      </c>
      <c r="K157" t="str">
        <f>IF('Bittrex Data'!B157="","",IF(Bittrex!I157=Bittrex!G157,Bittrex!F157,Bittrex!G157))</f>
        <v/>
      </c>
    </row>
    <row r="158" spans="3:11" x14ac:dyDescent="0.2">
      <c r="C158" t="str">
        <f>IF('Bittrex Data'!A158="","",IF(AND('Bittrex Data'!C158="LIMIT_SELL",Bittrex!D158="USD"),"Sale",IF(AND('Bittrex Data'!C158="LIMIT_BUY",Bittrex!D158="USD"),"Buy","Trade")))</f>
        <v/>
      </c>
      <c r="D158" t="str">
        <f>IF('Bittrex Data'!B158="","",LEFT(LEFT('Bittrex Data'!B158,SEARCH("-",'Bittrex Data'!B158,1)),LEN(LEFT('Bittrex Data'!B158,SEARCH("-",'Bittrex Data'!B158,1)))-1))</f>
        <v/>
      </c>
      <c r="E158" t="str">
        <f>IF('Bittrex Data'!B158="","",RIGHT(RIGHT('Bittrex Data'!B158,LEN('Bittrex Data'!B158)-SEARCH("-",'Bittrex Data'!B158,1)+1),LEN(RIGHT('Bittrex Data'!B158,LEN('Bittrex Data'!B158)-SEARCH("-",'Bittrex Data'!B158,1)+1))-1))</f>
        <v/>
      </c>
      <c r="F158" t="str">
        <f>IF('Bittrex Data'!C158="","",IF('Bittrex Data'!C158="Limit_Sell",'Bittrex Data'!G158-'Bittrex Data'!F158,IF('Bittrex Data'!C158="Limit_Buy",'Bittrex Data'!G158+'Bittrex Data'!F158,"")))</f>
        <v/>
      </c>
      <c r="G158" t="str">
        <f>IF('Bittrex Data'!B158="","",'Bittrex Data'!D158)</f>
        <v/>
      </c>
      <c r="H158" t="str">
        <f>IF('Bittrex Data'!C158="","",IF(Bittrex!C158="Buy",Bittrex!D158,IF(Bittrex!C158="Sale",Bittrex!E158,IF(AND(Bittrex!C158="Trade",'Bittrex Data'!C158="Limit_Sell"),Bittrex!E158,IF(AND(Bittrex!C158="Trade",'Bittrex Data'!C158="Limit_Buy"),Bittrex!D158,"")))))</f>
        <v/>
      </c>
      <c r="I158" t="str">
        <f>IF('Bittrex Data'!C158="","",IF(Bittrex!C158="Buy",F158,IF(C158="Sale",Bittrex!G158,IF(AND(C158="Trade",'Bittrex Data'!C158="Limit_Sell"),Bittrex!G158,IF(AND(Bittrex!C158="Trade",'Bittrex Data'!C158="Limit_Buy"),F158,"")))))</f>
        <v/>
      </c>
      <c r="J158" t="str">
        <f>IF('Bittrex Data'!B158="","",IF('Bittrex Data'!B158="","",IF(Bittrex!H158=Bittrex!E158,D158,Bittrex!E158)))</f>
        <v/>
      </c>
      <c r="K158" t="str">
        <f>IF('Bittrex Data'!B158="","",IF(Bittrex!I158=Bittrex!G158,Bittrex!F158,Bittrex!G158))</f>
        <v/>
      </c>
    </row>
    <row r="159" spans="3:11" x14ac:dyDescent="0.2">
      <c r="C159" t="str">
        <f>IF('Bittrex Data'!A159="","",IF(AND('Bittrex Data'!C159="LIMIT_SELL",Bittrex!D159="USD"),"Sale",IF(AND('Bittrex Data'!C159="LIMIT_BUY",Bittrex!D159="USD"),"Buy","Trade")))</f>
        <v/>
      </c>
      <c r="D159" t="str">
        <f>IF('Bittrex Data'!B159="","",LEFT(LEFT('Bittrex Data'!B159,SEARCH("-",'Bittrex Data'!B159,1)),LEN(LEFT('Bittrex Data'!B159,SEARCH("-",'Bittrex Data'!B159,1)))-1))</f>
        <v/>
      </c>
      <c r="E159" t="str">
        <f>IF('Bittrex Data'!B159="","",RIGHT(RIGHT('Bittrex Data'!B159,LEN('Bittrex Data'!B159)-SEARCH("-",'Bittrex Data'!B159,1)+1),LEN(RIGHT('Bittrex Data'!B159,LEN('Bittrex Data'!B159)-SEARCH("-",'Bittrex Data'!B159,1)+1))-1))</f>
        <v/>
      </c>
      <c r="F159" t="str">
        <f>IF('Bittrex Data'!C159="","",IF('Bittrex Data'!C159="Limit_Sell",'Bittrex Data'!G159-'Bittrex Data'!F159,IF('Bittrex Data'!C159="Limit_Buy",'Bittrex Data'!G159+'Bittrex Data'!F159,"")))</f>
        <v/>
      </c>
      <c r="G159" t="str">
        <f>IF('Bittrex Data'!B159="","",'Bittrex Data'!D159)</f>
        <v/>
      </c>
      <c r="H159" t="str">
        <f>IF('Bittrex Data'!C159="","",IF(Bittrex!C159="Buy",Bittrex!D159,IF(Bittrex!C159="Sale",Bittrex!E159,IF(AND(Bittrex!C159="Trade",'Bittrex Data'!C159="Limit_Sell"),Bittrex!E159,IF(AND(Bittrex!C159="Trade",'Bittrex Data'!C159="Limit_Buy"),Bittrex!D159,"")))))</f>
        <v/>
      </c>
      <c r="I159" t="str">
        <f>IF('Bittrex Data'!C159="","",IF(Bittrex!C159="Buy",F159,IF(C159="Sale",Bittrex!G159,IF(AND(C159="Trade",'Bittrex Data'!C159="Limit_Sell"),Bittrex!G159,IF(AND(Bittrex!C159="Trade",'Bittrex Data'!C159="Limit_Buy"),F159,"")))))</f>
        <v/>
      </c>
      <c r="J159" t="str">
        <f>IF('Bittrex Data'!B159="","",IF('Bittrex Data'!B159="","",IF(Bittrex!H159=Bittrex!E159,D159,Bittrex!E159)))</f>
        <v/>
      </c>
      <c r="K159" t="str">
        <f>IF('Bittrex Data'!B159="","",IF(Bittrex!I159=Bittrex!G159,Bittrex!F159,Bittrex!G159))</f>
        <v/>
      </c>
    </row>
    <row r="160" spans="3:11" x14ac:dyDescent="0.2">
      <c r="C160" t="str">
        <f>IF('Bittrex Data'!A160="","",IF(AND('Bittrex Data'!C160="LIMIT_SELL",Bittrex!D160="USD"),"Sale",IF(AND('Bittrex Data'!C160="LIMIT_BUY",Bittrex!D160="USD"),"Buy","Trade")))</f>
        <v/>
      </c>
      <c r="D160" t="str">
        <f>IF('Bittrex Data'!B160="","",LEFT(LEFT('Bittrex Data'!B160,SEARCH("-",'Bittrex Data'!B160,1)),LEN(LEFT('Bittrex Data'!B160,SEARCH("-",'Bittrex Data'!B160,1)))-1))</f>
        <v/>
      </c>
      <c r="E160" t="str">
        <f>IF('Bittrex Data'!B160="","",RIGHT(RIGHT('Bittrex Data'!B160,LEN('Bittrex Data'!B160)-SEARCH("-",'Bittrex Data'!B160,1)+1),LEN(RIGHT('Bittrex Data'!B160,LEN('Bittrex Data'!B160)-SEARCH("-",'Bittrex Data'!B160,1)+1))-1))</f>
        <v/>
      </c>
      <c r="F160" t="str">
        <f>IF('Bittrex Data'!C160="","",IF('Bittrex Data'!C160="Limit_Sell",'Bittrex Data'!G160-'Bittrex Data'!F160,IF('Bittrex Data'!C160="Limit_Buy",'Bittrex Data'!G160+'Bittrex Data'!F160,"")))</f>
        <v/>
      </c>
      <c r="G160" t="str">
        <f>IF('Bittrex Data'!B160="","",'Bittrex Data'!D160)</f>
        <v/>
      </c>
      <c r="H160" t="str">
        <f>IF('Bittrex Data'!C160="","",IF(Bittrex!C160="Buy",Bittrex!D160,IF(Bittrex!C160="Sale",Bittrex!E160,IF(AND(Bittrex!C160="Trade",'Bittrex Data'!C160="Limit_Sell"),Bittrex!E160,IF(AND(Bittrex!C160="Trade",'Bittrex Data'!C160="Limit_Buy"),Bittrex!D160,"")))))</f>
        <v/>
      </c>
      <c r="I160" t="str">
        <f>IF('Bittrex Data'!C160="","",IF(Bittrex!C160="Buy",F160,IF(C160="Sale",Bittrex!G160,IF(AND(C160="Trade",'Bittrex Data'!C160="Limit_Sell"),Bittrex!G160,IF(AND(Bittrex!C160="Trade",'Bittrex Data'!C160="Limit_Buy"),F160,"")))))</f>
        <v/>
      </c>
      <c r="J160" t="str">
        <f>IF('Bittrex Data'!B160="","",IF('Bittrex Data'!B160="","",IF(Bittrex!H160=Bittrex!E160,D160,Bittrex!E160)))</f>
        <v/>
      </c>
      <c r="K160" t="str">
        <f>IF('Bittrex Data'!B160="","",IF(Bittrex!I160=Bittrex!G160,Bittrex!F160,Bittrex!G160))</f>
        <v/>
      </c>
    </row>
    <row r="161" spans="3:11" x14ac:dyDescent="0.2">
      <c r="C161" t="str">
        <f>IF('Bittrex Data'!A161="","",IF(AND('Bittrex Data'!C161="LIMIT_SELL",Bittrex!D161="USD"),"Sale",IF(AND('Bittrex Data'!C161="LIMIT_BUY",Bittrex!D161="USD"),"Buy","Trade")))</f>
        <v/>
      </c>
      <c r="D161" t="str">
        <f>IF('Bittrex Data'!B161="","",LEFT(LEFT('Bittrex Data'!B161,SEARCH("-",'Bittrex Data'!B161,1)),LEN(LEFT('Bittrex Data'!B161,SEARCH("-",'Bittrex Data'!B161,1)))-1))</f>
        <v/>
      </c>
      <c r="E161" t="str">
        <f>IF('Bittrex Data'!B161="","",RIGHT(RIGHT('Bittrex Data'!B161,LEN('Bittrex Data'!B161)-SEARCH("-",'Bittrex Data'!B161,1)+1),LEN(RIGHT('Bittrex Data'!B161,LEN('Bittrex Data'!B161)-SEARCH("-",'Bittrex Data'!B161,1)+1))-1))</f>
        <v/>
      </c>
      <c r="F161" t="str">
        <f>IF('Bittrex Data'!C161="","",IF('Bittrex Data'!C161="Limit_Sell",'Bittrex Data'!G161-'Bittrex Data'!F161,IF('Bittrex Data'!C161="Limit_Buy",'Bittrex Data'!G161+'Bittrex Data'!F161,"")))</f>
        <v/>
      </c>
      <c r="G161" t="str">
        <f>IF('Bittrex Data'!B161="","",'Bittrex Data'!D161)</f>
        <v/>
      </c>
      <c r="H161" t="str">
        <f>IF('Bittrex Data'!C161="","",IF(Bittrex!C161="Buy",Bittrex!D161,IF(Bittrex!C161="Sale",Bittrex!E161,IF(AND(Bittrex!C161="Trade",'Bittrex Data'!C161="Limit_Sell"),Bittrex!E161,IF(AND(Bittrex!C161="Trade",'Bittrex Data'!C161="Limit_Buy"),Bittrex!D161,"")))))</f>
        <v/>
      </c>
      <c r="I161" t="str">
        <f>IF('Bittrex Data'!C161="","",IF(Bittrex!C161="Buy",F161,IF(C161="Sale",Bittrex!G161,IF(AND(C161="Trade",'Bittrex Data'!C161="Limit_Sell"),Bittrex!G161,IF(AND(Bittrex!C161="Trade",'Bittrex Data'!C161="Limit_Buy"),F161,"")))))</f>
        <v/>
      </c>
      <c r="J161" t="str">
        <f>IF('Bittrex Data'!B161="","",IF('Bittrex Data'!B161="","",IF(Bittrex!H161=Bittrex!E161,D161,Bittrex!E161)))</f>
        <v/>
      </c>
      <c r="K161" t="str">
        <f>IF('Bittrex Data'!B161="","",IF(Bittrex!I161=Bittrex!G161,Bittrex!F161,Bittrex!G161))</f>
        <v/>
      </c>
    </row>
    <row r="162" spans="3:11" x14ac:dyDescent="0.2">
      <c r="C162" t="str">
        <f>IF('Bittrex Data'!A162="","",IF(AND('Bittrex Data'!C162="LIMIT_SELL",Bittrex!D162="USD"),"Sale",IF(AND('Bittrex Data'!C162="LIMIT_BUY",Bittrex!D162="USD"),"Buy","Trade")))</f>
        <v/>
      </c>
      <c r="D162" t="str">
        <f>IF('Bittrex Data'!B162="","",LEFT(LEFT('Bittrex Data'!B162,SEARCH("-",'Bittrex Data'!B162,1)),LEN(LEFT('Bittrex Data'!B162,SEARCH("-",'Bittrex Data'!B162,1)))-1))</f>
        <v/>
      </c>
      <c r="E162" t="str">
        <f>IF('Bittrex Data'!B162="","",RIGHT(RIGHT('Bittrex Data'!B162,LEN('Bittrex Data'!B162)-SEARCH("-",'Bittrex Data'!B162,1)+1),LEN(RIGHT('Bittrex Data'!B162,LEN('Bittrex Data'!B162)-SEARCH("-",'Bittrex Data'!B162,1)+1))-1))</f>
        <v/>
      </c>
      <c r="F162" t="str">
        <f>IF('Bittrex Data'!C162="","",IF('Bittrex Data'!C162="Limit_Sell",'Bittrex Data'!G162-'Bittrex Data'!F162,IF('Bittrex Data'!C162="Limit_Buy",'Bittrex Data'!G162+'Bittrex Data'!F162,"")))</f>
        <v/>
      </c>
      <c r="G162" t="str">
        <f>IF('Bittrex Data'!B162="","",'Bittrex Data'!D162)</f>
        <v/>
      </c>
      <c r="H162" t="str">
        <f>IF('Bittrex Data'!C162="","",IF(Bittrex!C162="Buy",Bittrex!D162,IF(Bittrex!C162="Sale",Bittrex!E162,IF(AND(Bittrex!C162="Trade",'Bittrex Data'!C162="Limit_Sell"),Bittrex!E162,IF(AND(Bittrex!C162="Trade",'Bittrex Data'!C162="Limit_Buy"),Bittrex!D162,"")))))</f>
        <v/>
      </c>
      <c r="I162" t="str">
        <f>IF('Bittrex Data'!C162="","",IF(Bittrex!C162="Buy",F162,IF(C162="Sale",Bittrex!G162,IF(AND(C162="Trade",'Bittrex Data'!C162="Limit_Sell"),Bittrex!G162,IF(AND(Bittrex!C162="Trade",'Bittrex Data'!C162="Limit_Buy"),F162,"")))))</f>
        <v/>
      </c>
      <c r="J162" t="str">
        <f>IF('Bittrex Data'!B162="","",IF('Bittrex Data'!B162="","",IF(Bittrex!H162=Bittrex!E162,D162,Bittrex!E162)))</f>
        <v/>
      </c>
      <c r="K162" t="str">
        <f>IF('Bittrex Data'!B162="","",IF(Bittrex!I162=Bittrex!G162,Bittrex!F162,Bittrex!G162))</f>
        <v/>
      </c>
    </row>
    <row r="163" spans="3:11" x14ac:dyDescent="0.2">
      <c r="C163" t="str">
        <f>IF('Bittrex Data'!A163="","",IF(AND('Bittrex Data'!C163="LIMIT_SELL",Bittrex!D163="USD"),"Sale",IF(AND('Bittrex Data'!C163="LIMIT_BUY",Bittrex!D163="USD"),"Buy","Trade")))</f>
        <v/>
      </c>
      <c r="D163" t="str">
        <f>IF('Bittrex Data'!B163="","",LEFT(LEFT('Bittrex Data'!B163,SEARCH("-",'Bittrex Data'!B163,1)),LEN(LEFT('Bittrex Data'!B163,SEARCH("-",'Bittrex Data'!B163,1)))-1))</f>
        <v/>
      </c>
      <c r="E163" t="str">
        <f>IF('Bittrex Data'!B163="","",RIGHT(RIGHT('Bittrex Data'!B163,LEN('Bittrex Data'!B163)-SEARCH("-",'Bittrex Data'!B163,1)+1),LEN(RIGHT('Bittrex Data'!B163,LEN('Bittrex Data'!B163)-SEARCH("-",'Bittrex Data'!B163,1)+1))-1))</f>
        <v/>
      </c>
      <c r="F163" t="str">
        <f>IF('Bittrex Data'!C163="","",IF('Bittrex Data'!C163="Limit_Sell",'Bittrex Data'!G163-'Bittrex Data'!F163,IF('Bittrex Data'!C163="Limit_Buy",'Bittrex Data'!G163+'Bittrex Data'!F163,"")))</f>
        <v/>
      </c>
      <c r="G163" t="str">
        <f>IF('Bittrex Data'!B163="","",'Bittrex Data'!D163)</f>
        <v/>
      </c>
      <c r="H163" t="str">
        <f>IF('Bittrex Data'!C163="","",IF(Bittrex!C163="Buy",Bittrex!D163,IF(Bittrex!C163="Sale",Bittrex!E163,IF(AND(Bittrex!C163="Trade",'Bittrex Data'!C163="Limit_Sell"),Bittrex!E163,IF(AND(Bittrex!C163="Trade",'Bittrex Data'!C163="Limit_Buy"),Bittrex!D163,"")))))</f>
        <v/>
      </c>
      <c r="I163" t="str">
        <f>IF('Bittrex Data'!C163="","",IF(Bittrex!C163="Buy",F163,IF(C163="Sale",Bittrex!G163,IF(AND(C163="Trade",'Bittrex Data'!C163="Limit_Sell"),Bittrex!G163,IF(AND(Bittrex!C163="Trade",'Bittrex Data'!C163="Limit_Buy"),F163,"")))))</f>
        <v/>
      </c>
      <c r="J163" t="str">
        <f>IF('Bittrex Data'!B163="","",IF('Bittrex Data'!B163="","",IF(Bittrex!H163=Bittrex!E163,D163,Bittrex!E163)))</f>
        <v/>
      </c>
      <c r="K163" t="str">
        <f>IF('Bittrex Data'!B163="","",IF(Bittrex!I163=Bittrex!G163,Bittrex!F163,Bittrex!G163))</f>
        <v/>
      </c>
    </row>
    <row r="164" spans="3:11" x14ac:dyDescent="0.2">
      <c r="C164" t="str">
        <f>IF('Bittrex Data'!A164="","",IF(AND('Bittrex Data'!C164="LIMIT_SELL",Bittrex!D164="USD"),"Sale",IF(AND('Bittrex Data'!C164="LIMIT_BUY",Bittrex!D164="USD"),"Buy","Trade")))</f>
        <v/>
      </c>
      <c r="D164" t="str">
        <f>IF('Bittrex Data'!B164="","",LEFT(LEFT('Bittrex Data'!B164,SEARCH("-",'Bittrex Data'!B164,1)),LEN(LEFT('Bittrex Data'!B164,SEARCH("-",'Bittrex Data'!B164,1)))-1))</f>
        <v/>
      </c>
      <c r="E164" t="str">
        <f>IF('Bittrex Data'!B164="","",RIGHT(RIGHT('Bittrex Data'!B164,LEN('Bittrex Data'!B164)-SEARCH("-",'Bittrex Data'!B164,1)+1),LEN(RIGHT('Bittrex Data'!B164,LEN('Bittrex Data'!B164)-SEARCH("-",'Bittrex Data'!B164,1)+1))-1))</f>
        <v/>
      </c>
      <c r="F164" t="str">
        <f>IF('Bittrex Data'!C164="","",IF('Bittrex Data'!C164="Limit_Sell",'Bittrex Data'!G164-'Bittrex Data'!F164,IF('Bittrex Data'!C164="Limit_Buy",'Bittrex Data'!G164+'Bittrex Data'!F164,"")))</f>
        <v/>
      </c>
      <c r="G164" t="str">
        <f>IF('Bittrex Data'!B164="","",'Bittrex Data'!D164)</f>
        <v/>
      </c>
      <c r="H164" t="str">
        <f>IF('Bittrex Data'!C164="","",IF(Bittrex!C164="Buy",Bittrex!D164,IF(Bittrex!C164="Sale",Bittrex!E164,IF(AND(Bittrex!C164="Trade",'Bittrex Data'!C164="Limit_Sell"),Bittrex!E164,IF(AND(Bittrex!C164="Trade",'Bittrex Data'!C164="Limit_Buy"),Bittrex!D164,"")))))</f>
        <v/>
      </c>
      <c r="I164" t="str">
        <f>IF('Bittrex Data'!C164="","",IF(Bittrex!C164="Buy",F164,IF(C164="Sale",Bittrex!G164,IF(AND(C164="Trade",'Bittrex Data'!C164="Limit_Sell"),Bittrex!G164,IF(AND(Bittrex!C164="Trade",'Bittrex Data'!C164="Limit_Buy"),F164,"")))))</f>
        <v/>
      </c>
      <c r="J164" t="str">
        <f>IF('Bittrex Data'!B164="","",IF('Bittrex Data'!B164="","",IF(Bittrex!H164=Bittrex!E164,D164,Bittrex!E164)))</f>
        <v/>
      </c>
      <c r="K164" t="str">
        <f>IF('Bittrex Data'!B164="","",IF(Bittrex!I164=Bittrex!G164,Bittrex!F164,Bittrex!G164))</f>
        <v/>
      </c>
    </row>
    <row r="165" spans="3:11" x14ac:dyDescent="0.2">
      <c r="C165" t="str">
        <f>IF('Bittrex Data'!A165="","",IF(AND('Bittrex Data'!C165="LIMIT_SELL",Bittrex!D165="USD"),"Sale",IF(AND('Bittrex Data'!C165="LIMIT_BUY",Bittrex!D165="USD"),"Buy","Trade")))</f>
        <v/>
      </c>
      <c r="D165" t="str">
        <f>IF('Bittrex Data'!B165="","",LEFT(LEFT('Bittrex Data'!B165,SEARCH("-",'Bittrex Data'!B165,1)),LEN(LEFT('Bittrex Data'!B165,SEARCH("-",'Bittrex Data'!B165,1)))-1))</f>
        <v/>
      </c>
      <c r="E165" t="str">
        <f>IF('Bittrex Data'!B165="","",RIGHT(RIGHT('Bittrex Data'!B165,LEN('Bittrex Data'!B165)-SEARCH("-",'Bittrex Data'!B165,1)+1),LEN(RIGHT('Bittrex Data'!B165,LEN('Bittrex Data'!B165)-SEARCH("-",'Bittrex Data'!B165,1)+1))-1))</f>
        <v/>
      </c>
      <c r="F165" t="str">
        <f>IF('Bittrex Data'!C165="","",IF('Bittrex Data'!C165="Limit_Sell",'Bittrex Data'!G165-'Bittrex Data'!F165,IF('Bittrex Data'!C165="Limit_Buy",'Bittrex Data'!G165+'Bittrex Data'!F165,"")))</f>
        <v/>
      </c>
      <c r="G165" t="str">
        <f>IF('Bittrex Data'!B165="","",'Bittrex Data'!D165)</f>
        <v/>
      </c>
      <c r="H165" t="str">
        <f>IF('Bittrex Data'!C165="","",IF(Bittrex!C165="Buy",Bittrex!D165,IF(Bittrex!C165="Sale",Bittrex!E165,IF(AND(Bittrex!C165="Trade",'Bittrex Data'!C165="Limit_Sell"),Bittrex!E165,IF(AND(Bittrex!C165="Trade",'Bittrex Data'!C165="Limit_Buy"),Bittrex!D165,"")))))</f>
        <v/>
      </c>
      <c r="I165" t="str">
        <f>IF('Bittrex Data'!C165="","",IF(Bittrex!C165="Buy",F165,IF(C165="Sale",Bittrex!G165,IF(AND(C165="Trade",'Bittrex Data'!C165="Limit_Sell"),Bittrex!G165,IF(AND(Bittrex!C165="Trade",'Bittrex Data'!C165="Limit_Buy"),F165,"")))))</f>
        <v/>
      </c>
      <c r="J165" t="str">
        <f>IF('Bittrex Data'!B165="","",IF('Bittrex Data'!B165="","",IF(Bittrex!H165=Bittrex!E165,D165,Bittrex!E165)))</f>
        <v/>
      </c>
      <c r="K165" t="str">
        <f>IF('Bittrex Data'!B165="","",IF(Bittrex!I165=Bittrex!G165,Bittrex!F165,Bittrex!G165))</f>
        <v/>
      </c>
    </row>
    <row r="166" spans="3:11" x14ac:dyDescent="0.2">
      <c r="C166" t="str">
        <f>IF('Bittrex Data'!A166="","",IF(AND('Bittrex Data'!C166="LIMIT_SELL",Bittrex!D166="USD"),"Sale",IF(AND('Bittrex Data'!C166="LIMIT_BUY",Bittrex!D166="USD"),"Buy","Trade")))</f>
        <v/>
      </c>
      <c r="D166" t="str">
        <f>IF('Bittrex Data'!B166="","",LEFT(LEFT('Bittrex Data'!B166,SEARCH("-",'Bittrex Data'!B166,1)),LEN(LEFT('Bittrex Data'!B166,SEARCH("-",'Bittrex Data'!B166,1)))-1))</f>
        <v/>
      </c>
      <c r="E166" t="str">
        <f>IF('Bittrex Data'!B166="","",RIGHT(RIGHT('Bittrex Data'!B166,LEN('Bittrex Data'!B166)-SEARCH("-",'Bittrex Data'!B166,1)+1),LEN(RIGHT('Bittrex Data'!B166,LEN('Bittrex Data'!B166)-SEARCH("-",'Bittrex Data'!B166,1)+1))-1))</f>
        <v/>
      </c>
      <c r="F166" t="str">
        <f>IF('Bittrex Data'!C166="","",IF('Bittrex Data'!C166="Limit_Sell",'Bittrex Data'!G166-'Bittrex Data'!F166,IF('Bittrex Data'!C166="Limit_Buy",'Bittrex Data'!G166+'Bittrex Data'!F166,"")))</f>
        <v/>
      </c>
      <c r="G166" t="str">
        <f>IF('Bittrex Data'!B166="","",'Bittrex Data'!D166)</f>
        <v/>
      </c>
      <c r="H166" t="str">
        <f>IF('Bittrex Data'!C166="","",IF(Bittrex!C166="Buy",Bittrex!D166,IF(Bittrex!C166="Sale",Bittrex!E166,IF(AND(Bittrex!C166="Trade",'Bittrex Data'!C166="Limit_Sell"),Bittrex!E166,IF(AND(Bittrex!C166="Trade",'Bittrex Data'!C166="Limit_Buy"),Bittrex!D166,"")))))</f>
        <v/>
      </c>
      <c r="I166" t="str">
        <f>IF('Bittrex Data'!C166="","",IF(Bittrex!C166="Buy",F166,IF(C166="Sale",Bittrex!G166,IF(AND(C166="Trade",'Bittrex Data'!C166="Limit_Sell"),Bittrex!G166,IF(AND(Bittrex!C166="Trade",'Bittrex Data'!C166="Limit_Buy"),F166,"")))))</f>
        <v/>
      </c>
      <c r="J166" t="str">
        <f>IF('Bittrex Data'!B166="","",IF('Bittrex Data'!B166="","",IF(Bittrex!H166=Bittrex!E166,D166,Bittrex!E166)))</f>
        <v/>
      </c>
      <c r="K166" t="str">
        <f>IF('Bittrex Data'!B166="","",IF(Bittrex!I166=Bittrex!G166,Bittrex!F166,Bittrex!G166))</f>
        <v/>
      </c>
    </row>
    <row r="167" spans="3:11" x14ac:dyDescent="0.2">
      <c r="C167" t="str">
        <f>IF('Bittrex Data'!A167="","",IF(AND('Bittrex Data'!C167="LIMIT_SELL",Bittrex!D167="USD"),"Sale",IF(AND('Bittrex Data'!C167="LIMIT_BUY",Bittrex!D167="USD"),"Buy","Trade")))</f>
        <v/>
      </c>
      <c r="D167" t="str">
        <f>IF('Bittrex Data'!B167="","",LEFT(LEFT('Bittrex Data'!B167,SEARCH("-",'Bittrex Data'!B167,1)),LEN(LEFT('Bittrex Data'!B167,SEARCH("-",'Bittrex Data'!B167,1)))-1))</f>
        <v/>
      </c>
      <c r="E167" t="str">
        <f>IF('Bittrex Data'!B167="","",RIGHT(RIGHT('Bittrex Data'!B167,LEN('Bittrex Data'!B167)-SEARCH("-",'Bittrex Data'!B167,1)+1),LEN(RIGHT('Bittrex Data'!B167,LEN('Bittrex Data'!B167)-SEARCH("-",'Bittrex Data'!B167,1)+1))-1))</f>
        <v/>
      </c>
      <c r="F167" t="str">
        <f>IF('Bittrex Data'!C167="","",IF('Bittrex Data'!C167="Limit_Sell",'Bittrex Data'!G167-'Bittrex Data'!F167,IF('Bittrex Data'!C167="Limit_Buy",'Bittrex Data'!G167+'Bittrex Data'!F167,"")))</f>
        <v/>
      </c>
      <c r="G167" t="str">
        <f>IF('Bittrex Data'!B167="","",'Bittrex Data'!D167)</f>
        <v/>
      </c>
      <c r="H167" t="str">
        <f>IF('Bittrex Data'!C167="","",IF(Bittrex!C167="Buy",Bittrex!D167,IF(Bittrex!C167="Sale",Bittrex!E167,IF(AND(Bittrex!C167="Trade",'Bittrex Data'!C167="Limit_Sell"),Bittrex!E167,IF(AND(Bittrex!C167="Trade",'Bittrex Data'!C167="Limit_Buy"),Bittrex!D167,"")))))</f>
        <v/>
      </c>
      <c r="I167" t="str">
        <f>IF('Bittrex Data'!C167="","",IF(Bittrex!C167="Buy",F167,IF(C167="Sale",Bittrex!G167,IF(AND(C167="Trade",'Bittrex Data'!C167="Limit_Sell"),Bittrex!G167,IF(AND(Bittrex!C167="Trade",'Bittrex Data'!C167="Limit_Buy"),F167,"")))))</f>
        <v/>
      </c>
      <c r="J167" t="str">
        <f>IF('Bittrex Data'!B167="","",IF('Bittrex Data'!B167="","",IF(Bittrex!H167=Bittrex!E167,D167,Bittrex!E167)))</f>
        <v/>
      </c>
      <c r="K167" t="str">
        <f>IF('Bittrex Data'!B167="","",IF(Bittrex!I167=Bittrex!G167,Bittrex!F167,Bittrex!G167))</f>
        <v/>
      </c>
    </row>
    <row r="168" spans="3:11" x14ac:dyDescent="0.2">
      <c r="C168" t="str">
        <f>IF('Bittrex Data'!A168="","",IF(AND('Bittrex Data'!C168="LIMIT_SELL",Bittrex!D168="USD"),"Sale",IF(AND('Bittrex Data'!C168="LIMIT_BUY",Bittrex!D168="USD"),"Buy","Trade")))</f>
        <v/>
      </c>
      <c r="D168" t="str">
        <f>IF('Bittrex Data'!B168="","",LEFT(LEFT('Bittrex Data'!B168,SEARCH("-",'Bittrex Data'!B168,1)),LEN(LEFT('Bittrex Data'!B168,SEARCH("-",'Bittrex Data'!B168,1)))-1))</f>
        <v/>
      </c>
      <c r="E168" t="str">
        <f>IF('Bittrex Data'!B168="","",RIGHT(RIGHT('Bittrex Data'!B168,LEN('Bittrex Data'!B168)-SEARCH("-",'Bittrex Data'!B168,1)+1),LEN(RIGHT('Bittrex Data'!B168,LEN('Bittrex Data'!B168)-SEARCH("-",'Bittrex Data'!B168,1)+1))-1))</f>
        <v/>
      </c>
      <c r="F168" t="str">
        <f>IF('Bittrex Data'!C168="","",IF('Bittrex Data'!C168="Limit_Sell",'Bittrex Data'!G168-'Bittrex Data'!F168,IF('Bittrex Data'!C168="Limit_Buy",'Bittrex Data'!G168+'Bittrex Data'!F168,"")))</f>
        <v/>
      </c>
      <c r="G168" t="str">
        <f>IF('Bittrex Data'!B168="","",'Bittrex Data'!D168)</f>
        <v/>
      </c>
      <c r="H168" t="str">
        <f>IF('Bittrex Data'!C168="","",IF(Bittrex!C168="Buy",Bittrex!D168,IF(Bittrex!C168="Sale",Bittrex!E168,IF(AND(Bittrex!C168="Trade",'Bittrex Data'!C168="Limit_Sell"),Bittrex!E168,IF(AND(Bittrex!C168="Trade",'Bittrex Data'!C168="Limit_Buy"),Bittrex!D168,"")))))</f>
        <v/>
      </c>
      <c r="I168" t="str">
        <f>IF('Bittrex Data'!C168="","",IF(Bittrex!C168="Buy",F168,IF(C168="Sale",Bittrex!G168,IF(AND(C168="Trade",'Bittrex Data'!C168="Limit_Sell"),Bittrex!G168,IF(AND(Bittrex!C168="Trade",'Bittrex Data'!C168="Limit_Buy"),F168,"")))))</f>
        <v/>
      </c>
      <c r="J168" t="str">
        <f>IF('Bittrex Data'!B168="","",IF('Bittrex Data'!B168="","",IF(Bittrex!H168=Bittrex!E168,D168,Bittrex!E168)))</f>
        <v/>
      </c>
      <c r="K168" t="str">
        <f>IF('Bittrex Data'!B168="","",IF(Bittrex!I168=Bittrex!G168,Bittrex!F168,Bittrex!G168))</f>
        <v/>
      </c>
    </row>
    <row r="169" spans="3:11" x14ac:dyDescent="0.2">
      <c r="C169" t="str">
        <f>IF('Bittrex Data'!A169="","",IF(AND('Bittrex Data'!C169="LIMIT_SELL",Bittrex!D169="USD"),"Sale",IF(AND('Bittrex Data'!C169="LIMIT_BUY",Bittrex!D169="USD"),"Buy","Trade")))</f>
        <v/>
      </c>
      <c r="D169" t="str">
        <f>IF('Bittrex Data'!B169="","",LEFT(LEFT('Bittrex Data'!B169,SEARCH("-",'Bittrex Data'!B169,1)),LEN(LEFT('Bittrex Data'!B169,SEARCH("-",'Bittrex Data'!B169,1)))-1))</f>
        <v/>
      </c>
      <c r="E169" t="str">
        <f>IF('Bittrex Data'!B169="","",RIGHT(RIGHT('Bittrex Data'!B169,LEN('Bittrex Data'!B169)-SEARCH("-",'Bittrex Data'!B169,1)+1),LEN(RIGHT('Bittrex Data'!B169,LEN('Bittrex Data'!B169)-SEARCH("-",'Bittrex Data'!B169,1)+1))-1))</f>
        <v/>
      </c>
      <c r="F169" t="str">
        <f>IF('Bittrex Data'!C169="","",IF('Bittrex Data'!C169="Limit_Sell",'Bittrex Data'!G169-'Bittrex Data'!F169,IF('Bittrex Data'!C169="Limit_Buy",'Bittrex Data'!G169+'Bittrex Data'!F169,"")))</f>
        <v/>
      </c>
      <c r="G169" t="str">
        <f>IF('Bittrex Data'!B169="","",'Bittrex Data'!D169)</f>
        <v/>
      </c>
      <c r="H169" t="str">
        <f>IF('Bittrex Data'!C169="","",IF(Bittrex!C169="Buy",Bittrex!D169,IF(Bittrex!C169="Sale",Bittrex!E169,IF(AND(Bittrex!C169="Trade",'Bittrex Data'!C169="Limit_Sell"),Bittrex!E169,IF(AND(Bittrex!C169="Trade",'Bittrex Data'!C169="Limit_Buy"),Bittrex!D169,"")))))</f>
        <v/>
      </c>
      <c r="I169" t="str">
        <f>IF('Bittrex Data'!C169="","",IF(Bittrex!C169="Buy",F169,IF(C169="Sale",Bittrex!G169,IF(AND(C169="Trade",'Bittrex Data'!C169="Limit_Sell"),Bittrex!G169,IF(AND(Bittrex!C169="Trade",'Bittrex Data'!C169="Limit_Buy"),F169,"")))))</f>
        <v/>
      </c>
      <c r="J169" t="str">
        <f>IF('Bittrex Data'!B169="","",IF('Bittrex Data'!B169="","",IF(Bittrex!H169=Bittrex!E169,D169,Bittrex!E169)))</f>
        <v/>
      </c>
      <c r="K169" t="str">
        <f>IF('Bittrex Data'!B169="","",IF(Bittrex!I169=Bittrex!G169,Bittrex!F169,Bittrex!G169))</f>
        <v/>
      </c>
    </row>
    <row r="170" spans="3:11" x14ac:dyDescent="0.2">
      <c r="C170" t="str">
        <f>IF('Bittrex Data'!A170="","",IF(AND('Bittrex Data'!C170="LIMIT_SELL",Bittrex!D170="USD"),"Sale",IF(AND('Bittrex Data'!C170="LIMIT_BUY",Bittrex!D170="USD"),"Buy","Trade")))</f>
        <v/>
      </c>
      <c r="D170" t="str">
        <f>IF('Bittrex Data'!B170="","",LEFT(LEFT('Bittrex Data'!B170,SEARCH("-",'Bittrex Data'!B170,1)),LEN(LEFT('Bittrex Data'!B170,SEARCH("-",'Bittrex Data'!B170,1)))-1))</f>
        <v/>
      </c>
      <c r="E170" t="str">
        <f>IF('Bittrex Data'!B170="","",RIGHT(RIGHT('Bittrex Data'!B170,LEN('Bittrex Data'!B170)-SEARCH("-",'Bittrex Data'!B170,1)+1),LEN(RIGHT('Bittrex Data'!B170,LEN('Bittrex Data'!B170)-SEARCH("-",'Bittrex Data'!B170,1)+1))-1))</f>
        <v/>
      </c>
      <c r="F170" t="str">
        <f>IF('Bittrex Data'!C170="","",IF('Bittrex Data'!C170="Limit_Sell",'Bittrex Data'!G170-'Bittrex Data'!F170,IF('Bittrex Data'!C170="Limit_Buy",'Bittrex Data'!G170+'Bittrex Data'!F170,"")))</f>
        <v/>
      </c>
      <c r="G170" t="str">
        <f>IF('Bittrex Data'!B170="","",'Bittrex Data'!D170)</f>
        <v/>
      </c>
      <c r="H170" t="str">
        <f>IF('Bittrex Data'!C170="","",IF(Bittrex!C170="Buy",Bittrex!D170,IF(Bittrex!C170="Sale",Bittrex!E170,IF(AND(Bittrex!C170="Trade",'Bittrex Data'!C170="Limit_Sell"),Bittrex!E170,IF(AND(Bittrex!C170="Trade",'Bittrex Data'!C170="Limit_Buy"),Bittrex!D170,"")))))</f>
        <v/>
      </c>
      <c r="I170" t="str">
        <f>IF('Bittrex Data'!C170="","",IF(Bittrex!C170="Buy",F170,IF(C170="Sale",Bittrex!G170,IF(AND(C170="Trade",'Bittrex Data'!C170="Limit_Sell"),Bittrex!G170,IF(AND(Bittrex!C170="Trade",'Bittrex Data'!C170="Limit_Buy"),F170,"")))))</f>
        <v/>
      </c>
      <c r="J170" t="str">
        <f>IF('Bittrex Data'!B170="","",IF('Bittrex Data'!B170="","",IF(Bittrex!H170=Bittrex!E170,D170,Bittrex!E170)))</f>
        <v/>
      </c>
      <c r="K170" t="str">
        <f>IF('Bittrex Data'!B170="","",IF(Bittrex!I170=Bittrex!G170,Bittrex!F170,Bittrex!G170))</f>
        <v/>
      </c>
    </row>
    <row r="171" spans="3:11" x14ac:dyDescent="0.2">
      <c r="C171" t="str">
        <f>IF('Bittrex Data'!A171="","",IF(AND('Bittrex Data'!C171="LIMIT_SELL",Bittrex!D171="USD"),"Sale",IF(AND('Bittrex Data'!C171="LIMIT_BUY",Bittrex!D171="USD"),"Buy","Trade")))</f>
        <v/>
      </c>
      <c r="D171" t="str">
        <f>IF('Bittrex Data'!B171="","",LEFT(LEFT('Bittrex Data'!B171,SEARCH("-",'Bittrex Data'!B171,1)),LEN(LEFT('Bittrex Data'!B171,SEARCH("-",'Bittrex Data'!B171,1)))-1))</f>
        <v/>
      </c>
      <c r="E171" t="str">
        <f>IF('Bittrex Data'!B171="","",RIGHT(RIGHT('Bittrex Data'!B171,LEN('Bittrex Data'!B171)-SEARCH("-",'Bittrex Data'!B171,1)+1),LEN(RIGHT('Bittrex Data'!B171,LEN('Bittrex Data'!B171)-SEARCH("-",'Bittrex Data'!B171,1)+1))-1))</f>
        <v/>
      </c>
      <c r="F171" t="str">
        <f>IF('Bittrex Data'!C171="","",IF('Bittrex Data'!C171="Limit_Sell",'Bittrex Data'!G171-'Bittrex Data'!F171,IF('Bittrex Data'!C171="Limit_Buy",'Bittrex Data'!G171+'Bittrex Data'!F171,"")))</f>
        <v/>
      </c>
      <c r="G171" t="str">
        <f>IF('Bittrex Data'!B171="","",'Bittrex Data'!D171)</f>
        <v/>
      </c>
      <c r="H171" t="str">
        <f>IF('Bittrex Data'!C171="","",IF(Bittrex!C171="Buy",Bittrex!D171,IF(Bittrex!C171="Sale",Bittrex!E171,IF(AND(Bittrex!C171="Trade",'Bittrex Data'!C171="Limit_Sell"),Bittrex!E171,IF(AND(Bittrex!C171="Trade",'Bittrex Data'!C171="Limit_Buy"),Bittrex!D171,"")))))</f>
        <v/>
      </c>
      <c r="I171" t="str">
        <f>IF('Bittrex Data'!C171="","",IF(Bittrex!C171="Buy",F171,IF(C171="Sale",Bittrex!G171,IF(AND(C171="Trade",'Bittrex Data'!C171="Limit_Sell"),Bittrex!G171,IF(AND(Bittrex!C171="Trade",'Bittrex Data'!C171="Limit_Buy"),F171,"")))))</f>
        <v/>
      </c>
      <c r="J171" t="str">
        <f>IF('Bittrex Data'!B171="","",IF('Bittrex Data'!B171="","",IF(Bittrex!H171=Bittrex!E171,D171,Bittrex!E171)))</f>
        <v/>
      </c>
      <c r="K171" t="str">
        <f>IF('Bittrex Data'!B171="","",IF(Bittrex!I171=Bittrex!G171,Bittrex!F171,Bittrex!G171))</f>
        <v/>
      </c>
    </row>
    <row r="172" spans="3:11" x14ac:dyDescent="0.2">
      <c r="C172" t="str">
        <f>IF('Bittrex Data'!A172="","",IF(AND('Bittrex Data'!C172="LIMIT_SELL",Bittrex!D172="USD"),"Sale",IF(AND('Bittrex Data'!C172="LIMIT_BUY",Bittrex!D172="USD"),"Buy","Trade")))</f>
        <v/>
      </c>
      <c r="D172" t="str">
        <f>IF('Bittrex Data'!B172="","",LEFT(LEFT('Bittrex Data'!B172,SEARCH("-",'Bittrex Data'!B172,1)),LEN(LEFT('Bittrex Data'!B172,SEARCH("-",'Bittrex Data'!B172,1)))-1))</f>
        <v/>
      </c>
      <c r="E172" t="str">
        <f>IF('Bittrex Data'!B172="","",RIGHT(RIGHT('Bittrex Data'!B172,LEN('Bittrex Data'!B172)-SEARCH("-",'Bittrex Data'!B172,1)+1),LEN(RIGHT('Bittrex Data'!B172,LEN('Bittrex Data'!B172)-SEARCH("-",'Bittrex Data'!B172,1)+1))-1))</f>
        <v/>
      </c>
      <c r="F172" t="str">
        <f>IF('Bittrex Data'!C172="","",IF('Bittrex Data'!C172="Limit_Sell",'Bittrex Data'!G172-'Bittrex Data'!F172,IF('Bittrex Data'!C172="Limit_Buy",'Bittrex Data'!G172+'Bittrex Data'!F172,"")))</f>
        <v/>
      </c>
      <c r="G172" t="str">
        <f>IF('Bittrex Data'!B172="","",'Bittrex Data'!D172)</f>
        <v/>
      </c>
      <c r="H172" t="str">
        <f>IF('Bittrex Data'!C172="","",IF(Bittrex!C172="Buy",Bittrex!D172,IF(Bittrex!C172="Sale",Bittrex!E172,IF(AND(Bittrex!C172="Trade",'Bittrex Data'!C172="Limit_Sell"),Bittrex!E172,IF(AND(Bittrex!C172="Trade",'Bittrex Data'!C172="Limit_Buy"),Bittrex!D172,"")))))</f>
        <v/>
      </c>
      <c r="I172" t="str">
        <f>IF('Bittrex Data'!C172="","",IF(Bittrex!C172="Buy",F172,IF(C172="Sale",Bittrex!G172,IF(AND(C172="Trade",'Bittrex Data'!C172="Limit_Sell"),Bittrex!G172,IF(AND(Bittrex!C172="Trade",'Bittrex Data'!C172="Limit_Buy"),F172,"")))))</f>
        <v/>
      </c>
      <c r="J172" t="str">
        <f>IF('Bittrex Data'!B172="","",IF('Bittrex Data'!B172="","",IF(Bittrex!H172=Bittrex!E172,D172,Bittrex!E172)))</f>
        <v/>
      </c>
      <c r="K172" t="str">
        <f>IF('Bittrex Data'!B172="","",IF(Bittrex!I172=Bittrex!G172,Bittrex!F172,Bittrex!G172))</f>
        <v/>
      </c>
    </row>
    <row r="173" spans="3:11" x14ac:dyDescent="0.2">
      <c r="C173" t="str">
        <f>IF('Bittrex Data'!A173="","",IF(AND('Bittrex Data'!C173="LIMIT_SELL",Bittrex!D173="USD"),"Sale",IF(AND('Bittrex Data'!C173="LIMIT_BUY",Bittrex!D173="USD"),"Buy","Trade")))</f>
        <v/>
      </c>
      <c r="D173" t="str">
        <f>IF('Bittrex Data'!B173="","",LEFT(LEFT('Bittrex Data'!B173,SEARCH("-",'Bittrex Data'!B173,1)),LEN(LEFT('Bittrex Data'!B173,SEARCH("-",'Bittrex Data'!B173,1)))-1))</f>
        <v/>
      </c>
      <c r="E173" t="str">
        <f>IF('Bittrex Data'!B173="","",RIGHT(RIGHT('Bittrex Data'!B173,LEN('Bittrex Data'!B173)-SEARCH("-",'Bittrex Data'!B173,1)+1),LEN(RIGHT('Bittrex Data'!B173,LEN('Bittrex Data'!B173)-SEARCH("-",'Bittrex Data'!B173,1)+1))-1))</f>
        <v/>
      </c>
      <c r="F173" t="str">
        <f>IF('Bittrex Data'!C173="","",IF('Bittrex Data'!C173="Limit_Sell",'Bittrex Data'!G173-'Bittrex Data'!F173,IF('Bittrex Data'!C173="Limit_Buy",'Bittrex Data'!G173+'Bittrex Data'!F173,"")))</f>
        <v/>
      </c>
      <c r="G173" t="str">
        <f>IF('Bittrex Data'!B173="","",'Bittrex Data'!D173)</f>
        <v/>
      </c>
      <c r="H173" t="str">
        <f>IF('Bittrex Data'!C173="","",IF(Bittrex!C173="Buy",Bittrex!D173,IF(Bittrex!C173="Sale",Bittrex!E173,IF(AND(Bittrex!C173="Trade",'Bittrex Data'!C173="Limit_Sell"),Bittrex!E173,IF(AND(Bittrex!C173="Trade",'Bittrex Data'!C173="Limit_Buy"),Bittrex!D173,"")))))</f>
        <v/>
      </c>
      <c r="I173" t="str">
        <f>IF('Bittrex Data'!C173="","",IF(Bittrex!C173="Buy",F173,IF(C173="Sale",Bittrex!G173,IF(AND(C173="Trade",'Bittrex Data'!C173="Limit_Sell"),Bittrex!G173,IF(AND(Bittrex!C173="Trade",'Bittrex Data'!C173="Limit_Buy"),F173,"")))))</f>
        <v/>
      </c>
      <c r="J173" t="str">
        <f>IF('Bittrex Data'!B173="","",IF('Bittrex Data'!B173="","",IF(Bittrex!H173=Bittrex!E173,D173,Bittrex!E173)))</f>
        <v/>
      </c>
      <c r="K173" t="str">
        <f>IF('Bittrex Data'!B173="","",IF(Bittrex!I173=Bittrex!G173,Bittrex!F173,Bittrex!G173))</f>
        <v/>
      </c>
    </row>
    <row r="174" spans="3:11" x14ac:dyDescent="0.2">
      <c r="C174" t="str">
        <f>IF('Bittrex Data'!A174="","",IF(AND('Bittrex Data'!C174="LIMIT_SELL",Bittrex!D174="USD"),"Sale",IF(AND('Bittrex Data'!C174="LIMIT_BUY",Bittrex!D174="USD"),"Buy","Trade")))</f>
        <v/>
      </c>
      <c r="D174" t="str">
        <f>IF('Bittrex Data'!B174="","",LEFT(LEFT('Bittrex Data'!B174,SEARCH("-",'Bittrex Data'!B174,1)),LEN(LEFT('Bittrex Data'!B174,SEARCH("-",'Bittrex Data'!B174,1)))-1))</f>
        <v/>
      </c>
      <c r="E174" t="str">
        <f>IF('Bittrex Data'!B174="","",RIGHT(RIGHT('Bittrex Data'!B174,LEN('Bittrex Data'!B174)-SEARCH("-",'Bittrex Data'!B174,1)+1),LEN(RIGHT('Bittrex Data'!B174,LEN('Bittrex Data'!B174)-SEARCH("-",'Bittrex Data'!B174,1)+1))-1))</f>
        <v/>
      </c>
      <c r="F174" t="str">
        <f>IF('Bittrex Data'!C174="","",IF('Bittrex Data'!C174="Limit_Sell",'Bittrex Data'!G174-'Bittrex Data'!F174,IF('Bittrex Data'!C174="Limit_Buy",'Bittrex Data'!G174+'Bittrex Data'!F174,"")))</f>
        <v/>
      </c>
      <c r="G174" t="str">
        <f>IF('Bittrex Data'!B174="","",'Bittrex Data'!D174)</f>
        <v/>
      </c>
      <c r="H174" t="str">
        <f>IF('Bittrex Data'!C174="","",IF(Bittrex!C174="Buy",Bittrex!D174,IF(Bittrex!C174="Sale",Bittrex!E174,IF(AND(Bittrex!C174="Trade",'Bittrex Data'!C174="Limit_Sell"),Bittrex!E174,IF(AND(Bittrex!C174="Trade",'Bittrex Data'!C174="Limit_Buy"),Bittrex!D174,"")))))</f>
        <v/>
      </c>
      <c r="I174" t="str">
        <f>IF('Bittrex Data'!C174="","",IF(Bittrex!C174="Buy",F174,IF(C174="Sale",Bittrex!G174,IF(AND(C174="Trade",'Bittrex Data'!C174="Limit_Sell"),Bittrex!G174,IF(AND(Bittrex!C174="Trade",'Bittrex Data'!C174="Limit_Buy"),F174,"")))))</f>
        <v/>
      </c>
      <c r="J174" t="str">
        <f>IF('Bittrex Data'!B174="","",IF('Bittrex Data'!B174="","",IF(Bittrex!H174=Bittrex!E174,D174,Bittrex!E174)))</f>
        <v/>
      </c>
      <c r="K174" t="str">
        <f>IF('Bittrex Data'!B174="","",IF(Bittrex!I174=Bittrex!G174,Bittrex!F174,Bittrex!G174))</f>
        <v/>
      </c>
    </row>
    <row r="175" spans="3:11" x14ac:dyDescent="0.2">
      <c r="C175" t="str">
        <f>IF('Bittrex Data'!A175="","",IF(AND('Bittrex Data'!C175="LIMIT_SELL",Bittrex!D175="USD"),"Sale",IF(AND('Bittrex Data'!C175="LIMIT_BUY",Bittrex!D175="USD"),"Buy","Trade")))</f>
        <v/>
      </c>
      <c r="D175" t="str">
        <f>IF('Bittrex Data'!B175="","",LEFT(LEFT('Bittrex Data'!B175,SEARCH("-",'Bittrex Data'!B175,1)),LEN(LEFT('Bittrex Data'!B175,SEARCH("-",'Bittrex Data'!B175,1)))-1))</f>
        <v/>
      </c>
      <c r="E175" t="str">
        <f>IF('Bittrex Data'!B175="","",RIGHT(RIGHT('Bittrex Data'!B175,LEN('Bittrex Data'!B175)-SEARCH("-",'Bittrex Data'!B175,1)+1),LEN(RIGHT('Bittrex Data'!B175,LEN('Bittrex Data'!B175)-SEARCH("-",'Bittrex Data'!B175,1)+1))-1))</f>
        <v/>
      </c>
      <c r="F175" t="str">
        <f>IF('Bittrex Data'!C175="","",IF('Bittrex Data'!C175="Limit_Sell",'Bittrex Data'!G175-'Bittrex Data'!F175,IF('Bittrex Data'!C175="Limit_Buy",'Bittrex Data'!G175+'Bittrex Data'!F175,"")))</f>
        <v/>
      </c>
      <c r="G175" t="str">
        <f>IF('Bittrex Data'!B175="","",'Bittrex Data'!D175)</f>
        <v/>
      </c>
      <c r="H175" t="str">
        <f>IF('Bittrex Data'!C175="","",IF(Bittrex!C175="Buy",Bittrex!D175,IF(Bittrex!C175="Sale",Bittrex!E175,IF(AND(Bittrex!C175="Trade",'Bittrex Data'!C175="Limit_Sell"),Bittrex!E175,IF(AND(Bittrex!C175="Trade",'Bittrex Data'!C175="Limit_Buy"),Bittrex!D175,"")))))</f>
        <v/>
      </c>
      <c r="I175" t="str">
        <f>IF('Bittrex Data'!C175="","",IF(Bittrex!C175="Buy",F175,IF(C175="Sale",Bittrex!G175,IF(AND(C175="Trade",'Bittrex Data'!C175="Limit_Sell"),Bittrex!G175,IF(AND(Bittrex!C175="Trade",'Bittrex Data'!C175="Limit_Buy"),F175,"")))))</f>
        <v/>
      </c>
      <c r="J175" t="str">
        <f>IF('Bittrex Data'!B175="","",IF('Bittrex Data'!B175="","",IF(Bittrex!H175=Bittrex!E175,D175,Bittrex!E175)))</f>
        <v/>
      </c>
      <c r="K175" t="str">
        <f>IF('Bittrex Data'!B175="","",IF(Bittrex!I175=Bittrex!G175,Bittrex!F175,Bittrex!G175))</f>
        <v/>
      </c>
    </row>
    <row r="176" spans="3:11" x14ac:dyDescent="0.2">
      <c r="C176" t="str">
        <f>IF('Bittrex Data'!A176="","",IF(AND('Bittrex Data'!C176="LIMIT_SELL",Bittrex!D176="USD"),"Sale",IF(AND('Bittrex Data'!C176="LIMIT_BUY",Bittrex!D176="USD"),"Buy","Trade")))</f>
        <v/>
      </c>
      <c r="D176" t="str">
        <f>IF('Bittrex Data'!B176="","",LEFT(LEFT('Bittrex Data'!B176,SEARCH("-",'Bittrex Data'!B176,1)),LEN(LEFT('Bittrex Data'!B176,SEARCH("-",'Bittrex Data'!B176,1)))-1))</f>
        <v/>
      </c>
      <c r="E176" t="str">
        <f>IF('Bittrex Data'!B176="","",RIGHT(RIGHT('Bittrex Data'!B176,LEN('Bittrex Data'!B176)-SEARCH("-",'Bittrex Data'!B176,1)+1),LEN(RIGHT('Bittrex Data'!B176,LEN('Bittrex Data'!B176)-SEARCH("-",'Bittrex Data'!B176,1)+1))-1))</f>
        <v/>
      </c>
      <c r="F176" t="str">
        <f>IF('Bittrex Data'!C176="","",IF('Bittrex Data'!C176="Limit_Sell",'Bittrex Data'!G176-'Bittrex Data'!F176,IF('Bittrex Data'!C176="Limit_Buy",'Bittrex Data'!G176+'Bittrex Data'!F176,"")))</f>
        <v/>
      </c>
      <c r="G176" t="str">
        <f>IF('Bittrex Data'!B176="","",'Bittrex Data'!D176)</f>
        <v/>
      </c>
      <c r="H176" t="str">
        <f>IF('Bittrex Data'!C176="","",IF(Bittrex!C176="Buy",Bittrex!D176,IF(Bittrex!C176="Sale",Bittrex!E176,IF(AND(Bittrex!C176="Trade",'Bittrex Data'!C176="Limit_Sell"),Bittrex!E176,IF(AND(Bittrex!C176="Trade",'Bittrex Data'!C176="Limit_Buy"),Bittrex!D176,"")))))</f>
        <v/>
      </c>
      <c r="I176" t="str">
        <f>IF('Bittrex Data'!C176="","",IF(Bittrex!C176="Buy",F176,IF(C176="Sale",Bittrex!G176,IF(AND(C176="Trade",'Bittrex Data'!C176="Limit_Sell"),Bittrex!G176,IF(AND(Bittrex!C176="Trade",'Bittrex Data'!C176="Limit_Buy"),F176,"")))))</f>
        <v/>
      </c>
      <c r="J176" t="str">
        <f>IF('Bittrex Data'!B176="","",IF('Bittrex Data'!B176="","",IF(Bittrex!H176=Bittrex!E176,D176,Bittrex!E176)))</f>
        <v/>
      </c>
      <c r="K176" t="str">
        <f>IF('Bittrex Data'!B176="","",IF(Bittrex!I176=Bittrex!G176,Bittrex!F176,Bittrex!G176))</f>
        <v/>
      </c>
    </row>
    <row r="177" spans="3:11" x14ac:dyDescent="0.2">
      <c r="C177" t="str">
        <f>IF('Bittrex Data'!A177="","",IF(AND('Bittrex Data'!C177="LIMIT_SELL",Bittrex!D177="USD"),"Sale",IF(AND('Bittrex Data'!C177="LIMIT_BUY",Bittrex!D177="USD"),"Buy","Trade")))</f>
        <v/>
      </c>
      <c r="D177" t="str">
        <f>IF('Bittrex Data'!B177="","",LEFT(LEFT('Bittrex Data'!B177,SEARCH("-",'Bittrex Data'!B177,1)),LEN(LEFT('Bittrex Data'!B177,SEARCH("-",'Bittrex Data'!B177,1)))-1))</f>
        <v/>
      </c>
      <c r="E177" t="str">
        <f>IF('Bittrex Data'!B177="","",RIGHT(RIGHT('Bittrex Data'!B177,LEN('Bittrex Data'!B177)-SEARCH("-",'Bittrex Data'!B177,1)+1),LEN(RIGHT('Bittrex Data'!B177,LEN('Bittrex Data'!B177)-SEARCH("-",'Bittrex Data'!B177,1)+1))-1))</f>
        <v/>
      </c>
      <c r="F177" t="str">
        <f>IF('Bittrex Data'!C177="","",IF('Bittrex Data'!C177="Limit_Sell",'Bittrex Data'!G177-'Bittrex Data'!F177,IF('Bittrex Data'!C177="Limit_Buy",'Bittrex Data'!G177+'Bittrex Data'!F177,"")))</f>
        <v/>
      </c>
      <c r="G177" t="str">
        <f>IF('Bittrex Data'!B177="","",'Bittrex Data'!D177)</f>
        <v/>
      </c>
      <c r="H177" t="str">
        <f>IF('Bittrex Data'!C177="","",IF(Bittrex!C177="Buy",Bittrex!D177,IF(Bittrex!C177="Sale",Bittrex!E177,IF(AND(Bittrex!C177="Trade",'Bittrex Data'!C177="Limit_Sell"),Bittrex!E177,IF(AND(Bittrex!C177="Trade",'Bittrex Data'!C177="Limit_Buy"),Bittrex!D177,"")))))</f>
        <v/>
      </c>
      <c r="I177" t="str">
        <f>IF('Bittrex Data'!C177="","",IF(Bittrex!C177="Buy",F177,IF(C177="Sale",Bittrex!G177,IF(AND(C177="Trade",'Bittrex Data'!C177="Limit_Sell"),Bittrex!G177,IF(AND(Bittrex!C177="Trade",'Bittrex Data'!C177="Limit_Buy"),F177,"")))))</f>
        <v/>
      </c>
      <c r="J177" t="str">
        <f>IF('Bittrex Data'!B177="","",IF('Bittrex Data'!B177="","",IF(Bittrex!H177=Bittrex!E177,D177,Bittrex!E177)))</f>
        <v/>
      </c>
      <c r="K177" t="str">
        <f>IF('Bittrex Data'!B177="","",IF(Bittrex!I177=Bittrex!G177,Bittrex!F177,Bittrex!G177))</f>
        <v/>
      </c>
    </row>
    <row r="178" spans="3:11" x14ac:dyDescent="0.2">
      <c r="C178" t="str">
        <f>IF('Bittrex Data'!A178="","",IF(AND('Bittrex Data'!C178="LIMIT_SELL",Bittrex!D178="USD"),"Sale",IF(AND('Bittrex Data'!C178="LIMIT_BUY",Bittrex!D178="USD"),"Buy","Trade")))</f>
        <v/>
      </c>
      <c r="D178" t="str">
        <f>IF('Bittrex Data'!B178="","",LEFT(LEFT('Bittrex Data'!B178,SEARCH("-",'Bittrex Data'!B178,1)),LEN(LEFT('Bittrex Data'!B178,SEARCH("-",'Bittrex Data'!B178,1)))-1))</f>
        <v/>
      </c>
      <c r="E178" t="str">
        <f>IF('Bittrex Data'!B178="","",RIGHT(RIGHT('Bittrex Data'!B178,LEN('Bittrex Data'!B178)-SEARCH("-",'Bittrex Data'!B178,1)+1),LEN(RIGHT('Bittrex Data'!B178,LEN('Bittrex Data'!B178)-SEARCH("-",'Bittrex Data'!B178,1)+1))-1))</f>
        <v/>
      </c>
      <c r="F178" t="str">
        <f>IF('Bittrex Data'!C178="","",IF('Bittrex Data'!C178="Limit_Sell",'Bittrex Data'!G178-'Bittrex Data'!F178,IF('Bittrex Data'!C178="Limit_Buy",'Bittrex Data'!G178+'Bittrex Data'!F178,"")))</f>
        <v/>
      </c>
      <c r="G178" t="str">
        <f>IF('Bittrex Data'!B178="","",'Bittrex Data'!D178)</f>
        <v/>
      </c>
      <c r="H178" t="str">
        <f>IF('Bittrex Data'!C178="","",IF(Bittrex!C178="Buy",Bittrex!D178,IF(Bittrex!C178="Sale",Bittrex!E178,IF(AND(Bittrex!C178="Trade",'Bittrex Data'!C178="Limit_Sell"),Bittrex!E178,IF(AND(Bittrex!C178="Trade",'Bittrex Data'!C178="Limit_Buy"),Bittrex!D178,"")))))</f>
        <v/>
      </c>
      <c r="I178" t="str">
        <f>IF('Bittrex Data'!C178="","",IF(Bittrex!C178="Buy",F178,IF(C178="Sale",Bittrex!G178,IF(AND(C178="Trade",'Bittrex Data'!C178="Limit_Sell"),Bittrex!G178,IF(AND(Bittrex!C178="Trade",'Bittrex Data'!C178="Limit_Buy"),F178,"")))))</f>
        <v/>
      </c>
      <c r="J178" t="str">
        <f>IF('Bittrex Data'!B178="","",IF('Bittrex Data'!B178="","",IF(Bittrex!H178=Bittrex!E178,D178,Bittrex!E178)))</f>
        <v/>
      </c>
      <c r="K178" t="str">
        <f>IF('Bittrex Data'!B178="","",IF(Bittrex!I178=Bittrex!G178,Bittrex!F178,Bittrex!G178))</f>
        <v/>
      </c>
    </row>
    <row r="179" spans="3:11" x14ac:dyDescent="0.2">
      <c r="C179" t="str">
        <f>IF('Bittrex Data'!A179="","",IF(AND('Bittrex Data'!C179="LIMIT_SELL",Bittrex!D179="USD"),"Sale",IF(AND('Bittrex Data'!C179="LIMIT_BUY",Bittrex!D179="USD"),"Buy","Trade")))</f>
        <v/>
      </c>
      <c r="D179" t="str">
        <f>IF('Bittrex Data'!B179="","",LEFT(LEFT('Bittrex Data'!B179,SEARCH("-",'Bittrex Data'!B179,1)),LEN(LEFT('Bittrex Data'!B179,SEARCH("-",'Bittrex Data'!B179,1)))-1))</f>
        <v/>
      </c>
      <c r="E179" t="str">
        <f>IF('Bittrex Data'!B179="","",RIGHT(RIGHT('Bittrex Data'!B179,LEN('Bittrex Data'!B179)-SEARCH("-",'Bittrex Data'!B179,1)+1),LEN(RIGHT('Bittrex Data'!B179,LEN('Bittrex Data'!B179)-SEARCH("-",'Bittrex Data'!B179,1)+1))-1))</f>
        <v/>
      </c>
      <c r="F179" t="str">
        <f>IF('Bittrex Data'!C179="","",IF('Bittrex Data'!C179="Limit_Sell",'Bittrex Data'!G179-'Bittrex Data'!F179,IF('Bittrex Data'!C179="Limit_Buy",'Bittrex Data'!G179+'Bittrex Data'!F179,"")))</f>
        <v/>
      </c>
      <c r="G179" t="str">
        <f>IF('Bittrex Data'!B179="","",'Bittrex Data'!D179)</f>
        <v/>
      </c>
      <c r="H179" t="str">
        <f>IF('Bittrex Data'!C179="","",IF(Bittrex!C179="Buy",Bittrex!D179,IF(Bittrex!C179="Sale",Bittrex!E179,IF(AND(Bittrex!C179="Trade",'Bittrex Data'!C179="Limit_Sell"),Bittrex!E179,IF(AND(Bittrex!C179="Trade",'Bittrex Data'!C179="Limit_Buy"),Bittrex!D179,"")))))</f>
        <v/>
      </c>
      <c r="I179" t="str">
        <f>IF('Bittrex Data'!C179="","",IF(Bittrex!C179="Buy",F179,IF(C179="Sale",Bittrex!G179,IF(AND(C179="Trade",'Bittrex Data'!C179="Limit_Sell"),Bittrex!G179,IF(AND(Bittrex!C179="Trade",'Bittrex Data'!C179="Limit_Buy"),F179,"")))))</f>
        <v/>
      </c>
      <c r="J179" t="str">
        <f>IF('Bittrex Data'!B179="","",IF('Bittrex Data'!B179="","",IF(Bittrex!H179=Bittrex!E179,D179,Bittrex!E179)))</f>
        <v/>
      </c>
      <c r="K179" t="str">
        <f>IF('Bittrex Data'!B179="","",IF(Bittrex!I179=Bittrex!G179,Bittrex!F179,Bittrex!G179))</f>
        <v/>
      </c>
    </row>
    <row r="180" spans="3:11" x14ac:dyDescent="0.2">
      <c r="C180" t="str">
        <f>IF('Bittrex Data'!A180="","",IF(AND('Bittrex Data'!C180="LIMIT_SELL",Bittrex!D180="USD"),"Sale",IF(AND('Bittrex Data'!C180="LIMIT_BUY",Bittrex!D180="USD"),"Buy","Trade")))</f>
        <v/>
      </c>
      <c r="D180" t="str">
        <f>IF('Bittrex Data'!B180="","",LEFT(LEFT('Bittrex Data'!B180,SEARCH("-",'Bittrex Data'!B180,1)),LEN(LEFT('Bittrex Data'!B180,SEARCH("-",'Bittrex Data'!B180,1)))-1))</f>
        <v/>
      </c>
      <c r="E180" t="str">
        <f>IF('Bittrex Data'!B180="","",RIGHT(RIGHT('Bittrex Data'!B180,LEN('Bittrex Data'!B180)-SEARCH("-",'Bittrex Data'!B180,1)+1),LEN(RIGHT('Bittrex Data'!B180,LEN('Bittrex Data'!B180)-SEARCH("-",'Bittrex Data'!B180,1)+1))-1))</f>
        <v/>
      </c>
      <c r="F180" t="str">
        <f>IF('Bittrex Data'!C180="","",IF('Bittrex Data'!C180="Limit_Sell",'Bittrex Data'!G180-'Bittrex Data'!F180,IF('Bittrex Data'!C180="Limit_Buy",'Bittrex Data'!G180+'Bittrex Data'!F180,"")))</f>
        <v/>
      </c>
      <c r="G180" t="str">
        <f>IF('Bittrex Data'!B180="","",'Bittrex Data'!D180)</f>
        <v/>
      </c>
      <c r="H180" t="str">
        <f>IF('Bittrex Data'!C180="","",IF(Bittrex!C180="Buy",Bittrex!D180,IF(Bittrex!C180="Sale",Bittrex!E180,IF(AND(Bittrex!C180="Trade",'Bittrex Data'!C180="Limit_Sell"),Bittrex!E180,IF(AND(Bittrex!C180="Trade",'Bittrex Data'!C180="Limit_Buy"),Bittrex!D180,"")))))</f>
        <v/>
      </c>
      <c r="I180" t="str">
        <f>IF('Bittrex Data'!C180="","",IF(Bittrex!C180="Buy",F180,IF(C180="Sale",Bittrex!G180,IF(AND(C180="Trade",'Bittrex Data'!C180="Limit_Sell"),Bittrex!G180,IF(AND(Bittrex!C180="Trade",'Bittrex Data'!C180="Limit_Buy"),F180,"")))))</f>
        <v/>
      </c>
      <c r="J180" t="str">
        <f>IF('Bittrex Data'!B180="","",IF('Bittrex Data'!B180="","",IF(Bittrex!H180=Bittrex!E180,D180,Bittrex!E180)))</f>
        <v/>
      </c>
      <c r="K180" t="str">
        <f>IF('Bittrex Data'!B180="","",IF(Bittrex!I180=Bittrex!G180,Bittrex!F180,Bittrex!G180))</f>
        <v/>
      </c>
    </row>
    <row r="181" spans="3:11" x14ac:dyDescent="0.2">
      <c r="C181" t="str">
        <f>IF('Bittrex Data'!A181="","",IF(AND('Bittrex Data'!C181="LIMIT_SELL",Bittrex!D181="USD"),"Sale",IF(AND('Bittrex Data'!C181="LIMIT_BUY",Bittrex!D181="USD"),"Buy","Trade")))</f>
        <v/>
      </c>
      <c r="D181" t="str">
        <f>IF('Bittrex Data'!B181="","",LEFT(LEFT('Bittrex Data'!B181,SEARCH("-",'Bittrex Data'!B181,1)),LEN(LEFT('Bittrex Data'!B181,SEARCH("-",'Bittrex Data'!B181,1)))-1))</f>
        <v/>
      </c>
      <c r="E181" t="str">
        <f>IF('Bittrex Data'!B181="","",RIGHT(RIGHT('Bittrex Data'!B181,LEN('Bittrex Data'!B181)-SEARCH("-",'Bittrex Data'!B181,1)+1),LEN(RIGHT('Bittrex Data'!B181,LEN('Bittrex Data'!B181)-SEARCH("-",'Bittrex Data'!B181,1)+1))-1))</f>
        <v/>
      </c>
      <c r="F181" t="str">
        <f>IF('Bittrex Data'!C181="","",IF('Bittrex Data'!C181="Limit_Sell",'Bittrex Data'!G181-'Bittrex Data'!F181,IF('Bittrex Data'!C181="Limit_Buy",'Bittrex Data'!G181+'Bittrex Data'!F181,"")))</f>
        <v/>
      </c>
      <c r="G181" t="str">
        <f>IF('Bittrex Data'!B181="","",'Bittrex Data'!D181)</f>
        <v/>
      </c>
      <c r="H181" t="str">
        <f>IF('Bittrex Data'!C181="","",IF(Bittrex!C181="Buy",Bittrex!D181,IF(Bittrex!C181="Sale",Bittrex!E181,IF(AND(Bittrex!C181="Trade",'Bittrex Data'!C181="Limit_Sell"),Bittrex!E181,IF(AND(Bittrex!C181="Trade",'Bittrex Data'!C181="Limit_Buy"),Bittrex!D181,"")))))</f>
        <v/>
      </c>
      <c r="I181" t="str">
        <f>IF('Bittrex Data'!C181="","",IF(Bittrex!C181="Buy",F181,IF(C181="Sale",Bittrex!G181,IF(AND(C181="Trade",'Bittrex Data'!C181="Limit_Sell"),Bittrex!G181,IF(AND(Bittrex!C181="Trade",'Bittrex Data'!C181="Limit_Buy"),F181,"")))))</f>
        <v/>
      </c>
      <c r="J181" t="str">
        <f>IF('Bittrex Data'!B181="","",IF('Bittrex Data'!B181="","",IF(Bittrex!H181=Bittrex!E181,D181,Bittrex!E181)))</f>
        <v/>
      </c>
      <c r="K181" t="str">
        <f>IF('Bittrex Data'!B181="","",IF(Bittrex!I181=Bittrex!G181,Bittrex!F181,Bittrex!G181))</f>
        <v/>
      </c>
    </row>
    <row r="182" spans="3:11" x14ac:dyDescent="0.2">
      <c r="C182" t="str">
        <f>IF('Bittrex Data'!A182="","",IF(AND('Bittrex Data'!C182="LIMIT_SELL",Bittrex!D182="USD"),"Sale",IF(AND('Bittrex Data'!C182="LIMIT_BUY",Bittrex!D182="USD"),"Buy","Trade")))</f>
        <v/>
      </c>
      <c r="D182" t="str">
        <f>IF('Bittrex Data'!B182="","",LEFT(LEFT('Bittrex Data'!B182,SEARCH("-",'Bittrex Data'!B182,1)),LEN(LEFT('Bittrex Data'!B182,SEARCH("-",'Bittrex Data'!B182,1)))-1))</f>
        <v/>
      </c>
      <c r="E182" t="str">
        <f>IF('Bittrex Data'!B182="","",RIGHT(RIGHT('Bittrex Data'!B182,LEN('Bittrex Data'!B182)-SEARCH("-",'Bittrex Data'!B182,1)+1),LEN(RIGHT('Bittrex Data'!B182,LEN('Bittrex Data'!B182)-SEARCH("-",'Bittrex Data'!B182,1)+1))-1))</f>
        <v/>
      </c>
      <c r="F182" t="str">
        <f>IF('Bittrex Data'!C182="","",IF('Bittrex Data'!C182="Limit_Sell",'Bittrex Data'!G182-'Bittrex Data'!F182,IF('Bittrex Data'!C182="Limit_Buy",'Bittrex Data'!G182+'Bittrex Data'!F182,"")))</f>
        <v/>
      </c>
      <c r="G182" t="str">
        <f>IF('Bittrex Data'!B182="","",'Bittrex Data'!D182)</f>
        <v/>
      </c>
      <c r="H182" t="str">
        <f>IF('Bittrex Data'!C182="","",IF(Bittrex!C182="Buy",Bittrex!D182,IF(Bittrex!C182="Sale",Bittrex!E182,IF(AND(Bittrex!C182="Trade",'Bittrex Data'!C182="Limit_Sell"),Bittrex!E182,IF(AND(Bittrex!C182="Trade",'Bittrex Data'!C182="Limit_Buy"),Bittrex!D182,"")))))</f>
        <v/>
      </c>
      <c r="I182" t="str">
        <f>IF('Bittrex Data'!C182="","",IF(Bittrex!C182="Buy",F182,IF(C182="Sale",Bittrex!G182,IF(AND(C182="Trade",'Bittrex Data'!C182="Limit_Sell"),Bittrex!G182,IF(AND(Bittrex!C182="Trade",'Bittrex Data'!C182="Limit_Buy"),F182,"")))))</f>
        <v/>
      </c>
      <c r="J182" t="str">
        <f>IF('Bittrex Data'!B182="","",IF('Bittrex Data'!B182="","",IF(Bittrex!H182=Bittrex!E182,D182,Bittrex!E182)))</f>
        <v/>
      </c>
      <c r="K182" t="str">
        <f>IF('Bittrex Data'!B182="","",IF(Bittrex!I182=Bittrex!G182,Bittrex!F182,Bittrex!G182))</f>
        <v/>
      </c>
    </row>
    <row r="183" spans="3:11" x14ac:dyDescent="0.2">
      <c r="C183" t="str">
        <f>IF('Bittrex Data'!A183="","",IF(AND('Bittrex Data'!C183="LIMIT_SELL",Bittrex!D183="USD"),"Sale",IF(AND('Bittrex Data'!C183="LIMIT_BUY",Bittrex!D183="USD"),"Buy","Trade")))</f>
        <v/>
      </c>
      <c r="D183" t="str">
        <f>IF('Bittrex Data'!B183="","",LEFT(LEFT('Bittrex Data'!B183,SEARCH("-",'Bittrex Data'!B183,1)),LEN(LEFT('Bittrex Data'!B183,SEARCH("-",'Bittrex Data'!B183,1)))-1))</f>
        <v/>
      </c>
      <c r="E183" t="str">
        <f>IF('Bittrex Data'!B183="","",RIGHT(RIGHT('Bittrex Data'!B183,LEN('Bittrex Data'!B183)-SEARCH("-",'Bittrex Data'!B183,1)+1),LEN(RIGHT('Bittrex Data'!B183,LEN('Bittrex Data'!B183)-SEARCH("-",'Bittrex Data'!B183,1)+1))-1))</f>
        <v/>
      </c>
      <c r="F183" t="str">
        <f>IF('Bittrex Data'!C183="","",IF('Bittrex Data'!C183="Limit_Sell",'Bittrex Data'!G183-'Bittrex Data'!F183,IF('Bittrex Data'!C183="Limit_Buy",'Bittrex Data'!G183+'Bittrex Data'!F183,"")))</f>
        <v/>
      </c>
      <c r="G183" t="str">
        <f>IF('Bittrex Data'!B183="","",'Bittrex Data'!D183)</f>
        <v/>
      </c>
      <c r="H183" t="str">
        <f>IF('Bittrex Data'!C183="","",IF(Bittrex!C183="Buy",Bittrex!D183,IF(Bittrex!C183="Sale",Bittrex!E183,IF(AND(Bittrex!C183="Trade",'Bittrex Data'!C183="Limit_Sell"),Bittrex!E183,IF(AND(Bittrex!C183="Trade",'Bittrex Data'!C183="Limit_Buy"),Bittrex!D183,"")))))</f>
        <v/>
      </c>
      <c r="I183" t="str">
        <f>IF('Bittrex Data'!C183="","",IF(Bittrex!C183="Buy",F183,IF(C183="Sale",Bittrex!G183,IF(AND(C183="Trade",'Bittrex Data'!C183="Limit_Sell"),Bittrex!G183,IF(AND(Bittrex!C183="Trade",'Bittrex Data'!C183="Limit_Buy"),F183,"")))))</f>
        <v/>
      </c>
      <c r="J183" t="str">
        <f>IF('Bittrex Data'!B183="","",IF('Bittrex Data'!B183="","",IF(Bittrex!H183=Bittrex!E183,D183,Bittrex!E183)))</f>
        <v/>
      </c>
      <c r="K183" t="str">
        <f>IF('Bittrex Data'!B183="","",IF(Bittrex!I183=Bittrex!G183,Bittrex!F183,Bittrex!G183))</f>
        <v/>
      </c>
    </row>
    <row r="184" spans="3:11" x14ac:dyDescent="0.2">
      <c r="C184" t="str">
        <f>IF('Bittrex Data'!A184="","",IF(AND('Bittrex Data'!C184="LIMIT_SELL",Bittrex!D184="USD"),"Sale",IF(AND('Bittrex Data'!C184="LIMIT_BUY",Bittrex!D184="USD"),"Buy","Trade")))</f>
        <v/>
      </c>
      <c r="D184" t="str">
        <f>IF('Bittrex Data'!B184="","",LEFT(LEFT('Bittrex Data'!B184,SEARCH("-",'Bittrex Data'!B184,1)),LEN(LEFT('Bittrex Data'!B184,SEARCH("-",'Bittrex Data'!B184,1)))-1))</f>
        <v/>
      </c>
      <c r="E184" t="str">
        <f>IF('Bittrex Data'!B184="","",RIGHT(RIGHT('Bittrex Data'!B184,LEN('Bittrex Data'!B184)-SEARCH("-",'Bittrex Data'!B184,1)+1),LEN(RIGHT('Bittrex Data'!B184,LEN('Bittrex Data'!B184)-SEARCH("-",'Bittrex Data'!B184,1)+1))-1))</f>
        <v/>
      </c>
      <c r="F184" t="str">
        <f>IF('Bittrex Data'!C184="","",IF('Bittrex Data'!C184="Limit_Sell",'Bittrex Data'!G184-'Bittrex Data'!F184,IF('Bittrex Data'!C184="Limit_Buy",'Bittrex Data'!G184+'Bittrex Data'!F184,"")))</f>
        <v/>
      </c>
      <c r="G184" t="str">
        <f>IF('Bittrex Data'!B184="","",'Bittrex Data'!D184)</f>
        <v/>
      </c>
      <c r="H184" t="str">
        <f>IF('Bittrex Data'!C184="","",IF(Bittrex!C184="Buy",Bittrex!D184,IF(Bittrex!C184="Sale",Bittrex!E184,IF(AND(Bittrex!C184="Trade",'Bittrex Data'!C184="Limit_Sell"),Bittrex!E184,IF(AND(Bittrex!C184="Trade",'Bittrex Data'!C184="Limit_Buy"),Bittrex!D184,"")))))</f>
        <v/>
      </c>
      <c r="I184" t="str">
        <f>IF('Bittrex Data'!C184="","",IF(Bittrex!C184="Buy",F184,IF(C184="Sale",Bittrex!G184,IF(AND(C184="Trade",'Bittrex Data'!C184="Limit_Sell"),Bittrex!G184,IF(AND(Bittrex!C184="Trade",'Bittrex Data'!C184="Limit_Buy"),F184,"")))))</f>
        <v/>
      </c>
      <c r="J184" t="str">
        <f>IF('Bittrex Data'!B184="","",IF('Bittrex Data'!B184="","",IF(Bittrex!H184=Bittrex!E184,D184,Bittrex!E184)))</f>
        <v/>
      </c>
      <c r="K184" t="str">
        <f>IF('Bittrex Data'!B184="","",IF(Bittrex!I184=Bittrex!G184,Bittrex!F184,Bittrex!G184))</f>
        <v/>
      </c>
    </row>
    <row r="185" spans="3:11" x14ac:dyDescent="0.2">
      <c r="C185" t="str">
        <f>IF('Bittrex Data'!A185="","",IF(AND('Bittrex Data'!C185="LIMIT_SELL",Bittrex!D185="USD"),"Sale",IF(AND('Bittrex Data'!C185="LIMIT_BUY",Bittrex!D185="USD"),"Buy","Trade")))</f>
        <v/>
      </c>
      <c r="D185" t="str">
        <f>IF('Bittrex Data'!B185="","",LEFT(LEFT('Bittrex Data'!B185,SEARCH("-",'Bittrex Data'!B185,1)),LEN(LEFT('Bittrex Data'!B185,SEARCH("-",'Bittrex Data'!B185,1)))-1))</f>
        <v/>
      </c>
      <c r="E185" t="str">
        <f>IF('Bittrex Data'!B185="","",RIGHT(RIGHT('Bittrex Data'!B185,LEN('Bittrex Data'!B185)-SEARCH("-",'Bittrex Data'!B185,1)+1),LEN(RIGHT('Bittrex Data'!B185,LEN('Bittrex Data'!B185)-SEARCH("-",'Bittrex Data'!B185,1)+1))-1))</f>
        <v/>
      </c>
      <c r="F185" t="str">
        <f>IF('Bittrex Data'!C185="","",IF('Bittrex Data'!C185="Limit_Sell",'Bittrex Data'!G185-'Bittrex Data'!F185,IF('Bittrex Data'!C185="Limit_Buy",'Bittrex Data'!G185+'Bittrex Data'!F185,"")))</f>
        <v/>
      </c>
      <c r="G185" t="str">
        <f>IF('Bittrex Data'!B185="","",'Bittrex Data'!D185)</f>
        <v/>
      </c>
      <c r="H185" t="str">
        <f>IF('Bittrex Data'!C185="","",IF(Bittrex!C185="Buy",Bittrex!D185,IF(Bittrex!C185="Sale",Bittrex!E185,IF(AND(Bittrex!C185="Trade",'Bittrex Data'!C185="Limit_Sell"),Bittrex!E185,IF(AND(Bittrex!C185="Trade",'Bittrex Data'!C185="Limit_Buy"),Bittrex!D185,"")))))</f>
        <v/>
      </c>
      <c r="I185" t="str">
        <f>IF('Bittrex Data'!C185="","",IF(Bittrex!C185="Buy",F185,IF(C185="Sale",Bittrex!G185,IF(AND(C185="Trade",'Bittrex Data'!C185="Limit_Sell"),Bittrex!G185,IF(AND(Bittrex!C185="Trade",'Bittrex Data'!C185="Limit_Buy"),F185,"")))))</f>
        <v/>
      </c>
      <c r="J185" t="str">
        <f>IF('Bittrex Data'!B185="","",IF('Bittrex Data'!B185="","",IF(Bittrex!H185=Bittrex!E185,D185,Bittrex!E185)))</f>
        <v/>
      </c>
      <c r="K185" t="str">
        <f>IF('Bittrex Data'!B185="","",IF(Bittrex!I185=Bittrex!G185,Bittrex!F185,Bittrex!G185))</f>
        <v/>
      </c>
    </row>
    <row r="186" spans="3:11" x14ac:dyDescent="0.2">
      <c r="C186" t="str">
        <f>IF('Bittrex Data'!A186="","",IF(AND('Bittrex Data'!C186="LIMIT_SELL",Bittrex!D186="USD"),"Sale",IF(AND('Bittrex Data'!C186="LIMIT_BUY",Bittrex!D186="USD"),"Buy","Trade")))</f>
        <v/>
      </c>
      <c r="D186" t="str">
        <f>IF('Bittrex Data'!B186="","",LEFT(LEFT('Bittrex Data'!B186,SEARCH("-",'Bittrex Data'!B186,1)),LEN(LEFT('Bittrex Data'!B186,SEARCH("-",'Bittrex Data'!B186,1)))-1))</f>
        <v/>
      </c>
      <c r="E186" t="str">
        <f>IF('Bittrex Data'!B186="","",RIGHT(RIGHT('Bittrex Data'!B186,LEN('Bittrex Data'!B186)-SEARCH("-",'Bittrex Data'!B186,1)+1),LEN(RIGHT('Bittrex Data'!B186,LEN('Bittrex Data'!B186)-SEARCH("-",'Bittrex Data'!B186,1)+1))-1))</f>
        <v/>
      </c>
      <c r="F186" t="str">
        <f>IF('Bittrex Data'!C186="","",IF('Bittrex Data'!C186="Limit_Sell",'Bittrex Data'!G186-'Bittrex Data'!F186,IF('Bittrex Data'!C186="Limit_Buy",'Bittrex Data'!G186+'Bittrex Data'!F186,"")))</f>
        <v/>
      </c>
      <c r="G186" t="str">
        <f>IF('Bittrex Data'!B186="","",'Bittrex Data'!D186)</f>
        <v/>
      </c>
      <c r="H186" t="str">
        <f>IF('Bittrex Data'!C186="","",IF(Bittrex!C186="Buy",Bittrex!D186,IF(Bittrex!C186="Sale",Bittrex!E186,IF(AND(Bittrex!C186="Trade",'Bittrex Data'!C186="Limit_Sell"),Bittrex!E186,IF(AND(Bittrex!C186="Trade",'Bittrex Data'!C186="Limit_Buy"),Bittrex!D186,"")))))</f>
        <v/>
      </c>
      <c r="I186" t="str">
        <f>IF('Bittrex Data'!C186="","",IF(Bittrex!C186="Buy",F186,IF(C186="Sale",Bittrex!G186,IF(AND(C186="Trade",'Bittrex Data'!C186="Limit_Sell"),Bittrex!G186,IF(AND(Bittrex!C186="Trade",'Bittrex Data'!C186="Limit_Buy"),F186,"")))))</f>
        <v/>
      </c>
      <c r="J186" t="str">
        <f>IF('Bittrex Data'!B186="","",IF('Bittrex Data'!B186="","",IF(Bittrex!H186=Bittrex!E186,D186,Bittrex!E186)))</f>
        <v/>
      </c>
      <c r="K186" t="str">
        <f>IF('Bittrex Data'!B186="","",IF(Bittrex!I186=Bittrex!G186,Bittrex!F186,Bittrex!G186))</f>
        <v/>
      </c>
    </row>
    <row r="187" spans="3:11" x14ac:dyDescent="0.2">
      <c r="C187" t="str">
        <f>IF('Bittrex Data'!A187="","",IF(AND('Bittrex Data'!C187="LIMIT_SELL",Bittrex!D187="USD"),"Sale",IF(AND('Bittrex Data'!C187="LIMIT_BUY",Bittrex!D187="USD"),"Buy","Trade")))</f>
        <v/>
      </c>
      <c r="D187" t="str">
        <f>IF('Bittrex Data'!B187="","",LEFT(LEFT('Bittrex Data'!B187,SEARCH("-",'Bittrex Data'!B187,1)),LEN(LEFT('Bittrex Data'!B187,SEARCH("-",'Bittrex Data'!B187,1)))-1))</f>
        <v/>
      </c>
      <c r="E187" t="str">
        <f>IF('Bittrex Data'!B187="","",RIGHT(RIGHT('Bittrex Data'!B187,LEN('Bittrex Data'!B187)-SEARCH("-",'Bittrex Data'!B187,1)+1),LEN(RIGHT('Bittrex Data'!B187,LEN('Bittrex Data'!B187)-SEARCH("-",'Bittrex Data'!B187,1)+1))-1))</f>
        <v/>
      </c>
      <c r="F187" t="str">
        <f>IF('Bittrex Data'!C187="","",IF('Bittrex Data'!C187="Limit_Sell",'Bittrex Data'!G187-'Bittrex Data'!F187,IF('Bittrex Data'!C187="Limit_Buy",'Bittrex Data'!G187+'Bittrex Data'!F187,"")))</f>
        <v/>
      </c>
      <c r="G187" t="str">
        <f>IF('Bittrex Data'!B187="","",'Bittrex Data'!D187)</f>
        <v/>
      </c>
      <c r="H187" t="str">
        <f>IF('Bittrex Data'!C187="","",IF(Bittrex!C187="Buy",Bittrex!D187,IF(Bittrex!C187="Sale",Bittrex!E187,IF(AND(Bittrex!C187="Trade",'Bittrex Data'!C187="Limit_Sell"),Bittrex!E187,IF(AND(Bittrex!C187="Trade",'Bittrex Data'!C187="Limit_Buy"),Bittrex!D187,"")))))</f>
        <v/>
      </c>
      <c r="I187" t="str">
        <f>IF('Bittrex Data'!C187="","",IF(Bittrex!C187="Buy",F187,IF(C187="Sale",Bittrex!G187,IF(AND(C187="Trade",'Bittrex Data'!C187="Limit_Sell"),Bittrex!G187,IF(AND(Bittrex!C187="Trade",'Bittrex Data'!C187="Limit_Buy"),F187,"")))))</f>
        <v/>
      </c>
      <c r="J187" t="str">
        <f>IF('Bittrex Data'!B187="","",IF('Bittrex Data'!B187="","",IF(Bittrex!H187=Bittrex!E187,D187,Bittrex!E187)))</f>
        <v/>
      </c>
      <c r="K187" t="str">
        <f>IF('Bittrex Data'!B187="","",IF(Bittrex!I187=Bittrex!G187,Bittrex!F187,Bittrex!G187))</f>
        <v/>
      </c>
    </row>
    <row r="188" spans="3:11" x14ac:dyDescent="0.2">
      <c r="C188" t="str">
        <f>IF('Bittrex Data'!A188="","",IF(AND('Bittrex Data'!C188="LIMIT_SELL",Bittrex!D188="USD"),"Sale",IF(AND('Bittrex Data'!C188="LIMIT_BUY",Bittrex!D188="USD"),"Buy","Trade")))</f>
        <v/>
      </c>
      <c r="D188" t="str">
        <f>IF('Bittrex Data'!B188="","",LEFT(LEFT('Bittrex Data'!B188,SEARCH("-",'Bittrex Data'!B188,1)),LEN(LEFT('Bittrex Data'!B188,SEARCH("-",'Bittrex Data'!B188,1)))-1))</f>
        <v/>
      </c>
      <c r="E188" t="str">
        <f>IF('Bittrex Data'!B188="","",RIGHT(RIGHT('Bittrex Data'!B188,LEN('Bittrex Data'!B188)-SEARCH("-",'Bittrex Data'!B188,1)+1),LEN(RIGHT('Bittrex Data'!B188,LEN('Bittrex Data'!B188)-SEARCH("-",'Bittrex Data'!B188,1)+1))-1))</f>
        <v/>
      </c>
      <c r="F188" t="str">
        <f>IF('Bittrex Data'!C188="","",IF('Bittrex Data'!C188="Limit_Sell",'Bittrex Data'!G188-'Bittrex Data'!F188,IF('Bittrex Data'!C188="Limit_Buy",'Bittrex Data'!G188+'Bittrex Data'!F188,"")))</f>
        <v/>
      </c>
      <c r="G188" t="str">
        <f>IF('Bittrex Data'!B188="","",'Bittrex Data'!D188)</f>
        <v/>
      </c>
      <c r="H188" t="str">
        <f>IF('Bittrex Data'!C188="","",IF(Bittrex!C188="Buy",Bittrex!D188,IF(Bittrex!C188="Sale",Bittrex!E188,IF(AND(Bittrex!C188="Trade",'Bittrex Data'!C188="Limit_Sell"),Bittrex!E188,IF(AND(Bittrex!C188="Trade",'Bittrex Data'!C188="Limit_Buy"),Bittrex!D188,"")))))</f>
        <v/>
      </c>
      <c r="I188" t="str">
        <f>IF('Bittrex Data'!C188="","",IF(Bittrex!C188="Buy",F188,IF(C188="Sale",Bittrex!G188,IF(AND(C188="Trade",'Bittrex Data'!C188="Limit_Sell"),Bittrex!G188,IF(AND(Bittrex!C188="Trade",'Bittrex Data'!C188="Limit_Buy"),F188,"")))))</f>
        <v/>
      </c>
      <c r="J188" t="str">
        <f>IF('Bittrex Data'!B188="","",IF('Bittrex Data'!B188="","",IF(Bittrex!H188=Bittrex!E188,D188,Bittrex!E188)))</f>
        <v/>
      </c>
      <c r="K188" t="str">
        <f>IF('Bittrex Data'!B188="","",IF(Bittrex!I188=Bittrex!G188,Bittrex!F188,Bittrex!G188))</f>
        <v/>
      </c>
    </row>
    <row r="189" spans="3:11" x14ac:dyDescent="0.2">
      <c r="C189" t="str">
        <f>IF('Bittrex Data'!A189="","",IF(AND('Bittrex Data'!C189="LIMIT_SELL",Bittrex!D189="USD"),"Sale",IF(AND('Bittrex Data'!C189="LIMIT_BUY",Bittrex!D189="USD"),"Buy","Trade")))</f>
        <v/>
      </c>
      <c r="D189" t="str">
        <f>IF('Bittrex Data'!B189="","",LEFT(LEFT('Bittrex Data'!B189,SEARCH("-",'Bittrex Data'!B189,1)),LEN(LEFT('Bittrex Data'!B189,SEARCH("-",'Bittrex Data'!B189,1)))-1))</f>
        <v/>
      </c>
      <c r="E189" t="str">
        <f>IF('Bittrex Data'!B189="","",RIGHT(RIGHT('Bittrex Data'!B189,LEN('Bittrex Data'!B189)-SEARCH("-",'Bittrex Data'!B189,1)+1),LEN(RIGHT('Bittrex Data'!B189,LEN('Bittrex Data'!B189)-SEARCH("-",'Bittrex Data'!B189,1)+1))-1))</f>
        <v/>
      </c>
      <c r="F189" t="str">
        <f>IF('Bittrex Data'!C189="","",IF('Bittrex Data'!C189="Limit_Sell",'Bittrex Data'!G189-'Bittrex Data'!F189,IF('Bittrex Data'!C189="Limit_Buy",'Bittrex Data'!G189+'Bittrex Data'!F189,"")))</f>
        <v/>
      </c>
      <c r="G189" t="str">
        <f>IF('Bittrex Data'!B189="","",'Bittrex Data'!D189)</f>
        <v/>
      </c>
      <c r="H189" t="str">
        <f>IF('Bittrex Data'!C189="","",IF(Bittrex!C189="Buy",Bittrex!D189,IF(Bittrex!C189="Sale",Bittrex!E189,IF(AND(Bittrex!C189="Trade",'Bittrex Data'!C189="Limit_Sell"),Bittrex!E189,IF(AND(Bittrex!C189="Trade",'Bittrex Data'!C189="Limit_Buy"),Bittrex!D189,"")))))</f>
        <v/>
      </c>
      <c r="I189" t="str">
        <f>IF('Bittrex Data'!C189="","",IF(Bittrex!C189="Buy",F189,IF(C189="Sale",Bittrex!G189,IF(AND(C189="Trade",'Bittrex Data'!C189="Limit_Sell"),Bittrex!G189,IF(AND(Bittrex!C189="Trade",'Bittrex Data'!C189="Limit_Buy"),F189,"")))))</f>
        <v/>
      </c>
      <c r="J189" t="str">
        <f>IF('Bittrex Data'!B189="","",IF('Bittrex Data'!B189="","",IF(Bittrex!H189=Bittrex!E189,D189,Bittrex!E189)))</f>
        <v/>
      </c>
      <c r="K189" t="str">
        <f>IF('Bittrex Data'!B189="","",IF(Bittrex!I189=Bittrex!G189,Bittrex!F189,Bittrex!G189))</f>
        <v/>
      </c>
    </row>
    <row r="190" spans="3:11" x14ac:dyDescent="0.2">
      <c r="C190" t="str">
        <f>IF('Bittrex Data'!A190="","",IF(AND('Bittrex Data'!C190="LIMIT_SELL",Bittrex!D190="USD"),"Sale",IF(AND('Bittrex Data'!C190="LIMIT_BUY",Bittrex!D190="USD"),"Buy","Trade")))</f>
        <v/>
      </c>
      <c r="D190" t="str">
        <f>IF('Bittrex Data'!B190="","",LEFT(LEFT('Bittrex Data'!B190,SEARCH("-",'Bittrex Data'!B190,1)),LEN(LEFT('Bittrex Data'!B190,SEARCH("-",'Bittrex Data'!B190,1)))-1))</f>
        <v/>
      </c>
      <c r="E190" t="str">
        <f>IF('Bittrex Data'!B190="","",RIGHT(RIGHT('Bittrex Data'!B190,LEN('Bittrex Data'!B190)-SEARCH("-",'Bittrex Data'!B190,1)+1),LEN(RIGHT('Bittrex Data'!B190,LEN('Bittrex Data'!B190)-SEARCH("-",'Bittrex Data'!B190,1)+1))-1))</f>
        <v/>
      </c>
      <c r="F190" t="str">
        <f>IF('Bittrex Data'!C190="","",IF('Bittrex Data'!C190="Limit_Sell",'Bittrex Data'!G190-'Bittrex Data'!F190,IF('Bittrex Data'!C190="Limit_Buy",'Bittrex Data'!G190+'Bittrex Data'!F190,"")))</f>
        <v/>
      </c>
      <c r="G190" t="str">
        <f>IF('Bittrex Data'!B190="","",'Bittrex Data'!D190)</f>
        <v/>
      </c>
      <c r="H190" t="str">
        <f>IF('Bittrex Data'!C190="","",IF(Bittrex!C190="Buy",Bittrex!D190,IF(Bittrex!C190="Sale",Bittrex!E190,IF(AND(Bittrex!C190="Trade",'Bittrex Data'!C190="Limit_Sell"),Bittrex!E190,IF(AND(Bittrex!C190="Trade",'Bittrex Data'!C190="Limit_Buy"),Bittrex!D190,"")))))</f>
        <v/>
      </c>
      <c r="I190" t="str">
        <f>IF('Bittrex Data'!C190="","",IF(Bittrex!C190="Buy",F190,IF(C190="Sale",Bittrex!G190,IF(AND(C190="Trade",'Bittrex Data'!C190="Limit_Sell"),Bittrex!G190,IF(AND(Bittrex!C190="Trade",'Bittrex Data'!C190="Limit_Buy"),F190,"")))))</f>
        <v/>
      </c>
      <c r="J190" t="str">
        <f>IF('Bittrex Data'!B190="","",IF('Bittrex Data'!B190="","",IF(Bittrex!H190=Bittrex!E190,D190,Bittrex!E190)))</f>
        <v/>
      </c>
      <c r="K190" t="str">
        <f>IF('Bittrex Data'!B190="","",IF(Bittrex!I190=Bittrex!G190,Bittrex!F190,Bittrex!G190))</f>
        <v/>
      </c>
    </row>
    <row r="191" spans="3:11" x14ac:dyDescent="0.2">
      <c r="C191" t="str">
        <f>IF('Bittrex Data'!A191="","",IF(AND('Bittrex Data'!C191="LIMIT_SELL",Bittrex!D191="USD"),"Sale",IF(AND('Bittrex Data'!C191="LIMIT_BUY",Bittrex!D191="USD"),"Buy","Trade")))</f>
        <v/>
      </c>
      <c r="D191" t="str">
        <f>IF('Bittrex Data'!B191="","",LEFT(LEFT('Bittrex Data'!B191,SEARCH("-",'Bittrex Data'!B191,1)),LEN(LEFT('Bittrex Data'!B191,SEARCH("-",'Bittrex Data'!B191,1)))-1))</f>
        <v/>
      </c>
      <c r="E191" t="str">
        <f>IF('Bittrex Data'!B191="","",RIGHT(RIGHT('Bittrex Data'!B191,LEN('Bittrex Data'!B191)-SEARCH("-",'Bittrex Data'!B191,1)+1),LEN(RIGHT('Bittrex Data'!B191,LEN('Bittrex Data'!B191)-SEARCH("-",'Bittrex Data'!B191,1)+1))-1))</f>
        <v/>
      </c>
      <c r="F191" t="str">
        <f>IF('Bittrex Data'!C191="","",IF('Bittrex Data'!C191="Limit_Sell",'Bittrex Data'!G191-'Bittrex Data'!F191,IF('Bittrex Data'!C191="Limit_Buy",'Bittrex Data'!G191+'Bittrex Data'!F191,"")))</f>
        <v/>
      </c>
      <c r="G191" t="str">
        <f>IF('Bittrex Data'!B191="","",'Bittrex Data'!D191)</f>
        <v/>
      </c>
      <c r="H191" t="str">
        <f>IF('Bittrex Data'!C191="","",IF(Bittrex!C191="Buy",Bittrex!D191,IF(Bittrex!C191="Sale",Bittrex!E191,IF(AND(Bittrex!C191="Trade",'Bittrex Data'!C191="Limit_Sell"),Bittrex!E191,IF(AND(Bittrex!C191="Trade",'Bittrex Data'!C191="Limit_Buy"),Bittrex!D191,"")))))</f>
        <v/>
      </c>
      <c r="I191" t="str">
        <f>IF('Bittrex Data'!C191="","",IF(Bittrex!C191="Buy",F191,IF(C191="Sale",Bittrex!G191,IF(AND(C191="Trade",'Bittrex Data'!C191="Limit_Sell"),Bittrex!G191,IF(AND(Bittrex!C191="Trade",'Bittrex Data'!C191="Limit_Buy"),F191,"")))))</f>
        <v/>
      </c>
      <c r="J191" t="str">
        <f>IF('Bittrex Data'!B191="","",IF('Bittrex Data'!B191="","",IF(Bittrex!H191=Bittrex!E191,D191,Bittrex!E191)))</f>
        <v/>
      </c>
      <c r="K191" t="str">
        <f>IF('Bittrex Data'!B191="","",IF(Bittrex!I191=Bittrex!G191,Bittrex!F191,Bittrex!G191))</f>
        <v/>
      </c>
    </row>
    <row r="192" spans="3:11" x14ac:dyDescent="0.2">
      <c r="C192" t="str">
        <f>IF('Bittrex Data'!A192="","",IF(AND('Bittrex Data'!C192="LIMIT_SELL",Bittrex!D192="USD"),"Sale",IF(AND('Bittrex Data'!C192="LIMIT_BUY",Bittrex!D192="USD"),"Buy","Trade")))</f>
        <v/>
      </c>
      <c r="D192" t="str">
        <f>IF('Bittrex Data'!B192="","",LEFT(LEFT('Bittrex Data'!B192,SEARCH("-",'Bittrex Data'!B192,1)),LEN(LEFT('Bittrex Data'!B192,SEARCH("-",'Bittrex Data'!B192,1)))-1))</f>
        <v/>
      </c>
      <c r="E192" t="str">
        <f>IF('Bittrex Data'!B192="","",RIGHT(RIGHT('Bittrex Data'!B192,LEN('Bittrex Data'!B192)-SEARCH("-",'Bittrex Data'!B192,1)+1),LEN(RIGHT('Bittrex Data'!B192,LEN('Bittrex Data'!B192)-SEARCH("-",'Bittrex Data'!B192,1)+1))-1))</f>
        <v/>
      </c>
      <c r="F192" t="str">
        <f>IF('Bittrex Data'!C192="","",IF('Bittrex Data'!C192="Limit_Sell",'Bittrex Data'!G192-'Bittrex Data'!F192,IF('Bittrex Data'!C192="Limit_Buy",'Bittrex Data'!G192+'Bittrex Data'!F192,"")))</f>
        <v/>
      </c>
      <c r="G192" t="str">
        <f>IF('Bittrex Data'!B192="","",'Bittrex Data'!D192)</f>
        <v/>
      </c>
      <c r="H192" t="str">
        <f>IF('Bittrex Data'!C192="","",IF(Bittrex!C192="Buy",Bittrex!D192,IF(Bittrex!C192="Sale",Bittrex!E192,IF(AND(Bittrex!C192="Trade",'Bittrex Data'!C192="Limit_Sell"),Bittrex!E192,IF(AND(Bittrex!C192="Trade",'Bittrex Data'!C192="Limit_Buy"),Bittrex!D192,"")))))</f>
        <v/>
      </c>
      <c r="I192" t="str">
        <f>IF('Bittrex Data'!C192="","",IF(Bittrex!C192="Buy",F192,IF(C192="Sale",Bittrex!G192,IF(AND(C192="Trade",'Bittrex Data'!C192="Limit_Sell"),Bittrex!G192,IF(AND(Bittrex!C192="Trade",'Bittrex Data'!C192="Limit_Buy"),F192,"")))))</f>
        <v/>
      </c>
      <c r="J192" t="str">
        <f>IF('Bittrex Data'!B192="","",IF('Bittrex Data'!B192="","",IF(Bittrex!H192=Bittrex!E192,D192,Bittrex!E192)))</f>
        <v/>
      </c>
      <c r="K192" t="str">
        <f>IF('Bittrex Data'!B192="","",IF(Bittrex!I192=Bittrex!G192,Bittrex!F192,Bittrex!G192))</f>
        <v/>
      </c>
    </row>
    <row r="193" spans="3:11" x14ac:dyDescent="0.2">
      <c r="C193" t="str">
        <f>IF('Bittrex Data'!A193="","",IF(AND('Bittrex Data'!C193="LIMIT_SELL",Bittrex!D193="USD"),"Sale",IF(AND('Bittrex Data'!C193="LIMIT_BUY",Bittrex!D193="USD"),"Buy","Trade")))</f>
        <v/>
      </c>
      <c r="D193" t="str">
        <f>IF('Bittrex Data'!B193="","",LEFT(LEFT('Bittrex Data'!B193,SEARCH("-",'Bittrex Data'!B193,1)),LEN(LEFT('Bittrex Data'!B193,SEARCH("-",'Bittrex Data'!B193,1)))-1))</f>
        <v/>
      </c>
      <c r="E193" t="str">
        <f>IF('Bittrex Data'!B193="","",RIGHT(RIGHT('Bittrex Data'!B193,LEN('Bittrex Data'!B193)-SEARCH("-",'Bittrex Data'!B193,1)+1),LEN(RIGHT('Bittrex Data'!B193,LEN('Bittrex Data'!B193)-SEARCH("-",'Bittrex Data'!B193,1)+1))-1))</f>
        <v/>
      </c>
      <c r="F193" t="str">
        <f>IF('Bittrex Data'!C193="","",IF('Bittrex Data'!C193="Limit_Sell",'Bittrex Data'!G193-'Bittrex Data'!F193,IF('Bittrex Data'!C193="Limit_Buy",'Bittrex Data'!G193+'Bittrex Data'!F193,"")))</f>
        <v/>
      </c>
      <c r="G193" t="str">
        <f>IF('Bittrex Data'!B193="","",'Bittrex Data'!D193)</f>
        <v/>
      </c>
      <c r="H193" t="str">
        <f>IF('Bittrex Data'!C193="","",IF(Bittrex!C193="Buy",Bittrex!D193,IF(Bittrex!C193="Sale",Bittrex!E193,IF(AND(Bittrex!C193="Trade",'Bittrex Data'!C193="Limit_Sell"),Bittrex!E193,IF(AND(Bittrex!C193="Trade",'Bittrex Data'!C193="Limit_Buy"),Bittrex!D193,"")))))</f>
        <v/>
      </c>
      <c r="I193" t="str">
        <f>IF('Bittrex Data'!C193="","",IF(Bittrex!C193="Buy",F193,IF(C193="Sale",Bittrex!G193,IF(AND(C193="Trade",'Bittrex Data'!C193="Limit_Sell"),Bittrex!G193,IF(AND(Bittrex!C193="Trade",'Bittrex Data'!C193="Limit_Buy"),F193,"")))))</f>
        <v/>
      </c>
      <c r="J193" t="str">
        <f>IF('Bittrex Data'!B193="","",IF('Bittrex Data'!B193="","",IF(Bittrex!H193=Bittrex!E193,D193,Bittrex!E193)))</f>
        <v/>
      </c>
      <c r="K193" t="str">
        <f>IF('Bittrex Data'!B193="","",IF(Bittrex!I193=Bittrex!G193,Bittrex!F193,Bittrex!G193))</f>
        <v/>
      </c>
    </row>
    <row r="194" spans="3:11" x14ac:dyDescent="0.2">
      <c r="C194" t="str">
        <f>IF('Bittrex Data'!A194="","",IF(AND('Bittrex Data'!C194="LIMIT_SELL",Bittrex!D194="USD"),"Sale",IF(AND('Bittrex Data'!C194="LIMIT_BUY",Bittrex!D194="USD"),"Buy","Trade")))</f>
        <v/>
      </c>
      <c r="D194" t="str">
        <f>IF('Bittrex Data'!B194="","",LEFT(LEFT('Bittrex Data'!B194,SEARCH("-",'Bittrex Data'!B194,1)),LEN(LEFT('Bittrex Data'!B194,SEARCH("-",'Bittrex Data'!B194,1)))-1))</f>
        <v/>
      </c>
      <c r="E194" t="str">
        <f>IF('Bittrex Data'!B194="","",RIGHT(RIGHT('Bittrex Data'!B194,LEN('Bittrex Data'!B194)-SEARCH("-",'Bittrex Data'!B194,1)+1),LEN(RIGHT('Bittrex Data'!B194,LEN('Bittrex Data'!B194)-SEARCH("-",'Bittrex Data'!B194,1)+1))-1))</f>
        <v/>
      </c>
      <c r="F194" t="str">
        <f>IF('Bittrex Data'!C194="","",IF('Bittrex Data'!C194="Limit_Sell",'Bittrex Data'!G194-'Bittrex Data'!F194,IF('Bittrex Data'!C194="Limit_Buy",'Bittrex Data'!G194+'Bittrex Data'!F194,"")))</f>
        <v/>
      </c>
      <c r="G194" t="str">
        <f>IF('Bittrex Data'!B194="","",'Bittrex Data'!D194)</f>
        <v/>
      </c>
      <c r="H194" t="str">
        <f>IF('Bittrex Data'!C194="","",IF(Bittrex!C194="Buy",Bittrex!D194,IF(Bittrex!C194="Sale",Bittrex!E194,IF(AND(Bittrex!C194="Trade",'Bittrex Data'!C194="Limit_Sell"),Bittrex!E194,IF(AND(Bittrex!C194="Trade",'Bittrex Data'!C194="Limit_Buy"),Bittrex!D194,"")))))</f>
        <v/>
      </c>
      <c r="I194" t="str">
        <f>IF('Bittrex Data'!C194="","",IF(Bittrex!C194="Buy",F194,IF(C194="Sale",Bittrex!G194,IF(AND(C194="Trade",'Bittrex Data'!C194="Limit_Sell"),Bittrex!G194,IF(AND(Bittrex!C194="Trade",'Bittrex Data'!C194="Limit_Buy"),F194,"")))))</f>
        <v/>
      </c>
      <c r="J194" t="str">
        <f>IF('Bittrex Data'!B194="","",IF('Bittrex Data'!B194="","",IF(Bittrex!H194=Bittrex!E194,D194,Bittrex!E194)))</f>
        <v/>
      </c>
      <c r="K194" t="str">
        <f>IF('Bittrex Data'!B194="","",IF(Bittrex!I194=Bittrex!G194,Bittrex!F194,Bittrex!G194))</f>
        <v/>
      </c>
    </row>
    <row r="195" spans="3:11" x14ac:dyDescent="0.2">
      <c r="C195" t="str">
        <f>IF('Bittrex Data'!A195="","",IF(AND('Bittrex Data'!C195="LIMIT_SELL",Bittrex!D195="USD"),"Sale",IF(AND('Bittrex Data'!C195="LIMIT_BUY",Bittrex!D195="USD"),"Buy","Trade")))</f>
        <v/>
      </c>
      <c r="D195" t="str">
        <f>IF('Bittrex Data'!B195="","",LEFT(LEFT('Bittrex Data'!B195,SEARCH("-",'Bittrex Data'!B195,1)),LEN(LEFT('Bittrex Data'!B195,SEARCH("-",'Bittrex Data'!B195,1)))-1))</f>
        <v/>
      </c>
      <c r="E195" t="str">
        <f>IF('Bittrex Data'!B195="","",RIGHT(RIGHT('Bittrex Data'!B195,LEN('Bittrex Data'!B195)-SEARCH("-",'Bittrex Data'!B195,1)+1),LEN(RIGHT('Bittrex Data'!B195,LEN('Bittrex Data'!B195)-SEARCH("-",'Bittrex Data'!B195,1)+1))-1))</f>
        <v/>
      </c>
      <c r="F195" t="str">
        <f>IF('Bittrex Data'!C195="","",IF('Bittrex Data'!C195="Limit_Sell",'Bittrex Data'!G195-'Bittrex Data'!F195,IF('Bittrex Data'!C195="Limit_Buy",'Bittrex Data'!G195+'Bittrex Data'!F195,"")))</f>
        <v/>
      </c>
      <c r="G195" t="str">
        <f>IF('Bittrex Data'!B195="","",'Bittrex Data'!D195)</f>
        <v/>
      </c>
      <c r="H195" t="str">
        <f>IF('Bittrex Data'!C195="","",IF(Bittrex!C195="Buy",Bittrex!D195,IF(Bittrex!C195="Sale",Bittrex!E195,IF(AND(Bittrex!C195="Trade",'Bittrex Data'!C195="Limit_Sell"),Bittrex!E195,IF(AND(Bittrex!C195="Trade",'Bittrex Data'!C195="Limit_Buy"),Bittrex!D195,"")))))</f>
        <v/>
      </c>
      <c r="I195" t="str">
        <f>IF('Bittrex Data'!C195="","",IF(Bittrex!C195="Buy",F195,IF(C195="Sale",Bittrex!G195,IF(AND(C195="Trade",'Bittrex Data'!C195="Limit_Sell"),Bittrex!G195,IF(AND(Bittrex!C195="Trade",'Bittrex Data'!C195="Limit_Buy"),F195,"")))))</f>
        <v/>
      </c>
      <c r="J195" t="str">
        <f>IF('Bittrex Data'!B195="","",IF('Bittrex Data'!B195="","",IF(Bittrex!H195=Bittrex!E195,D195,Bittrex!E195)))</f>
        <v/>
      </c>
      <c r="K195" t="str">
        <f>IF('Bittrex Data'!B195="","",IF(Bittrex!I195=Bittrex!G195,Bittrex!F195,Bittrex!G195))</f>
        <v/>
      </c>
    </row>
    <row r="196" spans="3:11" x14ac:dyDescent="0.2">
      <c r="C196" t="str">
        <f>IF('Bittrex Data'!A196="","",IF(AND('Bittrex Data'!C196="LIMIT_SELL",Bittrex!D196="USD"),"Sale",IF(AND('Bittrex Data'!C196="LIMIT_BUY",Bittrex!D196="USD"),"Buy","Trade")))</f>
        <v/>
      </c>
      <c r="D196" t="str">
        <f>IF('Bittrex Data'!B196="","",LEFT(LEFT('Bittrex Data'!B196,SEARCH("-",'Bittrex Data'!B196,1)),LEN(LEFT('Bittrex Data'!B196,SEARCH("-",'Bittrex Data'!B196,1)))-1))</f>
        <v/>
      </c>
      <c r="E196" t="str">
        <f>IF('Bittrex Data'!B196="","",RIGHT(RIGHT('Bittrex Data'!B196,LEN('Bittrex Data'!B196)-SEARCH("-",'Bittrex Data'!B196,1)+1),LEN(RIGHT('Bittrex Data'!B196,LEN('Bittrex Data'!B196)-SEARCH("-",'Bittrex Data'!B196,1)+1))-1))</f>
        <v/>
      </c>
      <c r="F196" t="str">
        <f>IF('Bittrex Data'!C196="","",IF('Bittrex Data'!C196="Limit_Sell",'Bittrex Data'!G196-'Bittrex Data'!F196,IF('Bittrex Data'!C196="Limit_Buy",'Bittrex Data'!G196+'Bittrex Data'!F196,"")))</f>
        <v/>
      </c>
      <c r="G196" t="str">
        <f>IF('Bittrex Data'!B196="","",'Bittrex Data'!D196)</f>
        <v/>
      </c>
      <c r="H196" t="str">
        <f>IF('Bittrex Data'!C196="","",IF(Bittrex!C196="Buy",Bittrex!D196,IF(Bittrex!C196="Sale",Bittrex!E196,IF(AND(Bittrex!C196="Trade",'Bittrex Data'!C196="Limit_Sell"),Bittrex!E196,IF(AND(Bittrex!C196="Trade",'Bittrex Data'!C196="Limit_Buy"),Bittrex!D196,"")))))</f>
        <v/>
      </c>
      <c r="I196" t="str">
        <f>IF('Bittrex Data'!C196="","",IF(Bittrex!C196="Buy",F196,IF(C196="Sale",Bittrex!G196,IF(AND(C196="Trade",'Bittrex Data'!C196="Limit_Sell"),Bittrex!G196,IF(AND(Bittrex!C196="Trade",'Bittrex Data'!C196="Limit_Buy"),F196,"")))))</f>
        <v/>
      </c>
      <c r="J196" t="str">
        <f>IF('Bittrex Data'!B196="","",IF('Bittrex Data'!B196="","",IF(Bittrex!H196=Bittrex!E196,D196,Bittrex!E196)))</f>
        <v/>
      </c>
      <c r="K196" t="str">
        <f>IF('Bittrex Data'!B196="","",IF(Bittrex!I196=Bittrex!G196,Bittrex!F196,Bittrex!G196))</f>
        <v/>
      </c>
    </row>
    <row r="197" spans="3:11" x14ac:dyDescent="0.2">
      <c r="C197" t="str">
        <f>IF('Bittrex Data'!A197="","",IF(AND('Bittrex Data'!C197="LIMIT_SELL",Bittrex!D197="USD"),"Sale",IF(AND('Bittrex Data'!C197="LIMIT_BUY",Bittrex!D197="USD"),"Buy","Trade")))</f>
        <v/>
      </c>
      <c r="D197" t="str">
        <f>IF('Bittrex Data'!B197="","",LEFT(LEFT('Bittrex Data'!B197,SEARCH("-",'Bittrex Data'!B197,1)),LEN(LEFT('Bittrex Data'!B197,SEARCH("-",'Bittrex Data'!B197,1)))-1))</f>
        <v/>
      </c>
      <c r="E197" t="str">
        <f>IF('Bittrex Data'!B197="","",RIGHT(RIGHT('Bittrex Data'!B197,LEN('Bittrex Data'!B197)-SEARCH("-",'Bittrex Data'!B197,1)+1),LEN(RIGHT('Bittrex Data'!B197,LEN('Bittrex Data'!B197)-SEARCH("-",'Bittrex Data'!B197,1)+1))-1))</f>
        <v/>
      </c>
      <c r="F197" t="str">
        <f>IF('Bittrex Data'!C197="","",IF('Bittrex Data'!C197="Limit_Sell",'Bittrex Data'!G197-'Bittrex Data'!F197,IF('Bittrex Data'!C197="Limit_Buy",'Bittrex Data'!G197+'Bittrex Data'!F197,"")))</f>
        <v/>
      </c>
      <c r="G197" t="str">
        <f>IF('Bittrex Data'!B197="","",'Bittrex Data'!D197)</f>
        <v/>
      </c>
      <c r="H197" t="str">
        <f>IF('Bittrex Data'!C197="","",IF(Bittrex!C197="Buy",Bittrex!D197,IF(Bittrex!C197="Sale",Bittrex!E197,IF(AND(Bittrex!C197="Trade",'Bittrex Data'!C197="Limit_Sell"),Bittrex!E197,IF(AND(Bittrex!C197="Trade",'Bittrex Data'!C197="Limit_Buy"),Bittrex!D197,"")))))</f>
        <v/>
      </c>
      <c r="I197" t="str">
        <f>IF('Bittrex Data'!C197="","",IF(Bittrex!C197="Buy",F197,IF(C197="Sale",Bittrex!G197,IF(AND(C197="Trade",'Bittrex Data'!C197="Limit_Sell"),Bittrex!G197,IF(AND(Bittrex!C197="Trade",'Bittrex Data'!C197="Limit_Buy"),F197,"")))))</f>
        <v/>
      </c>
      <c r="J197" t="str">
        <f>IF('Bittrex Data'!B197="","",IF('Bittrex Data'!B197="","",IF(Bittrex!H197=Bittrex!E197,D197,Bittrex!E197)))</f>
        <v/>
      </c>
      <c r="K197" t="str">
        <f>IF('Bittrex Data'!B197="","",IF(Bittrex!I197=Bittrex!G197,Bittrex!F197,Bittrex!G197))</f>
        <v/>
      </c>
    </row>
    <row r="198" spans="3:11" x14ac:dyDescent="0.2">
      <c r="C198" t="str">
        <f>IF('Bittrex Data'!A198="","",IF(AND('Bittrex Data'!C198="LIMIT_SELL",Bittrex!D198="USD"),"Sale",IF(AND('Bittrex Data'!C198="LIMIT_BUY",Bittrex!D198="USD"),"Buy","Trade")))</f>
        <v/>
      </c>
      <c r="D198" t="str">
        <f>IF('Bittrex Data'!B198="","",LEFT(LEFT('Bittrex Data'!B198,SEARCH("-",'Bittrex Data'!B198,1)),LEN(LEFT('Bittrex Data'!B198,SEARCH("-",'Bittrex Data'!B198,1)))-1))</f>
        <v/>
      </c>
      <c r="E198" t="str">
        <f>IF('Bittrex Data'!B198="","",RIGHT(RIGHT('Bittrex Data'!B198,LEN('Bittrex Data'!B198)-SEARCH("-",'Bittrex Data'!B198,1)+1),LEN(RIGHT('Bittrex Data'!B198,LEN('Bittrex Data'!B198)-SEARCH("-",'Bittrex Data'!B198,1)+1))-1))</f>
        <v/>
      </c>
      <c r="F198" t="str">
        <f>IF('Bittrex Data'!C198="","",IF('Bittrex Data'!C198="Limit_Sell",'Bittrex Data'!G198-'Bittrex Data'!F198,IF('Bittrex Data'!C198="Limit_Buy",'Bittrex Data'!G198+'Bittrex Data'!F198,"")))</f>
        <v/>
      </c>
      <c r="G198" t="str">
        <f>IF('Bittrex Data'!B198="","",'Bittrex Data'!D198)</f>
        <v/>
      </c>
      <c r="H198" t="str">
        <f>IF('Bittrex Data'!C198="","",IF(Bittrex!C198="Buy",Bittrex!D198,IF(Bittrex!C198="Sale",Bittrex!E198,IF(AND(Bittrex!C198="Trade",'Bittrex Data'!C198="Limit_Sell"),Bittrex!E198,IF(AND(Bittrex!C198="Trade",'Bittrex Data'!C198="Limit_Buy"),Bittrex!D198,"")))))</f>
        <v/>
      </c>
      <c r="I198" t="str">
        <f>IF('Bittrex Data'!C198="","",IF(Bittrex!C198="Buy",F198,IF(C198="Sale",Bittrex!G198,IF(AND(C198="Trade",'Bittrex Data'!C198="Limit_Sell"),Bittrex!G198,IF(AND(Bittrex!C198="Trade",'Bittrex Data'!C198="Limit_Buy"),F198,"")))))</f>
        <v/>
      </c>
      <c r="J198" t="str">
        <f>IF('Bittrex Data'!B198="","",IF('Bittrex Data'!B198="","",IF(Bittrex!H198=Bittrex!E198,D198,Bittrex!E198)))</f>
        <v/>
      </c>
      <c r="K198" t="str">
        <f>IF('Bittrex Data'!B198="","",IF(Bittrex!I198=Bittrex!G198,Bittrex!F198,Bittrex!G198))</f>
        <v/>
      </c>
    </row>
    <row r="199" spans="3:11" x14ac:dyDescent="0.2">
      <c r="C199" t="str">
        <f>IF('Bittrex Data'!A199="","",IF(AND('Bittrex Data'!C199="LIMIT_SELL",Bittrex!D199="USD"),"Sale",IF(AND('Bittrex Data'!C199="LIMIT_BUY",Bittrex!D199="USD"),"Buy","Trade")))</f>
        <v/>
      </c>
      <c r="D199" t="str">
        <f>IF('Bittrex Data'!B199="","",LEFT(LEFT('Bittrex Data'!B199,SEARCH("-",'Bittrex Data'!B199,1)),LEN(LEFT('Bittrex Data'!B199,SEARCH("-",'Bittrex Data'!B199,1)))-1))</f>
        <v/>
      </c>
      <c r="E199" t="str">
        <f>IF('Bittrex Data'!B199="","",RIGHT(RIGHT('Bittrex Data'!B199,LEN('Bittrex Data'!B199)-SEARCH("-",'Bittrex Data'!B199,1)+1),LEN(RIGHT('Bittrex Data'!B199,LEN('Bittrex Data'!B199)-SEARCH("-",'Bittrex Data'!B199,1)+1))-1))</f>
        <v/>
      </c>
      <c r="F199" t="str">
        <f>IF('Bittrex Data'!C199="","",IF('Bittrex Data'!C199="Limit_Sell",'Bittrex Data'!G199-'Bittrex Data'!F199,IF('Bittrex Data'!C199="Limit_Buy",'Bittrex Data'!G199+'Bittrex Data'!F199,"")))</f>
        <v/>
      </c>
      <c r="G199" t="str">
        <f>IF('Bittrex Data'!B199="","",'Bittrex Data'!D199)</f>
        <v/>
      </c>
      <c r="H199" t="str">
        <f>IF('Bittrex Data'!C199="","",IF(Bittrex!C199="Buy",Bittrex!D199,IF(Bittrex!C199="Sale",Bittrex!E199,IF(AND(Bittrex!C199="Trade",'Bittrex Data'!C199="Limit_Sell"),Bittrex!E199,IF(AND(Bittrex!C199="Trade",'Bittrex Data'!C199="Limit_Buy"),Bittrex!D199,"")))))</f>
        <v/>
      </c>
      <c r="I199" t="str">
        <f>IF('Bittrex Data'!C199="","",IF(Bittrex!C199="Buy",F199,IF(C199="Sale",Bittrex!G199,IF(AND(C199="Trade",'Bittrex Data'!C199="Limit_Sell"),Bittrex!G199,IF(AND(Bittrex!C199="Trade",'Bittrex Data'!C199="Limit_Buy"),F199,"")))))</f>
        <v/>
      </c>
      <c r="J199" t="str">
        <f>IF('Bittrex Data'!B199="","",IF('Bittrex Data'!B199="","",IF(Bittrex!H199=Bittrex!E199,D199,Bittrex!E199)))</f>
        <v/>
      </c>
      <c r="K199" t="str">
        <f>IF('Bittrex Data'!B199="","",IF(Bittrex!I199=Bittrex!G199,Bittrex!F199,Bittrex!G199))</f>
        <v/>
      </c>
    </row>
    <row r="200" spans="3:11" x14ac:dyDescent="0.2">
      <c r="C200" t="str">
        <f>IF('Bittrex Data'!A200="","",IF(AND('Bittrex Data'!C200="LIMIT_SELL",Bittrex!D200="USD"),"Sale",IF(AND('Bittrex Data'!C200="LIMIT_BUY",Bittrex!D200="USD"),"Buy","Trade")))</f>
        <v/>
      </c>
      <c r="D200" t="str">
        <f>IF('Bittrex Data'!B200="","",LEFT(LEFT('Bittrex Data'!B200,SEARCH("-",'Bittrex Data'!B200,1)),LEN(LEFT('Bittrex Data'!B200,SEARCH("-",'Bittrex Data'!B200,1)))-1))</f>
        <v/>
      </c>
      <c r="E200" t="str">
        <f>IF('Bittrex Data'!B200="","",RIGHT(RIGHT('Bittrex Data'!B200,LEN('Bittrex Data'!B200)-SEARCH("-",'Bittrex Data'!B200,1)+1),LEN(RIGHT('Bittrex Data'!B200,LEN('Bittrex Data'!B200)-SEARCH("-",'Bittrex Data'!B200,1)+1))-1))</f>
        <v/>
      </c>
      <c r="F200" t="str">
        <f>IF('Bittrex Data'!C200="","",IF('Bittrex Data'!C200="Limit_Sell",'Bittrex Data'!G200-'Bittrex Data'!F200,IF('Bittrex Data'!C200="Limit_Buy",'Bittrex Data'!G200+'Bittrex Data'!F200,"")))</f>
        <v/>
      </c>
      <c r="G200" t="str">
        <f>IF('Bittrex Data'!B200="","",'Bittrex Data'!D200)</f>
        <v/>
      </c>
      <c r="H200" t="str">
        <f>IF('Bittrex Data'!C200="","",IF(Bittrex!C200="Buy",Bittrex!D200,IF(Bittrex!C200="Sale",Bittrex!E200,IF(AND(Bittrex!C200="Trade",'Bittrex Data'!C200="Limit_Sell"),Bittrex!E200,IF(AND(Bittrex!C200="Trade",'Bittrex Data'!C200="Limit_Buy"),Bittrex!D200,"")))))</f>
        <v/>
      </c>
      <c r="I200" t="str">
        <f>IF('Bittrex Data'!C200="","",IF(Bittrex!C200="Buy",F200,IF(C200="Sale",Bittrex!G200,IF(AND(C200="Trade",'Bittrex Data'!C200="Limit_Sell"),Bittrex!G200,IF(AND(Bittrex!C200="Trade",'Bittrex Data'!C200="Limit_Buy"),F200,"")))))</f>
        <v/>
      </c>
      <c r="J200" t="str">
        <f>IF('Bittrex Data'!B200="","",IF('Bittrex Data'!B200="","",IF(Bittrex!H200=Bittrex!E200,D200,Bittrex!E200)))</f>
        <v/>
      </c>
      <c r="K200" t="str">
        <f>IF('Bittrex Data'!B200="","",IF(Bittrex!I200=Bittrex!G200,Bittrex!F200,Bittrex!G200))</f>
        <v/>
      </c>
    </row>
    <row r="201" spans="3:11" x14ac:dyDescent="0.2">
      <c r="C201" t="str">
        <f>IF('Bittrex Data'!A201="","",IF(AND('Bittrex Data'!C201="LIMIT_SELL",Bittrex!D201="USD"),"Sale",IF(AND('Bittrex Data'!C201="LIMIT_BUY",Bittrex!D201="USD"),"Buy","Trade")))</f>
        <v/>
      </c>
      <c r="D201" t="str">
        <f>IF('Bittrex Data'!B201="","",LEFT(LEFT('Bittrex Data'!B201,SEARCH("-",'Bittrex Data'!B201,1)),LEN(LEFT('Bittrex Data'!B201,SEARCH("-",'Bittrex Data'!B201,1)))-1))</f>
        <v/>
      </c>
      <c r="E201" t="str">
        <f>IF('Bittrex Data'!B201="","",RIGHT(RIGHT('Bittrex Data'!B201,LEN('Bittrex Data'!B201)-SEARCH("-",'Bittrex Data'!B201,1)+1),LEN(RIGHT('Bittrex Data'!B201,LEN('Bittrex Data'!B201)-SEARCH("-",'Bittrex Data'!B201,1)+1))-1))</f>
        <v/>
      </c>
      <c r="F201" t="str">
        <f>IF('Bittrex Data'!C201="","",IF('Bittrex Data'!C201="Limit_Sell",'Bittrex Data'!G201-'Bittrex Data'!F201,IF('Bittrex Data'!C201="Limit_Buy",'Bittrex Data'!G201+'Bittrex Data'!F201,"")))</f>
        <v/>
      </c>
      <c r="G201" t="str">
        <f>IF('Bittrex Data'!B201="","",'Bittrex Data'!D201)</f>
        <v/>
      </c>
      <c r="H201" t="str">
        <f>IF('Bittrex Data'!C201="","",IF(Bittrex!C201="Buy",Bittrex!D201,IF(Bittrex!C201="Sale",Bittrex!E201,IF(AND(Bittrex!C201="Trade",'Bittrex Data'!C201="Limit_Sell"),Bittrex!E201,IF(AND(Bittrex!C201="Trade",'Bittrex Data'!C201="Limit_Buy"),Bittrex!D201,"")))))</f>
        <v/>
      </c>
      <c r="I201" t="str">
        <f>IF('Bittrex Data'!C201="","",IF(Bittrex!C201="Buy",F201,IF(C201="Sale",Bittrex!G201,IF(AND(C201="Trade",'Bittrex Data'!C201="Limit_Sell"),Bittrex!G201,IF(AND(Bittrex!C201="Trade",'Bittrex Data'!C201="Limit_Buy"),F201,"")))))</f>
        <v/>
      </c>
      <c r="J201" t="str">
        <f>IF('Bittrex Data'!B201="","",IF('Bittrex Data'!B201="","",IF(Bittrex!H201=Bittrex!E201,D201,Bittrex!E201)))</f>
        <v/>
      </c>
      <c r="K201" t="str">
        <f>IF('Bittrex Data'!B201="","",IF(Bittrex!I201=Bittrex!G201,Bittrex!F201,Bittrex!G201))</f>
        <v/>
      </c>
    </row>
    <row r="202" spans="3:11" x14ac:dyDescent="0.2">
      <c r="C202" t="str">
        <f>IF('Bittrex Data'!A202="","",IF(AND('Bittrex Data'!C202="LIMIT_SELL",Bittrex!D202="USD"),"Sale",IF(AND('Bittrex Data'!C202="LIMIT_BUY",Bittrex!D202="USD"),"Buy","Trade")))</f>
        <v/>
      </c>
      <c r="D202" t="str">
        <f>IF('Bittrex Data'!B202="","",LEFT(LEFT('Bittrex Data'!B202,SEARCH("-",'Bittrex Data'!B202,1)),LEN(LEFT('Bittrex Data'!B202,SEARCH("-",'Bittrex Data'!B202,1)))-1))</f>
        <v/>
      </c>
      <c r="E202" t="str">
        <f>IF('Bittrex Data'!B202="","",RIGHT(RIGHT('Bittrex Data'!B202,LEN('Bittrex Data'!B202)-SEARCH("-",'Bittrex Data'!B202,1)+1),LEN(RIGHT('Bittrex Data'!B202,LEN('Bittrex Data'!B202)-SEARCH("-",'Bittrex Data'!B202,1)+1))-1))</f>
        <v/>
      </c>
      <c r="F202" t="str">
        <f>IF('Bittrex Data'!C202="","",IF('Bittrex Data'!C202="Limit_Sell",'Bittrex Data'!G202-'Bittrex Data'!F202,IF('Bittrex Data'!C202="Limit_Buy",'Bittrex Data'!G202+'Bittrex Data'!F202,"")))</f>
        <v/>
      </c>
      <c r="G202" t="str">
        <f>IF('Bittrex Data'!B202="","",'Bittrex Data'!D202)</f>
        <v/>
      </c>
      <c r="H202" t="str">
        <f>IF('Bittrex Data'!C202="","",IF(Bittrex!C202="Buy",Bittrex!D202,IF(Bittrex!C202="Sale",Bittrex!E202,IF(AND(Bittrex!C202="Trade",'Bittrex Data'!C202="Limit_Sell"),Bittrex!E202,IF(AND(Bittrex!C202="Trade",'Bittrex Data'!C202="Limit_Buy"),Bittrex!D202,"")))))</f>
        <v/>
      </c>
      <c r="I202" t="str">
        <f>IF('Bittrex Data'!C202="","",IF(Bittrex!C202="Buy",F202,IF(C202="Sale",Bittrex!G202,IF(AND(C202="Trade",'Bittrex Data'!C202="Limit_Sell"),Bittrex!G202,IF(AND(Bittrex!C202="Trade",'Bittrex Data'!C202="Limit_Buy"),F202,"")))))</f>
        <v/>
      </c>
      <c r="J202" t="str">
        <f>IF('Bittrex Data'!B202="","",IF('Bittrex Data'!B202="","",IF(Bittrex!H202=Bittrex!E202,D202,Bittrex!E202)))</f>
        <v/>
      </c>
      <c r="K202" t="str">
        <f>IF('Bittrex Data'!B202="","",IF(Bittrex!I202=Bittrex!G202,Bittrex!F202,Bittrex!G202))</f>
        <v/>
      </c>
    </row>
    <row r="203" spans="3:11" x14ac:dyDescent="0.2">
      <c r="C203" t="str">
        <f>IF('Bittrex Data'!A203="","",IF(AND('Bittrex Data'!C203="LIMIT_SELL",Bittrex!D203="USD"),"Sale",IF(AND('Bittrex Data'!C203="LIMIT_BUY",Bittrex!D203="USD"),"Buy","Trade")))</f>
        <v/>
      </c>
      <c r="D203" t="str">
        <f>IF('Bittrex Data'!B203="","",LEFT(LEFT('Bittrex Data'!B203,SEARCH("-",'Bittrex Data'!B203,1)),LEN(LEFT('Bittrex Data'!B203,SEARCH("-",'Bittrex Data'!B203,1)))-1))</f>
        <v/>
      </c>
      <c r="E203" t="str">
        <f>IF('Bittrex Data'!B203="","",RIGHT(RIGHT('Bittrex Data'!B203,LEN('Bittrex Data'!B203)-SEARCH("-",'Bittrex Data'!B203,1)+1),LEN(RIGHT('Bittrex Data'!B203,LEN('Bittrex Data'!B203)-SEARCH("-",'Bittrex Data'!B203,1)+1))-1))</f>
        <v/>
      </c>
      <c r="F203" t="str">
        <f>IF('Bittrex Data'!C203="","",IF('Bittrex Data'!C203="Limit_Sell",'Bittrex Data'!G203-'Bittrex Data'!F203,IF('Bittrex Data'!C203="Limit_Buy",'Bittrex Data'!G203+'Bittrex Data'!F203,"")))</f>
        <v/>
      </c>
      <c r="G203" t="str">
        <f>IF('Bittrex Data'!B203="","",'Bittrex Data'!D203)</f>
        <v/>
      </c>
      <c r="H203" t="str">
        <f>IF('Bittrex Data'!C203="","",IF(Bittrex!C203="Buy",Bittrex!D203,IF(Bittrex!C203="Sale",Bittrex!E203,IF(AND(Bittrex!C203="Trade",'Bittrex Data'!C203="Limit_Sell"),Bittrex!E203,IF(AND(Bittrex!C203="Trade",'Bittrex Data'!C203="Limit_Buy"),Bittrex!D203,"")))))</f>
        <v/>
      </c>
      <c r="I203" t="str">
        <f>IF('Bittrex Data'!C203="","",IF(Bittrex!C203="Buy",F203,IF(C203="Sale",Bittrex!G203,IF(AND(C203="Trade",'Bittrex Data'!C203="Limit_Sell"),Bittrex!G203,IF(AND(Bittrex!C203="Trade",'Bittrex Data'!C203="Limit_Buy"),F203,"")))))</f>
        <v/>
      </c>
      <c r="J203" t="str">
        <f>IF('Bittrex Data'!B203="","",IF('Bittrex Data'!B203="","",IF(Bittrex!H203=Bittrex!E203,D203,Bittrex!E203)))</f>
        <v/>
      </c>
      <c r="K203" t="str">
        <f>IF('Bittrex Data'!B203="","",IF(Bittrex!I203=Bittrex!G203,Bittrex!F203,Bittrex!G203))</f>
        <v/>
      </c>
    </row>
    <row r="204" spans="3:11" x14ac:dyDescent="0.2">
      <c r="C204" t="str">
        <f>IF('Bittrex Data'!A204="","",IF(AND('Bittrex Data'!C204="LIMIT_SELL",Bittrex!D204="USD"),"Sale",IF(AND('Bittrex Data'!C204="LIMIT_BUY",Bittrex!D204="USD"),"Buy","Trade")))</f>
        <v/>
      </c>
      <c r="D204" t="str">
        <f>IF('Bittrex Data'!B204="","",LEFT(LEFT('Bittrex Data'!B204,SEARCH("-",'Bittrex Data'!B204,1)),LEN(LEFT('Bittrex Data'!B204,SEARCH("-",'Bittrex Data'!B204,1)))-1))</f>
        <v/>
      </c>
      <c r="E204" t="str">
        <f>IF('Bittrex Data'!B204="","",RIGHT(RIGHT('Bittrex Data'!B204,LEN('Bittrex Data'!B204)-SEARCH("-",'Bittrex Data'!B204,1)+1),LEN(RIGHT('Bittrex Data'!B204,LEN('Bittrex Data'!B204)-SEARCH("-",'Bittrex Data'!B204,1)+1))-1))</f>
        <v/>
      </c>
      <c r="F204" t="str">
        <f>IF('Bittrex Data'!C204="","",IF('Bittrex Data'!C204="Limit_Sell",'Bittrex Data'!G204-'Bittrex Data'!F204,IF('Bittrex Data'!C204="Limit_Buy",'Bittrex Data'!G204+'Bittrex Data'!F204,"")))</f>
        <v/>
      </c>
      <c r="G204" t="str">
        <f>IF('Bittrex Data'!B204="","",'Bittrex Data'!D204)</f>
        <v/>
      </c>
      <c r="H204" t="str">
        <f>IF('Bittrex Data'!C204="","",IF(Bittrex!C204="Buy",Bittrex!D204,IF(Bittrex!C204="Sale",Bittrex!E204,IF(AND(Bittrex!C204="Trade",'Bittrex Data'!C204="Limit_Sell"),Bittrex!E204,IF(AND(Bittrex!C204="Trade",'Bittrex Data'!C204="Limit_Buy"),Bittrex!D204,"")))))</f>
        <v/>
      </c>
      <c r="I204" t="str">
        <f>IF('Bittrex Data'!C204="","",IF(Bittrex!C204="Buy",F204,IF(C204="Sale",Bittrex!G204,IF(AND(C204="Trade",'Bittrex Data'!C204="Limit_Sell"),Bittrex!G204,IF(AND(Bittrex!C204="Trade",'Bittrex Data'!C204="Limit_Buy"),F204,"")))))</f>
        <v/>
      </c>
      <c r="J204" t="str">
        <f>IF('Bittrex Data'!B204="","",IF('Bittrex Data'!B204="","",IF(Bittrex!H204=Bittrex!E204,D204,Bittrex!E204)))</f>
        <v/>
      </c>
      <c r="K204" t="str">
        <f>IF('Bittrex Data'!B204="","",IF(Bittrex!I204=Bittrex!G204,Bittrex!F204,Bittrex!G204))</f>
        <v/>
      </c>
    </row>
    <row r="205" spans="3:11" x14ac:dyDescent="0.2">
      <c r="C205" t="str">
        <f>IF('Bittrex Data'!A205="","",IF(AND('Bittrex Data'!C205="LIMIT_SELL",Bittrex!D205="USD"),"Sale",IF(AND('Bittrex Data'!C205="LIMIT_BUY",Bittrex!D205="USD"),"Buy","Trade")))</f>
        <v/>
      </c>
      <c r="D205" t="str">
        <f>IF('Bittrex Data'!B205="","",LEFT(LEFT('Bittrex Data'!B205,SEARCH("-",'Bittrex Data'!B205,1)),LEN(LEFT('Bittrex Data'!B205,SEARCH("-",'Bittrex Data'!B205,1)))-1))</f>
        <v/>
      </c>
      <c r="E205" t="str">
        <f>IF('Bittrex Data'!B205="","",RIGHT(RIGHT('Bittrex Data'!B205,LEN('Bittrex Data'!B205)-SEARCH("-",'Bittrex Data'!B205,1)+1),LEN(RIGHT('Bittrex Data'!B205,LEN('Bittrex Data'!B205)-SEARCH("-",'Bittrex Data'!B205,1)+1))-1))</f>
        <v/>
      </c>
      <c r="F205" t="str">
        <f>IF('Bittrex Data'!C205="","",IF('Bittrex Data'!C205="Limit_Sell",'Bittrex Data'!G205-'Bittrex Data'!F205,IF('Bittrex Data'!C205="Limit_Buy",'Bittrex Data'!G205+'Bittrex Data'!F205,"")))</f>
        <v/>
      </c>
      <c r="G205" t="str">
        <f>IF('Bittrex Data'!B205="","",'Bittrex Data'!D205)</f>
        <v/>
      </c>
      <c r="H205" t="str">
        <f>IF('Bittrex Data'!C205="","",IF(Bittrex!C205="Buy",Bittrex!D205,IF(Bittrex!C205="Sale",Bittrex!E205,IF(AND(Bittrex!C205="Trade",'Bittrex Data'!C205="Limit_Sell"),Bittrex!E205,IF(AND(Bittrex!C205="Trade",'Bittrex Data'!C205="Limit_Buy"),Bittrex!D205,"")))))</f>
        <v/>
      </c>
      <c r="I205" t="str">
        <f>IF('Bittrex Data'!C205="","",IF(Bittrex!C205="Buy",F205,IF(C205="Sale",Bittrex!G205,IF(AND(C205="Trade",'Bittrex Data'!C205="Limit_Sell"),Bittrex!G205,IF(AND(Bittrex!C205="Trade",'Bittrex Data'!C205="Limit_Buy"),F205,"")))))</f>
        <v/>
      </c>
      <c r="J205" t="str">
        <f>IF('Bittrex Data'!B205="","",IF('Bittrex Data'!B205="","",IF(Bittrex!H205=Bittrex!E205,D205,Bittrex!E205)))</f>
        <v/>
      </c>
      <c r="K205" t="str">
        <f>IF('Bittrex Data'!B205="","",IF(Bittrex!I205=Bittrex!G205,Bittrex!F205,Bittrex!G205))</f>
        <v/>
      </c>
    </row>
    <row r="206" spans="3:11" x14ac:dyDescent="0.2">
      <c r="C206" t="str">
        <f>IF('Bittrex Data'!A206="","",IF(AND('Bittrex Data'!C206="LIMIT_SELL",Bittrex!D206="USD"),"Sale",IF(AND('Bittrex Data'!C206="LIMIT_BUY",Bittrex!D206="USD"),"Buy","Trade")))</f>
        <v/>
      </c>
      <c r="D206" t="str">
        <f>IF('Bittrex Data'!B206="","",LEFT(LEFT('Bittrex Data'!B206,SEARCH("-",'Bittrex Data'!B206,1)),LEN(LEFT('Bittrex Data'!B206,SEARCH("-",'Bittrex Data'!B206,1)))-1))</f>
        <v/>
      </c>
      <c r="E206" t="str">
        <f>IF('Bittrex Data'!B206="","",RIGHT(RIGHT('Bittrex Data'!B206,LEN('Bittrex Data'!B206)-SEARCH("-",'Bittrex Data'!B206,1)+1),LEN(RIGHT('Bittrex Data'!B206,LEN('Bittrex Data'!B206)-SEARCH("-",'Bittrex Data'!B206,1)+1))-1))</f>
        <v/>
      </c>
      <c r="F206" t="str">
        <f>IF('Bittrex Data'!C206="","",IF('Bittrex Data'!C206="Limit_Sell",'Bittrex Data'!G206-'Bittrex Data'!F206,IF('Bittrex Data'!C206="Limit_Buy",'Bittrex Data'!G206+'Bittrex Data'!F206,"")))</f>
        <v/>
      </c>
      <c r="G206" t="str">
        <f>IF('Bittrex Data'!B206="","",'Bittrex Data'!D206)</f>
        <v/>
      </c>
      <c r="H206" t="str">
        <f>IF('Bittrex Data'!C206="","",IF(Bittrex!C206="Buy",Bittrex!D206,IF(Bittrex!C206="Sale",Bittrex!E206,IF(AND(Bittrex!C206="Trade",'Bittrex Data'!C206="Limit_Sell"),Bittrex!E206,IF(AND(Bittrex!C206="Trade",'Bittrex Data'!C206="Limit_Buy"),Bittrex!D206,"")))))</f>
        <v/>
      </c>
      <c r="I206" t="str">
        <f>IF('Bittrex Data'!C206="","",IF(Bittrex!C206="Buy",F206,IF(C206="Sale",Bittrex!G206,IF(AND(C206="Trade",'Bittrex Data'!C206="Limit_Sell"),Bittrex!G206,IF(AND(Bittrex!C206="Trade",'Bittrex Data'!C206="Limit_Buy"),F206,"")))))</f>
        <v/>
      </c>
      <c r="J206" t="str">
        <f>IF('Bittrex Data'!B206="","",IF('Bittrex Data'!B206="","",IF(Bittrex!H206=Bittrex!E206,D206,Bittrex!E206)))</f>
        <v/>
      </c>
      <c r="K206" t="str">
        <f>IF('Bittrex Data'!B206="","",IF(Bittrex!I206=Bittrex!G206,Bittrex!F206,Bittrex!G206))</f>
        <v/>
      </c>
    </row>
    <row r="207" spans="3:11" x14ac:dyDescent="0.2">
      <c r="C207" t="str">
        <f>IF('Bittrex Data'!A207="","",IF(AND('Bittrex Data'!C207="LIMIT_SELL",Bittrex!D207="USD"),"Sale",IF(AND('Bittrex Data'!C207="LIMIT_BUY",Bittrex!D207="USD"),"Buy","Trade")))</f>
        <v/>
      </c>
      <c r="D207" t="str">
        <f>IF('Bittrex Data'!B207="","",LEFT(LEFT('Bittrex Data'!B207,SEARCH("-",'Bittrex Data'!B207,1)),LEN(LEFT('Bittrex Data'!B207,SEARCH("-",'Bittrex Data'!B207,1)))-1))</f>
        <v/>
      </c>
      <c r="E207" t="str">
        <f>IF('Bittrex Data'!B207="","",RIGHT(RIGHT('Bittrex Data'!B207,LEN('Bittrex Data'!B207)-SEARCH("-",'Bittrex Data'!B207,1)+1),LEN(RIGHT('Bittrex Data'!B207,LEN('Bittrex Data'!B207)-SEARCH("-",'Bittrex Data'!B207,1)+1))-1))</f>
        <v/>
      </c>
      <c r="F207" t="str">
        <f>IF('Bittrex Data'!C207="","",IF('Bittrex Data'!C207="Limit_Sell",'Bittrex Data'!G207-'Bittrex Data'!F207,IF('Bittrex Data'!C207="Limit_Buy",'Bittrex Data'!G207+'Bittrex Data'!F207,"")))</f>
        <v/>
      </c>
      <c r="G207" t="str">
        <f>IF('Bittrex Data'!B207="","",'Bittrex Data'!D207)</f>
        <v/>
      </c>
      <c r="H207" t="str">
        <f>IF('Bittrex Data'!C207="","",IF(Bittrex!C207="Buy",Bittrex!D207,IF(Bittrex!C207="Sale",Bittrex!E207,IF(AND(Bittrex!C207="Trade",'Bittrex Data'!C207="Limit_Sell"),Bittrex!E207,IF(AND(Bittrex!C207="Trade",'Bittrex Data'!C207="Limit_Buy"),Bittrex!D207,"")))))</f>
        <v/>
      </c>
      <c r="I207" t="str">
        <f>IF('Bittrex Data'!C207="","",IF(Bittrex!C207="Buy",F207,IF(C207="Sale",Bittrex!G207,IF(AND(C207="Trade",'Bittrex Data'!C207="Limit_Sell"),Bittrex!G207,IF(AND(Bittrex!C207="Trade",'Bittrex Data'!C207="Limit_Buy"),F207,"")))))</f>
        <v/>
      </c>
      <c r="J207" t="str">
        <f>IF('Bittrex Data'!B207="","",IF('Bittrex Data'!B207="","",IF(Bittrex!H207=Bittrex!E207,D207,Bittrex!E207)))</f>
        <v/>
      </c>
      <c r="K207" t="str">
        <f>IF('Bittrex Data'!B207="","",IF(Bittrex!I207=Bittrex!G207,Bittrex!F207,Bittrex!G207))</f>
        <v/>
      </c>
    </row>
    <row r="208" spans="3:11" x14ac:dyDescent="0.2">
      <c r="C208" t="str">
        <f>IF('Bittrex Data'!A208="","",IF(AND('Bittrex Data'!C208="LIMIT_SELL",Bittrex!D208="USD"),"Sale",IF(AND('Bittrex Data'!C208="LIMIT_BUY",Bittrex!D208="USD"),"Buy","Trade")))</f>
        <v/>
      </c>
      <c r="D208" t="str">
        <f>IF('Bittrex Data'!B208="","",LEFT(LEFT('Bittrex Data'!B208,SEARCH("-",'Bittrex Data'!B208,1)),LEN(LEFT('Bittrex Data'!B208,SEARCH("-",'Bittrex Data'!B208,1)))-1))</f>
        <v/>
      </c>
      <c r="E208" t="str">
        <f>IF('Bittrex Data'!B208="","",RIGHT(RIGHT('Bittrex Data'!B208,LEN('Bittrex Data'!B208)-SEARCH("-",'Bittrex Data'!B208,1)+1),LEN(RIGHT('Bittrex Data'!B208,LEN('Bittrex Data'!B208)-SEARCH("-",'Bittrex Data'!B208,1)+1))-1))</f>
        <v/>
      </c>
      <c r="F208" t="str">
        <f>IF('Bittrex Data'!C208="","",IF('Bittrex Data'!C208="Limit_Sell",'Bittrex Data'!G208-'Bittrex Data'!F208,IF('Bittrex Data'!C208="Limit_Buy",'Bittrex Data'!G208+'Bittrex Data'!F208,"")))</f>
        <v/>
      </c>
      <c r="G208" t="str">
        <f>IF('Bittrex Data'!B208="","",'Bittrex Data'!D208)</f>
        <v/>
      </c>
      <c r="H208" t="str">
        <f>IF('Bittrex Data'!C208="","",IF(Bittrex!C208="Buy",Bittrex!D208,IF(Bittrex!C208="Sale",Bittrex!E208,IF(AND(Bittrex!C208="Trade",'Bittrex Data'!C208="Limit_Sell"),Bittrex!E208,IF(AND(Bittrex!C208="Trade",'Bittrex Data'!C208="Limit_Buy"),Bittrex!D208,"")))))</f>
        <v/>
      </c>
      <c r="I208" t="str">
        <f>IF('Bittrex Data'!C208="","",IF(Bittrex!C208="Buy",F208,IF(C208="Sale",Bittrex!G208,IF(AND(C208="Trade",'Bittrex Data'!C208="Limit_Sell"),Bittrex!G208,IF(AND(Bittrex!C208="Trade",'Bittrex Data'!C208="Limit_Buy"),F208,"")))))</f>
        <v/>
      </c>
      <c r="J208" t="str">
        <f>IF('Bittrex Data'!B208="","",IF('Bittrex Data'!B208="","",IF(Bittrex!H208=Bittrex!E208,D208,Bittrex!E208)))</f>
        <v/>
      </c>
      <c r="K208" t="str">
        <f>IF('Bittrex Data'!B208="","",IF(Bittrex!I208=Bittrex!G208,Bittrex!F208,Bittrex!G208))</f>
        <v/>
      </c>
    </row>
    <row r="209" spans="3:11" x14ac:dyDescent="0.2">
      <c r="C209" t="str">
        <f>IF('Bittrex Data'!A209="","",IF(AND('Bittrex Data'!C209="LIMIT_SELL",Bittrex!D209="USD"),"Sale",IF(AND('Bittrex Data'!C209="LIMIT_BUY",Bittrex!D209="USD"),"Buy","Trade")))</f>
        <v/>
      </c>
      <c r="D209" t="str">
        <f>IF('Bittrex Data'!B209="","",LEFT(LEFT('Bittrex Data'!B209,SEARCH("-",'Bittrex Data'!B209,1)),LEN(LEFT('Bittrex Data'!B209,SEARCH("-",'Bittrex Data'!B209,1)))-1))</f>
        <v/>
      </c>
      <c r="E209" t="str">
        <f>IF('Bittrex Data'!B209="","",RIGHT(RIGHT('Bittrex Data'!B209,LEN('Bittrex Data'!B209)-SEARCH("-",'Bittrex Data'!B209,1)+1),LEN(RIGHT('Bittrex Data'!B209,LEN('Bittrex Data'!B209)-SEARCH("-",'Bittrex Data'!B209,1)+1))-1))</f>
        <v/>
      </c>
      <c r="F209" t="str">
        <f>IF('Bittrex Data'!C209="","",IF('Bittrex Data'!C209="Limit_Sell",'Bittrex Data'!G209-'Bittrex Data'!F209,IF('Bittrex Data'!C209="Limit_Buy",'Bittrex Data'!G209+'Bittrex Data'!F209,"")))</f>
        <v/>
      </c>
      <c r="G209" t="str">
        <f>IF('Bittrex Data'!B209="","",'Bittrex Data'!D209)</f>
        <v/>
      </c>
      <c r="H209" t="str">
        <f>IF('Bittrex Data'!C209="","",IF(Bittrex!C209="Buy",Bittrex!D209,IF(Bittrex!C209="Sale",Bittrex!E209,IF(AND(Bittrex!C209="Trade",'Bittrex Data'!C209="Limit_Sell"),Bittrex!E209,IF(AND(Bittrex!C209="Trade",'Bittrex Data'!C209="Limit_Buy"),Bittrex!D209,"")))))</f>
        <v/>
      </c>
      <c r="I209" t="str">
        <f>IF('Bittrex Data'!C209="","",IF(Bittrex!C209="Buy",F209,IF(C209="Sale",Bittrex!G209,IF(AND(C209="Trade",'Bittrex Data'!C209="Limit_Sell"),Bittrex!G209,IF(AND(Bittrex!C209="Trade",'Bittrex Data'!C209="Limit_Buy"),F209,"")))))</f>
        <v/>
      </c>
      <c r="J209" t="str">
        <f>IF('Bittrex Data'!B209="","",IF('Bittrex Data'!B209="","",IF(Bittrex!H209=Bittrex!E209,D209,Bittrex!E209)))</f>
        <v/>
      </c>
      <c r="K209" t="str">
        <f>IF('Bittrex Data'!B209="","",IF(Bittrex!I209=Bittrex!G209,Bittrex!F209,Bittrex!G209))</f>
        <v/>
      </c>
    </row>
    <row r="210" spans="3:11" x14ac:dyDescent="0.2">
      <c r="C210" t="str">
        <f>IF('Bittrex Data'!A210="","",IF(AND('Bittrex Data'!C210="LIMIT_SELL",Bittrex!D210="USD"),"Sale",IF(AND('Bittrex Data'!C210="LIMIT_BUY",Bittrex!D210="USD"),"Buy","Trade")))</f>
        <v/>
      </c>
      <c r="D210" t="str">
        <f>IF('Bittrex Data'!B210="","",LEFT(LEFT('Bittrex Data'!B210,SEARCH("-",'Bittrex Data'!B210,1)),LEN(LEFT('Bittrex Data'!B210,SEARCH("-",'Bittrex Data'!B210,1)))-1))</f>
        <v/>
      </c>
      <c r="E210" t="str">
        <f>IF('Bittrex Data'!B210="","",RIGHT(RIGHT('Bittrex Data'!B210,LEN('Bittrex Data'!B210)-SEARCH("-",'Bittrex Data'!B210,1)+1),LEN(RIGHT('Bittrex Data'!B210,LEN('Bittrex Data'!B210)-SEARCH("-",'Bittrex Data'!B210,1)+1))-1))</f>
        <v/>
      </c>
      <c r="F210" t="str">
        <f>IF('Bittrex Data'!C210="","",IF('Bittrex Data'!C210="Limit_Sell",'Bittrex Data'!G210-'Bittrex Data'!F210,IF('Bittrex Data'!C210="Limit_Buy",'Bittrex Data'!G210+'Bittrex Data'!F210,"")))</f>
        <v/>
      </c>
      <c r="G210" t="str">
        <f>IF('Bittrex Data'!B210="","",'Bittrex Data'!D210)</f>
        <v/>
      </c>
      <c r="H210" t="str">
        <f>IF('Bittrex Data'!C210="","",IF(Bittrex!C210="Buy",Bittrex!D210,IF(Bittrex!C210="Sale",Bittrex!E210,IF(AND(Bittrex!C210="Trade",'Bittrex Data'!C210="Limit_Sell"),Bittrex!E210,IF(AND(Bittrex!C210="Trade",'Bittrex Data'!C210="Limit_Buy"),Bittrex!D210,"")))))</f>
        <v/>
      </c>
      <c r="I210" t="str">
        <f>IF('Bittrex Data'!C210="","",IF(Bittrex!C210="Buy",F210,IF(C210="Sale",Bittrex!G210,IF(AND(C210="Trade",'Bittrex Data'!C210="Limit_Sell"),Bittrex!G210,IF(AND(Bittrex!C210="Trade",'Bittrex Data'!C210="Limit_Buy"),F210,"")))))</f>
        <v/>
      </c>
      <c r="J210" t="str">
        <f>IF('Bittrex Data'!B210="","",IF('Bittrex Data'!B210="","",IF(Bittrex!H210=Bittrex!E210,D210,Bittrex!E210)))</f>
        <v/>
      </c>
      <c r="K210" t="str">
        <f>IF('Bittrex Data'!B210="","",IF(Bittrex!I210=Bittrex!G210,Bittrex!F210,Bittrex!G210))</f>
        <v/>
      </c>
    </row>
    <row r="211" spans="3:11" x14ac:dyDescent="0.2">
      <c r="C211" t="str">
        <f>IF('Bittrex Data'!A211="","",IF(AND('Bittrex Data'!C211="LIMIT_SELL",Bittrex!D211="USD"),"Sale",IF(AND('Bittrex Data'!C211="LIMIT_BUY",Bittrex!D211="USD"),"Buy","Trade")))</f>
        <v/>
      </c>
      <c r="D211" t="str">
        <f>IF('Bittrex Data'!B211="","",LEFT(LEFT('Bittrex Data'!B211,SEARCH("-",'Bittrex Data'!B211,1)),LEN(LEFT('Bittrex Data'!B211,SEARCH("-",'Bittrex Data'!B211,1)))-1))</f>
        <v/>
      </c>
      <c r="E211" t="str">
        <f>IF('Bittrex Data'!B211="","",RIGHT(RIGHT('Bittrex Data'!B211,LEN('Bittrex Data'!B211)-SEARCH("-",'Bittrex Data'!B211,1)+1),LEN(RIGHT('Bittrex Data'!B211,LEN('Bittrex Data'!B211)-SEARCH("-",'Bittrex Data'!B211,1)+1))-1))</f>
        <v/>
      </c>
      <c r="F211" t="str">
        <f>IF('Bittrex Data'!C211="","",IF('Bittrex Data'!C211="Limit_Sell",'Bittrex Data'!G211-'Bittrex Data'!F211,IF('Bittrex Data'!C211="Limit_Buy",'Bittrex Data'!G211+'Bittrex Data'!F211,"")))</f>
        <v/>
      </c>
      <c r="G211" t="str">
        <f>IF('Bittrex Data'!B211="","",'Bittrex Data'!D211)</f>
        <v/>
      </c>
      <c r="H211" t="str">
        <f>IF('Bittrex Data'!C211="","",IF(Bittrex!C211="Buy",Bittrex!D211,IF(Bittrex!C211="Sale",Bittrex!E211,IF(AND(Bittrex!C211="Trade",'Bittrex Data'!C211="Limit_Sell"),Bittrex!E211,IF(AND(Bittrex!C211="Trade",'Bittrex Data'!C211="Limit_Buy"),Bittrex!D211,"")))))</f>
        <v/>
      </c>
      <c r="I211" t="str">
        <f>IF('Bittrex Data'!C211="","",IF(Bittrex!C211="Buy",F211,IF(C211="Sale",Bittrex!G211,IF(AND(C211="Trade",'Bittrex Data'!C211="Limit_Sell"),Bittrex!G211,IF(AND(Bittrex!C211="Trade",'Bittrex Data'!C211="Limit_Buy"),F211,"")))))</f>
        <v/>
      </c>
      <c r="J211" t="str">
        <f>IF('Bittrex Data'!B211="","",IF('Bittrex Data'!B211="","",IF(Bittrex!H211=Bittrex!E211,D211,Bittrex!E211)))</f>
        <v/>
      </c>
      <c r="K211" t="str">
        <f>IF('Bittrex Data'!B211="","",IF(Bittrex!I211=Bittrex!G211,Bittrex!F211,Bittrex!G211))</f>
        <v/>
      </c>
    </row>
    <row r="212" spans="3:11" x14ac:dyDescent="0.2">
      <c r="C212" t="str">
        <f>IF('Bittrex Data'!A212="","",IF(AND('Bittrex Data'!C212="LIMIT_SELL",Bittrex!D212="USD"),"Sale",IF(AND('Bittrex Data'!C212="LIMIT_BUY",Bittrex!D212="USD"),"Buy","Trade")))</f>
        <v/>
      </c>
      <c r="D212" t="str">
        <f>IF('Bittrex Data'!B212="","",LEFT(LEFT('Bittrex Data'!B212,SEARCH("-",'Bittrex Data'!B212,1)),LEN(LEFT('Bittrex Data'!B212,SEARCH("-",'Bittrex Data'!B212,1)))-1))</f>
        <v/>
      </c>
      <c r="E212" t="str">
        <f>IF('Bittrex Data'!B212="","",RIGHT(RIGHT('Bittrex Data'!B212,LEN('Bittrex Data'!B212)-SEARCH("-",'Bittrex Data'!B212,1)+1),LEN(RIGHT('Bittrex Data'!B212,LEN('Bittrex Data'!B212)-SEARCH("-",'Bittrex Data'!B212,1)+1))-1))</f>
        <v/>
      </c>
      <c r="F212" t="str">
        <f>IF('Bittrex Data'!C212="","",IF('Bittrex Data'!C212="Limit_Sell",'Bittrex Data'!G212-'Bittrex Data'!F212,IF('Bittrex Data'!C212="Limit_Buy",'Bittrex Data'!G212+'Bittrex Data'!F212,"")))</f>
        <v/>
      </c>
      <c r="G212" t="str">
        <f>IF('Bittrex Data'!B212="","",'Bittrex Data'!D212)</f>
        <v/>
      </c>
      <c r="H212" t="str">
        <f>IF('Bittrex Data'!C212="","",IF(Bittrex!C212="Buy",Bittrex!D212,IF(Bittrex!C212="Sale",Bittrex!E212,IF(AND(Bittrex!C212="Trade",'Bittrex Data'!C212="Limit_Sell"),Bittrex!E212,IF(AND(Bittrex!C212="Trade",'Bittrex Data'!C212="Limit_Buy"),Bittrex!D212,"")))))</f>
        <v/>
      </c>
      <c r="I212" t="str">
        <f>IF('Bittrex Data'!C212="","",IF(Bittrex!C212="Buy",F212,IF(C212="Sale",Bittrex!G212,IF(AND(C212="Trade",'Bittrex Data'!C212="Limit_Sell"),Bittrex!G212,IF(AND(Bittrex!C212="Trade",'Bittrex Data'!C212="Limit_Buy"),F212,"")))))</f>
        <v/>
      </c>
      <c r="J212" t="str">
        <f>IF('Bittrex Data'!B212="","",IF('Bittrex Data'!B212="","",IF(Bittrex!H212=Bittrex!E212,D212,Bittrex!E212)))</f>
        <v/>
      </c>
      <c r="K212" t="str">
        <f>IF('Bittrex Data'!B212="","",IF(Bittrex!I212=Bittrex!G212,Bittrex!F212,Bittrex!G212))</f>
        <v/>
      </c>
    </row>
    <row r="213" spans="3:11" x14ac:dyDescent="0.2">
      <c r="C213" t="str">
        <f>IF('Bittrex Data'!A213="","",IF(AND('Bittrex Data'!C213="LIMIT_SELL",Bittrex!D213="USD"),"Sale",IF(AND('Bittrex Data'!C213="LIMIT_BUY",Bittrex!D213="USD"),"Buy","Trade")))</f>
        <v/>
      </c>
      <c r="D213" t="str">
        <f>IF('Bittrex Data'!B213="","",LEFT(LEFT('Bittrex Data'!B213,SEARCH("-",'Bittrex Data'!B213,1)),LEN(LEFT('Bittrex Data'!B213,SEARCH("-",'Bittrex Data'!B213,1)))-1))</f>
        <v/>
      </c>
      <c r="E213" t="str">
        <f>IF('Bittrex Data'!B213="","",RIGHT(RIGHT('Bittrex Data'!B213,LEN('Bittrex Data'!B213)-SEARCH("-",'Bittrex Data'!B213,1)+1),LEN(RIGHT('Bittrex Data'!B213,LEN('Bittrex Data'!B213)-SEARCH("-",'Bittrex Data'!B213,1)+1))-1))</f>
        <v/>
      </c>
      <c r="F213" t="str">
        <f>IF('Bittrex Data'!C213="","",IF('Bittrex Data'!C213="Limit_Sell",'Bittrex Data'!G213-'Bittrex Data'!F213,IF('Bittrex Data'!C213="Limit_Buy",'Bittrex Data'!G213+'Bittrex Data'!F213,"")))</f>
        <v/>
      </c>
      <c r="G213" t="str">
        <f>IF('Bittrex Data'!B213="","",'Bittrex Data'!D213)</f>
        <v/>
      </c>
      <c r="H213" t="str">
        <f>IF('Bittrex Data'!C213="","",IF(Bittrex!C213="Buy",Bittrex!D213,IF(Bittrex!C213="Sale",Bittrex!E213,IF(AND(Bittrex!C213="Trade",'Bittrex Data'!C213="Limit_Sell"),Bittrex!E213,IF(AND(Bittrex!C213="Trade",'Bittrex Data'!C213="Limit_Buy"),Bittrex!D213,"")))))</f>
        <v/>
      </c>
      <c r="I213" t="str">
        <f>IF('Bittrex Data'!C213="","",IF(Bittrex!C213="Buy",F213,IF(C213="Sale",Bittrex!G213,IF(AND(C213="Trade",'Bittrex Data'!C213="Limit_Sell"),Bittrex!G213,IF(AND(Bittrex!C213="Trade",'Bittrex Data'!C213="Limit_Buy"),F213,"")))))</f>
        <v/>
      </c>
      <c r="J213" t="str">
        <f>IF('Bittrex Data'!B213="","",IF('Bittrex Data'!B213="","",IF(Bittrex!H213=Bittrex!E213,D213,Bittrex!E213)))</f>
        <v/>
      </c>
      <c r="K213" t="str">
        <f>IF('Bittrex Data'!B213="","",IF(Bittrex!I213=Bittrex!G213,Bittrex!F213,Bittrex!G213))</f>
        <v/>
      </c>
    </row>
    <row r="214" spans="3:11" x14ac:dyDescent="0.2">
      <c r="C214" t="str">
        <f>IF('Bittrex Data'!A214="","",IF(AND('Bittrex Data'!C214="LIMIT_SELL",Bittrex!D214="USD"),"Sale",IF(AND('Bittrex Data'!C214="LIMIT_BUY",Bittrex!D214="USD"),"Buy","Trade")))</f>
        <v/>
      </c>
      <c r="D214" t="str">
        <f>IF('Bittrex Data'!B214="","",LEFT(LEFT('Bittrex Data'!B214,SEARCH("-",'Bittrex Data'!B214,1)),LEN(LEFT('Bittrex Data'!B214,SEARCH("-",'Bittrex Data'!B214,1)))-1))</f>
        <v/>
      </c>
      <c r="E214" t="str">
        <f>IF('Bittrex Data'!B214="","",RIGHT(RIGHT('Bittrex Data'!B214,LEN('Bittrex Data'!B214)-SEARCH("-",'Bittrex Data'!B214,1)+1),LEN(RIGHT('Bittrex Data'!B214,LEN('Bittrex Data'!B214)-SEARCH("-",'Bittrex Data'!B214,1)+1))-1))</f>
        <v/>
      </c>
      <c r="F214" t="str">
        <f>IF('Bittrex Data'!C214="","",IF('Bittrex Data'!C214="Limit_Sell",'Bittrex Data'!G214-'Bittrex Data'!F214,IF('Bittrex Data'!C214="Limit_Buy",'Bittrex Data'!G214+'Bittrex Data'!F214,"")))</f>
        <v/>
      </c>
      <c r="G214" t="str">
        <f>IF('Bittrex Data'!B214="","",'Bittrex Data'!D214)</f>
        <v/>
      </c>
      <c r="H214" t="str">
        <f>IF('Bittrex Data'!C214="","",IF(Bittrex!C214="Buy",Bittrex!D214,IF(Bittrex!C214="Sale",Bittrex!E214,IF(AND(Bittrex!C214="Trade",'Bittrex Data'!C214="Limit_Sell"),Bittrex!E214,IF(AND(Bittrex!C214="Trade",'Bittrex Data'!C214="Limit_Buy"),Bittrex!D214,"")))))</f>
        <v/>
      </c>
      <c r="I214" t="str">
        <f>IF('Bittrex Data'!C214="","",IF(Bittrex!C214="Buy",F214,IF(C214="Sale",Bittrex!G214,IF(AND(C214="Trade",'Bittrex Data'!C214="Limit_Sell"),Bittrex!G214,IF(AND(Bittrex!C214="Trade",'Bittrex Data'!C214="Limit_Buy"),F214,"")))))</f>
        <v/>
      </c>
      <c r="J214" t="str">
        <f>IF('Bittrex Data'!B214="","",IF('Bittrex Data'!B214="","",IF(Bittrex!H214=Bittrex!E214,D214,Bittrex!E214)))</f>
        <v/>
      </c>
      <c r="K214" t="str">
        <f>IF('Bittrex Data'!B214="","",IF(Bittrex!I214=Bittrex!G214,Bittrex!F214,Bittrex!G214))</f>
        <v/>
      </c>
    </row>
    <row r="215" spans="3:11" x14ac:dyDescent="0.2">
      <c r="C215" t="str">
        <f>IF('Bittrex Data'!A215="","",IF(AND('Bittrex Data'!C215="LIMIT_SELL",Bittrex!D215="USD"),"Sale",IF(AND('Bittrex Data'!C215="LIMIT_BUY",Bittrex!D215="USD"),"Buy","Trade")))</f>
        <v/>
      </c>
      <c r="D215" t="str">
        <f>IF('Bittrex Data'!B215="","",LEFT(LEFT('Bittrex Data'!B215,SEARCH("-",'Bittrex Data'!B215,1)),LEN(LEFT('Bittrex Data'!B215,SEARCH("-",'Bittrex Data'!B215,1)))-1))</f>
        <v/>
      </c>
      <c r="E215" t="str">
        <f>IF('Bittrex Data'!B215="","",RIGHT(RIGHT('Bittrex Data'!B215,LEN('Bittrex Data'!B215)-SEARCH("-",'Bittrex Data'!B215,1)+1),LEN(RIGHT('Bittrex Data'!B215,LEN('Bittrex Data'!B215)-SEARCH("-",'Bittrex Data'!B215,1)+1))-1))</f>
        <v/>
      </c>
      <c r="F215" t="str">
        <f>IF('Bittrex Data'!C215="","",IF('Bittrex Data'!C215="Limit_Sell",'Bittrex Data'!G215-'Bittrex Data'!F215,IF('Bittrex Data'!C215="Limit_Buy",'Bittrex Data'!G215+'Bittrex Data'!F215,"")))</f>
        <v/>
      </c>
      <c r="G215" t="str">
        <f>IF('Bittrex Data'!B215="","",'Bittrex Data'!D215)</f>
        <v/>
      </c>
      <c r="H215" t="str">
        <f>IF('Bittrex Data'!C215="","",IF(Bittrex!C215="Buy",Bittrex!D215,IF(Bittrex!C215="Sale",Bittrex!E215,IF(AND(Bittrex!C215="Trade",'Bittrex Data'!C215="Limit_Sell"),Bittrex!E215,IF(AND(Bittrex!C215="Trade",'Bittrex Data'!C215="Limit_Buy"),Bittrex!D215,"")))))</f>
        <v/>
      </c>
      <c r="I215" t="str">
        <f>IF('Bittrex Data'!C215="","",IF(Bittrex!C215="Buy",F215,IF(C215="Sale",Bittrex!G215,IF(AND(C215="Trade",'Bittrex Data'!C215="Limit_Sell"),Bittrex!G215,IF(AND(Bittrex!C215="Trade",'Bittrex Data'!C215="Limit_Buy"),F215,"")))))</f>
        <v/>
      </c>
      <c r="J215" t="str">
        <f>IF('Bittrex Data'!B215="","",IF('Bittrex Data'!B215="","",IF(Bittrex!H215=Bittrex!E215,D215,Bittrex!E215)))</f>
        <v/>
      </c>
      <c r="K215" t="str">
        <f>IF('Bittrex Data'!B215="","",IF(Bittrex!I215=Bittrex!G215,Bittrex!F215,Bittrex!G215))</f>
        <v/>
      </c>
    </row>
    <row r="216" spans="3:11" x14ac:dyDescent="0.2">
      <c r="C216" t="str">
        <f>IF('Bittrex Data'!A216="","",IF(AND('Bittrex Data'!C216="LIMIT_SELL",Bittrex!D216="USD"),"Sale",IF(AND('Bittrex Data'!C216="LIMIT_BUY",Bittrex!D216="USD"),"Buy","Trade")))</f>
        <v/>
      </c>
      <c r="D216" t="str">
        <f>IF('Bittrex Data'!B216="","",LEFT(LEFT('Bittrex Data'!B216,SEARCH("-",'Bittrex Data'!B216,1)),LEN(LEFT('Bittrex Data'!B216,SEARCH("-",'Bittrex Data'!B216,1)))-1))</f>
        <v/>
      </c>
      <c r="E216" t="str">
        <f>IF('Bittrex Data'!B216="","",RIGHT(RIGHT('Bittrex Data'!B216,LEN('Bittrex Data'!B216)-SEARCH("-",'Bittrex Data'!B216,1)+1),LEN(RIGHT('Bittrex Data'!B216,LEN('Bittrex Data'!B216)-SEARCH("-",'Bittrex Data'!B216,1)+1))-1))</f>
        <v/>
      </c>
      <c r="F216" t="str">
        <f>IF('Bittrex Data'!C216="","",IF('Bittrex Data'!C216="Limit_Sell",'Bittrex Data'!G216-'Bittrex Data'!F216,IF('Bittrex Data'!C216="Limit_Buy",'Bittrex Data'!G216+'Bittrex Data'!F216,"")))</f>
        <v/>
      </c>
      <c r="G216" t="str">
        <f>IF('Bittrex Data'!B216="","",'Bittrex Data'!D216)</f>
        <v/>
      </c>
      <c r="H216" t="str">
        <f>IF('Bittrex Data'!C216="","",IF(Bittrex!C216="Buy",Bittrex!D216,IF(Bittrex!C216="Sale",Bittrex!E216,IF(AND(Bittrex!C216="Trade",'Bittrex Data'!C216="Limit_Sell"),Bittrex!E216,IF(AND(Bittrex!C216="Trade",'Bittrex Data'!C216="Limit_Buy"),Bittrex!D216,"")))))</f>
        <v/>
      </c>
      <c r="I216" t="str">
        <f>IF('Bittrex Data'!C216="","",IF(Bittrex!C216="Buy",F216,IF(C216="Sale",Bittrex!G216,IF(AND(C216="Trade",'Bittrex Data'!C216="Limit_Sell"),Bittrex!G216,IF(AND(Bittrex!C216="Trade",'Bittrex Data'!C216="Limit_Buy"),F216,"")))))</f>
        <v/>
      </c>
      <c r="J216" t="str">
        <f>IF('Bittrex Data'!B216="","",IF('Bittrex Data'!B216="","",IF(Bittrex!H216=Bittrex!E216,D216,Bittrex!E216)))</f>
        <v/>
      </c>
      <c r="K216" t="str">
        <f>IF('Bittrex Data'!B216="","",IF(Bittrex!I216=Bittrex!G216,Bittrex!F216,Bittrex!G216))</f>
        <v/>
      </c>
    </row>
    <row r="217" spans="3:11" x14ac:dyDescent="0.2">
      <c r="C217" t="str">
        <f>IF('Bittrex Data'!A217="","",IF(AND('Bittrex Data'!C217="LIMIT_SELL",Bittrex!D217="USD"),"Sale",IF(AND('Bittrex Data'!C217="LIMIT_BUY",Bittrex!D217="USD"),"Buy","Trade")))</f>
        <v/>
      </c>
      <c r="D217" t="str">
        <f>IF('Bittrex Data'!B217="","",LEFT(LEFT('Bittrex Data'!B217,SEARCH("-",'Bittrex Data'!B217,1)),LEN(LEFT('Bittrex Data'!B217,SEARCH("-",'Bittrex Data'!B217,1)))-1))</f>
        <v/>
      </c>
      <c r="E217" t="str">
        <f>IF('Bittrex Data'!B217="","",RIGHT(RIGHT('Bittrex Data'!B217,LEN('Bittrex Data'!B217)-SEARCH("-",'Bittrex Data'!B217,1)+1),LEN(RIGHT('Bittrex Data'!B217,LEN('Bittrex Data'!B217)-SEARCH("-",'Bittrex Data'!B217,1)+1))-1))</f>
        <v/>
      </c>
      <c r="F217" t="str">
        <f>IF('Bittrex Data'!C217="","",IF('Bittrex Data'!C217="Limit_Sell",'Bittrex Data'!G217-'Bittrex Data'!F217,IF('Bittrex Data'!C217="Limit_Buy",'Bittrex Data'!G217+'Bittrex Data'!F217,"")))</f>
        <v/>
      </c>
      <c r="G217" t="str">
        <f>IF('Bittrex Data'!B217="","",'Bittrex Data'!D217)</f>
        <v/>
      </c>
      <c r="H217" t="str">
        <f>IF('Bittrex Data'!C217="","",IF(Bittrex!C217="Buy",Bittrex!D217,IF(Bittrex!C217="Sale",Bittrex!E217,IF(AND(Bittrex!C217="Trade",'Bittrex Data'!C217="Limit_Sell"),Bittrex!E217,IF(AND(Bittrex!C217="Trade",'Bittrex Data'!C217="Limit_Buy"),Bittrex!D217,"")))))</f>
        <v/>
      </c>
      <c r="I217" t="str">
        <f>IF('Bittrex Data'!C217="","",IF(Bittrex!C217="Buy",F217,IF(C217="Sale",Bittrex!G217,IF(AND(C217="Trade",'Bittrex Data'!C217="Limit_Sell"),Bittrex!G217,IF(AND(Bittrex!C217="Trade",'Bittrex Data'!C217="Limit_Buy"),F217,"")))))</f>
        <v/>
      </c>
      <c r="J217" t="str">
        <f>IF('Bittrex Data'!B217="","",IF('Bittrex Data'!B217="","",IF(Bittrex!H217=Bittrex!E217,D217,Bittrex!E217)))</f>
        <v/>
      </c>
      <c r="K217" t="str">
        <f>IF('Bittrex Data'!B217="","",IF(Bittrex!I217=Bittrex!G217,Bittrex!F217,Bittrex!G217))</f>
        <v/>
      </c>
    </row>
    <row r="218" spans="3:11" x14ac:dyDescent="0.2">
      <c r="C218" t="str">
        <f>IF('Bittrex Data'!A218="","",IF(AND('Bittrex Data'!C218="LIMIT_SELL",Bittrex!D218="USD"),"Sale",IF(AND('Bittrex Data'!C218="LIMIT_BUY",Bittrex!D218="USD"),"Buy","Trade")))</f>
        <v/>
      </c>
      <c r="D218" t="str">
        <f>IF('Bittrex Data'!B218="","",LEFT(LEFT('Bittrex Data'!B218,SEARCH("-",'Bittrex Data'!B218,1)),LEN(LEFT('Bittrex Data'!B218,SEARCH("-",'Bittrex Data'!B218,1)))-1))</f>
        <v/>
      </c>
      <c r="E218" t="str">
        <f>IF('Bittrex Data'!B218="","",RIGHT(RIGHT('Bittrex Data'!B218,LEN('Bittrex Data'!B218)-SEARCH("-",'Bittrex Data'!B218,1)+1),LEN(RIGHT('Bittrex Data'!B218,LEN('Bittrex Data'!B218)-SEARCH("-",'Bittrex Data'!B218,1)+1))-1))</f>
        <v/>
      </c>
      <c r="F218" t="str">
        <f>IF('Bittrex Data'!C218="","",IF('Bittrex Data'!C218="Limit_Sell",'Bittrex Data'!G218-'Bittrex Data'!F218,IF('Bittrex Data'!C218="Limit_Buy",'Bittrex Data'!G218+'Bittrex Data'!F218,"")))</f>
        <v/>
      </c>
      <c r="G218" t="str">
        <f>IF('Bittrex Data'!B218="","",'Bittrex Data'!D218)</f>
        <v/>
      </c>
      <c r="H218" t="str">
        <f>IF('Bittrex Data'!C218="","",IF(Bittrex!C218="Buy",Bittrex!D218,IF(Bittrex!C218="Sale",Bittrex!E218,IF(AND(Bittrex!C218="Trade",'Bittrex Data'!C218="Limit_Sell"),Bittrex!E218,IF(AND(Bittrex!C218="Trade",'Bittrex Data'!C218="Limit_Buy"),Bittrex!D218,"")))))</f>
        <v/>
      </c>
      <c r="I218" t="str">
        <f>IF('Bittrex Data'!C218="","",IF(Bittrex!C218="Buy",F218,IF(C218="Sale",Bittrex!G218,IF(AND(C218="Trade",'Bittrex Data'!C218="Limit_Sell"),Bittrex!G218,IF(AND(Bittrex!C218="Trade",'Bittrex Data'!C218="Limit_Buy"),F218,"")))))</f>
        <v/>
      </c>
      <c r="J218" t="str">
        <f>IF('Bittrex Data'!B218="","",IF('Bittrex Data'!B218="","",IF(Bittrex!H218=Bittrex!E218,D218,Bittrex!E218)))</f>
        <v/>
      </c>
      <c r="K218" t="str">
        <f>IF('Bittrex Data'!B218="","",IF(Bittrex!I218=Bittrex!G218,Bittrex!F218,Bittrex!G218))</f>
        <v/>
      </c>
    </row>
    <row r="219" spans="3:11" x14ac:dyDescent="0.2">
      <c r="C219" t="str">
        <f>IF('Bittrex Data'!A219="","",IF(AND('Bittrex Data'!C219="LIMIT_SELL",Bittrex!D219="USD"),"Sale",IF(AND('Bittrex Data'!C219="LIMIT_BUY",Bittrex!D219="USD"),"Buy","Trade")))</f>
        <v/>
      </c>
      <c r="D219" t="str">
        <f>IF('Bittrex Data'!B219="","",LEFT(LEFT('Bittrex Data'!B219,SEARCH("-",'Bittrex Data'!B219,1)),LEN(LEFT('Bittrex Data'!B219,SEARCH("-",'Bittrex Data'!B219,1)))-1))</f>
        <v/>
      </c>
      <c r="E219" t="str">
        <f>IF('Bittrex Data'!B219="","",RIGHT(RIGHT('Bittrex Data'!B219,LEN('Bittrex Data'!B219)-SEARCH("-",'Bittrex Data'!B219,1)+1),LEN(RIGHT('Bittrex Data'!B219,LEN('Bittrex Data'!B219)-SEARCH("-",'Bittrex Data'!B219,1)+1))-1))</f>
        <v/>
      </c>
      <c r="F219" t="str">
        <f>IF('Bittrex Data'!C219="","",IF('Bittrex Data'!C219="Limit_Sell",'Bittrex Data'!G219-'Bittrex Data'!F219,IF('Bittrex Data'!C219="Limit_Buy",'Bittrex Data'!G219+'Bittrex Data'!F219,"")))</f>
        <v/>
      </c>
      <c r="G219" t="str">
        <f>IF('Bittrex Data'!B219="","",'Bittrex Data'!D219)</f>
        <v/>
      </c>
      <c r="H219" t="str">
        <f>IF('Bittrex Data'!C219="","",IF(Bittrex!C219="Buy",Bittrex!D219,IF(Bittrex!C219="Sale",Bittrex!E219,IF(AND(Bittrex!C219="Trade",'Bittrex Data'!C219="Limit_Sell"),Bittrex!E219,IF(AND(Bittrex!C219="Trade",'Bittrex Data'!C219="Limit_Buy"),Bittrex!D219,"")))))</f>
        <v/>
      </c>
      <c r="I219" t="str">
        <f>IF('Bittrex Data'!C219="","",IF(Bittrex!C219="Buy",F219,IF(C219="Sale",Bittrex!G219,IF(AND(C219="Trade",'Bittrex Data'!C219="Limit_Sell"),Bittrex!G219,IF(AND(Bittrex!C219="Trade",'Bittrex Data'!C219="Limit_Buy"),F219,"")))))</f>
        <v/>
      </c>
      <c r="J219" t="str">
        <f>IF('Bittrex Data'!B219="","",IF('Bittrex Data'!B219="","",IF(Bittrex!H219=Bittrex!E219,D219,Bittrex!E219)))</f>
        <v/>
      </c>
      <c r="K219" t="str">
        <f>IF('Bittrex Data'!B219="","",IF(Bittrex!I219=Bittrex!G219,Bittrex!F219,Bittrex!G219))</f>
        <v/>
      </c>
    </row>
    <row r="220" spans="3:11" x14ac:dyDescent="0.2">
      <c r="C220" t="str">
        <f>IF('Bittrex Data'!A220="","",IF(AND('Bittrex Data'!C220="LIMIT_SELL",Bittrex!D220="USD"),"Sale",IF(AND('Bittrex Data'!C220="LIMIT_BUY",Bittrex!D220="USD"),"Buy","Trade")))</f>
        <v/>
      </c>
      <c r="D220" t="str">
        <f>IF('Bittrex Data'!B220="","",LEFT(LEFT('Bittrex Data'!B220,SEARCH("-",'Bittrex Data'!B220,1)),LEN(LEFT('Bittrex Data'!B220,SEARCH("-",'Bittrex Data'!B220,1)))-1))</f>
        <v/>
      </c>
      <c r="E220" t="str">
        <f>IF('Bittrex Data'!B220="","",RIGHT(RIGHT('Bittrex Data'!B220,LEN('Bittrex Data'!B220)-SEARCH("-",'Bittrex Data'!B220,1)+1),LEN(RIGHT('Bittrex Data'!B220,LEN('Bittrex Data'!B220)-SEARCH("-",'Bittrex Data'!B220,1)+1))-1))</f>
        <v/>
      </c>
      <c r="F220" t="str">
        <f>IF('Bittrex Data'!C220="","",IF('Bittrex Data'!C220="Limit_Sell",'Bittrex Data'!G220-'Bittrex Data'!F220,IF('Bittrex Data'!C220="Limit_Buy",'Bittrex Data'!G220+'Bittrex Data'!F220,"")))</f>
        <v/>
      </c>
      <c r="G220" t="str">
        <f>IF('Bittrex Data'!B220="","",'Bittrex Data'!D220)</f>
        <v/>
      </c>
      <c r="H220" t="str">
        <f>IF('Bittrex Data'!C220="","",IF(Bittrex!C220="Buy",Bittrex!D220,IF(Bittrex!C220="Sale",Bittrex!E220,IF(AND(Bittrex!C220="Trade",'Bittrex Data'!C220="Limit_Sell"),Bittrex!E220,IF(AND(Bittrex!C220="Trade",'Bittrex Data'!C220="Limit_Buy"),Bittrex!D220,"")))))</f>
        <v/>
      </c>
      <c r="I220" t="str">
        <f>IF('Bittrex Data'!C220="","",IF(Bittrex!C220="Buy",F220,IF(C220="Sale",Bittrex!G220,IF(AND(C220="Trade",'Bittrex Data'!C220="Limit_Sell"),Bittrex!G220,IF(AND(Bittrex!C220="Trade",'Bittrex Data'!C220="Limit_Buy"),F220,"")))))</f>
        <v/>
      </c>
      <c r="J220" t="str">
        <f>IF('Bittrex Data'!B220="","",IF('Bittrex Data'!B220="","",IF(Bittrex!H220=Bittrex!E220,D220,Bittrex!E220)))</f>
        <v/>
      </c>
      <c r="K220" t="str">
        <f>IF('Bittrex Data'!B220="","",IF(Bittrex!I220=Bittrex!G220,Bittrex!F220,Bittrex!G220))</f>
        <v/>
      </c>
    </row>
    <row r="221" spans="3:11" x14ac:dyDescent="0.2">
      <c r="C221" t="str">
        <f>IF('Bittrex Data'!A221="","",IF(AND('Bittrex Data'!C221="LIMIT_SELL",Bittrex!D221="USD"),"Sale",IF(AND('Bittrex Data'!C221="LIMIT_BUY",Bittrex!D221="USD"),"Buy","Trade")))</f>
        <v/>
      </c>
      <c r="D221" t="str">
        <f>IF('Bittrex Data'!B221="","",LEFT(LEFT('Bittrex Data'!B221,SEARCH("-",'Bittrex Data'!B221,1)),LEN(LEFT('Bittrex Data'!B221,SEARCH("-",'Bittrex Data'!B221,1)))-1))</f>
        <v/>
      </c>
      <c r="E221" t="str">
        <f>IF('Bittrex Data'!B221="","",RIGHT(RIGHT('Bittrex Data'!B221,LEN('Bittrex Data'!B221)-SEARCH("-",'Bittrex Data'!B221,1)+1),LEN(RIGHT('Bittrex Data'!B221,LEN('Bittrex Data'!B221)-SEARCH("-",'Bittrex Data'!B221,1)+1))-1))</f>
        <v/>
      </c>
      <c r="F221" t="str">
        <f>IF('Bittrex Data'!C221="","",IF('Bittrex Data'!C221="Limit_Sell",'Bittrex Data'!G221-'Bittrex Data'!F221,IF('Bittrex Data'!C221="Limit_Buy",'Bittrex Data'!G221+'Bittrex Data'!F221,"")))</f>
        <v/>
      </c>
      <c r="G221" t="str">
        <f>IF('Bittrex Data'!B221="","",'Bittrex Data'!D221)</f>
        <v/>
      </c>
      <c r="H221" t="str">
        <f>IF('Bittrex Data'!C221="","",IF(Bittrex!C221="Buy",Bittrex!D221,IF(Bittrex!C221="Sale",Bittrex!E221,IF(AND(Bittrex!C221="Trade",'Bittrex Data'!C221="Limit_Sell"),Bittrex!E221,IF(AND(Bittrex!C221="Trade",'Bittrex Data'!C221="Limit_Buy"),Bittrex!D221,"")))))</f>
        <v/>
      </c>
      <c r="I221" t="str">
        <f>IF('Bittrex Data'!C221="","",IF(Bittrex!C221="Buy",F221,IF(C221="Sale",Bittrex!G221,IF(AND(C221="Trade",'Bittrex Data'!C221="Limit_Sell"),Bittrex!G221,IF(AND(Bittrex!C221="Trade",'Bittrex Data'!C221="Limit_Buy"),F221,"")))))</f>
        <v/>
      </c>
      <c r="J221" t="str">
        <f>IF('Bittrex Data'!B221="","",IF('Bittrex Data'!B221="","",IF(Bittrex!H221=Bittrex!E221,D221,Bittrex!E221)))</f>
        <v/>
      </c>
      <c r="K221" t="str">
        <f>IF('Bittrex Data'!B221="","",IF(Bittrex!I221=Bittrex!G221,Bittrex!F221,Bittrex!G221))</f>
        <v/>
      </c>
    </row>
    <row r="222" spans="3:11" x14ac:dyDescent="0.2">
      <c r="C222" t="str">
        <f>IF('Bittrex Data'!A222="","",IF(AND('Bittrex Data'!C222="LIMIT_SELL",Bittrex!D222="USD"),"Sale",IF(AND('Bittrex Data'!C222="LIMIT_BUY",Bittrex!D222="USD"),"Buy","Trade")))</f>
        <v/>
      </c>
      <c r="D222" t="str">
        <f>IF('Bittrex Data'!B222="","",LEFT(LEFT('Bittrex Data'!B222,SEARCH("-",'Bittrex Data'!B222,1)),LEN(LEFT('Bittrex Data'!B222,SEARCH("-",'Bittrex Data'!B222,1)))-1))</f>
        <v/>
      </c>
      <c r="E222" t="str">
        <f>IF('Bittrex Data'!B222="","",RIGHT(RIGHT('Bittrex Data'!B222,LEN('Bittrex Data'!B222)-SEARCH("-",'Bittrex Data'!B222,1)+1),LEN(RIGHT('Bittrex Data'!B222,LEN('Bittrex Data'!B222)-SEARCH("-",'Bittrex Data'!B222,1)+1))-1))</f>
        <v/>
      </c>
      <c r="F222" t="str">
        <f>IF('Bittrex Data'!C222="","",IF('Bittrex Data'!C222="Limit_Sell",'Bittrex Data'!G222-'Bittrex Data'!F222,IF('Bittrex Data'!C222="Limit_Buy",'Bittrex Data'!G222+'Bittrex Data'!F222,"")))</f>
        <v/>
      </c>
      <c r="G222" t="str">
        <f>IF('Bittrex Data'!B222="","",'Bittrex Data'!D222)</f>
        <v/>
      </c>
      <c r="H222" t="str">
        <f>IF('Bittrex Data'!C222="","",IF(Bittrex!C222="Buy",Bittrex!D222,IF(Bittrex!C222="Sale",Bittrex!E222,IF(AND(Bittrex!C222="Trade",'Bittrex Data'!C222="Limit_Sell"),Bittrex!E222,IF(AND(Bittrex!C222="Trade",'Bittrex Data'!C222="Limit_Buy"),Bittrex!D222,"")))))</f>
        <v/>
      </c>
      <c r="I222" t="str">
        <f>IF('Bittrex Data'!C222="","",IF(Bittrex!C222="Buy",F222,IF(C222="Sale",Bittrex!G222,IF(AND(C222="Trade",'Bittrex Data'!C222="Limit_Sell"),Bittrex!G222,IF(AND(Bittrex!C222="Trade",'Bittrex Data'!C222="Limit_Buy"),F222,"")))))</f>
        <v/>
      </c>
      <c r="J222" t="str">
        <f>IF('Bittrex Data'!B222="","",IF('Bittrex Data'!B222="","",IF(Bittrex!H222=Bittrex!E222,D222,Bittrex!E222)))</f>
        <v/>
      </c>
      <c r="K222" t="str">
        <f>IF('Bittrex Data'!B222="","",IF(Bittrex!I222=Bittrex!G222,Bittrex!F222,Bittrex!G222))</f>
        <v/>
      </c>
    </row>
    <row r="223" spans="3:11" x14ac:dyDescent="0.2">
      <c r="C223" t="str">
        <f>IF('Bittrex Data'!A223="","",IF(AND('Bittrex Data'!C223="LIMIT_SELL",Bittrex!D223="USD"),"Sale",IF(AND('Bittrex Data'!C223="LIMIT_BUY",Bittrex!D223="USD"),"Buy","Trade")))</f>
        <v/>
      </c>
      <c r="D223" t="str">
        <f>IF('Bittrex Data'!B223="","",LEFT(LEFT('Bittrex Data'!B223,SEARCH("-",'Bittrex Data'!B223,1)),LEN(LEFT('Bittrex Data'!B223,SEARCH("-",'Bittrex Data'!B223,1)))-1))</f>
        <v/>
      </c>
      <c r="E223" t="str">
        <f>IF('Bittrex Data'!B223="","",RIGHT(RIGHT('Bittrex Data'!B223,LEN('Bittrex Data'!B223)-SEARCH("-",'Bittrex Data'!B223,1)+1),LEN(RIGHT('Bittrex Data'!B223,LEN('Bittrex Data'!B223)-SEARCH("-",'Bittrex Data'!B223,1)+1))-1))</f>
        <v/>
      </c>
      <c r="F223" t="str">
        <f>IF('Bittrex Data'!C223="","",IF('Bittrex Data'!C223="Limit_Sell",'Bittrex Data'!G223-'Bittrex Data'!F223,IF('Bittrex Data'!C223="Limit_Buy",'Bittrex Data'!G223+'Bittrex Data'!F223,"")))</f>
        <v/>
      </c>
      <c r="G223" t="str">
        <f>IF('Bittrex Data'!B223="","",'Bittrex Data'!D223)</f>
        <v/>
      </c>
      <c r="H223" t="str">
        <f>IF('Bittrex Data'!C223="","",IF(Bittrex!C223="Buy",Bittrex!D223,IF(Bittrex!C223="Sale",Bittrex!E223,IF(AND(Bittrex!C223="Trade",'Bittrex Data'!C223="Limit_Sell"),Bittrex!E223,IF(AND(Bittrex!C223="Trade",'Bittrex Data'!C223="Limit_Buy"),Bittrex!D223,"")))))</f>
        <v/>
      </c>
      <c r="I223" t="str">
        <f>IF('Bittrex Data'!C223="","",IF(Bittrex!C223="Buy",F223,IF(C223="Sale",Bittrex!G223,IF(AND(C223="Trade",'Bittrex Data'!C223="Limit_Sell"),Bittrex!G223,IF(AND(Bittrex!C223="Trade",'Bittrex Data'!C223="Limit_Buy"),F223,"")))))</f>
        <v/>
      </c>
      <c r="J223" t="str">
        <f>IF('Bittrex Data'!B223="","",IF('Bittrex Data'!B223="","",IF(Bittrex!H223=Bittrex!E223,D223,Bittrex!E223)))</f>
        <v/>
      </c>
      <c r="K223" t="str">
        <f>IF('Bittrex Data'!B223="","",IF(Bittrex!I223=Bittrex!G223,Bittrex!F223,Bittrex!G223))</f>
        <v/>
      </c>
    </row>
    <row r="224" spans="3:11" x14ac:dyDescent="0.2">
      <c r="C224" t="str">
        <f>IF('Bittrex Data'!A224="","",IF(AND('Bittrex Data'!C224="LIMIT_SELL",Bittrex!D224="USD"),"Sale",IF(AND('Bittrex Data'!C224="LIMIT_BUY",Bittrex!D224="USD"),"Buy","Trade")))</f>
        <v/>
      </c>
      <c r="D224" t="str">
        <f>IF('Bittrex Data'!B224="","",LEFT(LEFT('Bittrex Data'!B224,SEARCH("-",'Bittrex Data'!B224,1)),LEN(LEFT('Bittrex Data'!B224,SEARCH("-",'Bittrex Data'!B224,1)))-1))</f>
        <v/>
      </c>
      <c r="E224" t="str">
        <f>IF('Bittrex Data'!B224="","",RIGHT(RIGHT('Bittrex Data'!B224,LEN('Bittrex Data'!B224)-SEARCH("-",'Bittrex Data'!B224,1)+1),LEN(RIGHT('Bittrex Data'!B224,LEN('Bittrex Data'!B224)-SEARCH("-",'Bittrex Data'!B224,1)+1))-1))</f>
        <v/>
      </c>
      <c r="F224" t="str">
        <f>IF('Bittrex Data'!C224="","",IF('Bittrex Data'!C224="Limit_Sell",'Bittrex Data'!G224-'Bittrex Data'!F224,IF('Bittrex Data'!C224="Limit_Buy",'Bittrex Data'!G224+'Bittrex Data'!F224,"")))</f>
        <v/>
      </c>
      <c r="G224" t="str">
        <f>IF('Bittrex Data'!B224="","",'Bittrex Data'!D224)</f>
        <v/>
      </c>
      <c r="H224" t="str">
        <f>IF('Bittrex Data'!C224="","",IF(Bittrex!C224="Buy",Bittrex!D224,IF(Bittrex!C224="Sale",Bittrex!E224,IF(AND(Bittrex!C224="Trade",'Bittrex Data'!C224="Limit_Sell"),Bittrex!E224,IF(AND(Bittrex!C224="Trade",'Bittrex Data'!C224="Limit_Buy"),Bittrex!D224,"")))))</f>
        <v/>
      </c>
      <c r="I224" t="str">
        <f>IF('Bittrex Data'!C224="","",IF(Bittrex!C224="Buy",F224,IF(C224="Sale",Bittrex!G224,IF(AND(C224="Trade",'Bittrex Data'!C224="Limit_Sell"),Bittrex!G224,IF(AND(Bittrex!C224="Trade",'Bittrex Data'!C224="Limit_Buy"),F224,"")))))</f>
        <v/>
      </c>
      <c r="J224" t="str">
        <f>IF('Bittrex Data'!B224="","",IF('Bittrex Data'!B224="","",IF(Bittrex!H224=Bittrex!E224,D224,Bittrex!E224)))</f>
        <v/>
      </c>
      <c r="K224" t="str">
        <f>IF('Bittrex Data'!B224="","",IF(Bittrex!I224=Bittrex!G224,Bittrex!F224,Bittrex!G224))</f>
        <v/>
      </c>
    </row>
    <row r="225" spans="3:11" x14ac:dyDescent="0.2">
      <c r="C225" t="str">
        <f>IF('Bittrex Data'!A225="","",IF(AND('Bittrex Data'!C225="LIMIT_SELL",Bittrex!D225="USD"),"Sale",IF(AND('Bittrex Data'!C225="LIMIT_BUY",Bittrex!D225="USD"),"Buy","Trade")))</f>
        <v/>
      </c>
      <c r="D225" t="str">
        <f>IF('Bittrex Data'!B225="","",LEFT(LEFT('Bittrex Data'!B225,SEARCH("-",'Bittrex Data'!B225,1)),LEN(LEFT('Bittrex Data'!B225,SEARCH("-",'Bittrex Data'!B225,1)))-1))</f>
        <v/>
      </c>
      <c r="E225" t="str">
        <f>IF('Bittrex Data'!B225="","",RIGHT(RIGHT('Bittrex Data'!B225,LEN('Bittrex Data'!B225)-SEARCH("-",'Bittrex Data'!B225,1)+1),LEN(RIGHT('Bittrex Data'!B225,LEN('Bittrex Data'!B225)-SEARCH("-",'Bittrex Data'!B225,1)+1))-1))</f>
        <v/>
      </c>
      <c r="F225" t="str">
        <f>IF('Bittrex Data'!C225="","",IF('Bittrex Data'!C225="Limit_Sell",'Bittrex Data'!G225-'Bittrex Data'!F225,IF('Bittrex Data'!C225="Limit_Buy",'Bittrex Data'!G225+'Bittrex Data'!F225,"")))</f>
        <v/>
      </c>
      <c r="G225" t="str">
        <f>IF('Bittrex Data'!B225="","",'Bittrex Data'!D225)</f>
        <v/>
      </c>
      <c r="H225" t="str">
        <f>IF('Bittrex Data'!C225="","",IF(Bittrex!C225="Buy",Bittrex!D225,IF(Bittrex!C225="Sale",Bittrex!E225,IF(AND(Bittrex!C225="Trade",'Bittrex Data'!C225="Limit_Sell"),Bittrex!E225,IF(AND(Bittrex!C225="Trade",'Bittrex Data'!C225="Limit_Buy"),Bittrex!D225,"")))))</f>
        <v/>
      </c>
      <c r="I225" t="str">
        <f>IF('Bittrex Data'!C225="","",IF(Bittrex!C225="Buy",F225,IF(C225="Sale",Bittrex!G225,IF(AND(C225="Trade",'Bittrex Data'!C225="Limit_Sell"),Bittrex!G225,IF(AND(Bittrex!C225="Trade",'Bittrex Data'!C225="Limit_Buy"),F225,"")))))</f>
        <v/>
      </c>
      <c r="J225" t="str">
        <f>IF('Bittrex Data'!B225="","",IF('Bittrex Data'!B225="","",IF(Bittrex!H225=Bittrex!E225,D225,Bittrex!E225)))</f>
        <v/>
      </c>
      <c r="K225" t="str">
        <f>IF('Bittrex Data'!B225="","",IF(Bittrex!I225=Bittrex!G225,Bittrex!F225,Bittrex!G225))</f>
        <v/>
      </c>
    </row>
    <row r="226" spans="3:11" x14ac:dyDescent="0.2">
      <c r="C226" t="str">
        <f>IF('Bittrex Data'!A226="","",IF(AND('Bittrex Data'!C226="LIMIT_SELL",Bittrex!D226="USD"),"Sale",IF(AND('Bittrex Data'!C226="LIMIT_BUY",Bittrex!D226="USD"),"Buy","Trade")))</f>
        <v/>
      </c>
      <c r="D226" t="str">
        <f>IF('Bittrex Data'!B226="","",LEFT(LEFT('Bittrex Data'!B226,SEARCH("-",'Bittrex Data'!B226,1)),LEN(LEFT('Bittrex Data'!B226,SEARCH("-",'Bittrex Data'!B226,1)))-1))</f>
        <v/>
      </c>
      <c r="E226" t="str">
        <f>IF('Bittrex Data'!B226="","",RIGHT(RIGHT('Bittrex Data'!B226,LEN('Bittrex Data'!B226)-SEARCH("-",'Bittrex Data'!B226,1)+1),LEN(RIGHT('Bittrex Data'!B226,LEN('Bittrex Data'!B226)-SEARCH("-",'Bittrex Data'!B226,1)+1))-1))</f>
        <v/>
      </c>
      <c r="F226" t="str">
        <f>IF('Bittrex Data'!C226="","",IF('Bittrex Data'!C226="Limit_Sell",'Bittrex Data'!G226-'Bittrex Data'!F226,IF('Bittrex Data'!C226="Limit_Buy",'Bittrex Data'!G226+'Bittrex Data'!F226,"")))</f>
        <v/>
      </c>
      <c r="G226" t="str">
        <f>IF('Bittrex Data'!B226="","",'Bittrex Data'!D226)</f>
        <v/>
      </c>
      <c r="H226" t="str">
        <f>IF('Bittrex Data'!C226="","",IF(Bittrex!C226="Buy",Bittrex!D226,IF(Bittrex!C226="Sale",Bittrex!E226,IF(AND(Bittrex!C226="Trade",'Bittrex Data'!C226="Limit_Sell"),Bittrex!E226,IF(AND(Bittrex!C226="Trade",'Bittrex Data'!C226="Limit_Buy"),Bittrex!D226,"")))))</f>
        <v/>
      </c>
      <c r="I226" t="str">
        <f>IF('Bittrex Data'!C226="","",IF(Bittrex!C226="Buy",F226,IF(C226="Sale",Bittrex!G226,IF(AND(C226="Trade",'Bittrex Data'!C226="Limit_Sell"),Bittrex!G226,IF(AND(Bittrex!C226="Trade",'Bittrex Data'!C226="Limit_Buy"),F226,"")))))</f>
        <v/>
      </c>
      <c r="J226" t="str">
        <f>IF('Bittrex Data'!B226="","",IF('Bittrex Data'!B226="","",IF(Bittrex!H226=Bittrex!E226,D226,Bittrex!E226)))</f>
        <v/>
      </c>
      <c r="K226" t="str">
        <f>IF('Bittrex Data'!B226="","",IF(Bittrex!I226=Bittrex!G226,Bittrex!F226,Bittrex!G226))</f>
        <v/>
      </c>
    </row>
    <row r="227" spans="3:11" x14ac:dyDescent="0.2">
      <c r="C227" t="str">
        <f>IF('Bittrex Data'!A227="","",IF(AND('Bittrex Data'!C227="LIMIT_SELL",Bittrex!D227="USD"),"Sale",IF(AND('Bittrex Data'!C227="LIMIT_BUY",Bittrex!D227="USD"),"Buy","Trade")))</f>
        <v/>
      </c>
      <c r="D227" t="str">
        <f>IF('Bittrex Data'!B227="","",LEFT(LEFT('Bittrex Data'!B227,SEARCH("-",'Bittrex Data'!B227,1)),LEN(LEFT('Bittrex Data'!B227,SEARCH("-",'Bittrex Data'!B227,1)))-1))</f>
        <v/>
      </c>
      <c r="E227" t="str">
        <f>IF('Bittrex Data'!B227="","",RIGHT(RIGHT('Bittrex Data'!B227,LEN('Bittrex Data'!B227)-SEARCH("-",'Bittrex Data'!B227,1)+1),LEN(RIGHT('Bittrex Data'!B227,LEN('Bittrex Data'!B227)-SEARCH("-",'Bittrex Data'!B227,1)+1))-1))</f>
        <v/>
      </c>
      <c r="F227" t="str">
        <f>IF('Bittrex Data'!C227="","",IF('Bittrex Data'!C227="Limit_Sell",'Bittrex Data'!G227-'Bittrex Data'!F227,IF('Bittrex Data'!C227="Limit_Buy",'Bittrex Data'!G227+'Bittrex Data'!F227,"")))</f>
        <v/>
      </c>
      <c r="G227" t="str">
        <f>IF('Bittrex Data'!B227="","",'Bittrex Data'!D227)</f>
        <v/>
      </c>
      <c r="H227" t="str">
        <f>IF('Bittrex Data'!C227="","",IF(Bittrex!C227="Buy",Bittrex!D227,IF(Bittrex!C227="Sale",Bittrex!E227,IF(AND(Bittrex!C227="Trade",'Bittrex Data'!C227="Limit_Sell"),Bittrex!E227,IF(AND(Bittrex!C227="Trade",'Bittrex Data'!C227="Limit_Buy"),Bittrex!D227,"")))))</f>
        <v/>
      </c>
      <c r="I227" t="str">
        <f>IF('Bittrex Data'!C227="","",IF(Bittrex!C227="Buy",F227,IF(C227="Sale",Bittrex!G227,IF(AND(C227="Trade",'Bittrex Data'!C227="Limit_Sell"),Bittrex!G227,IF(AND(Bittrex!C227="Trade",'Bittrex Data'!C227="Limit_Buy"),F227,"")))))</f>
        <v/>
      </c>
      <c r="J227" t="str">
        <f>IF('Bittrex Data'!B227="","",IF('Bittrex Data'!B227="","",IF(Bittrex!H227=Bittrex!E227,D227,Bittrex!E227)))</f>
        <v/>
      </c>
      <c r="K227" t="str">
        <f>IF('Bittrex Data'!B227="","",IF(Bittrex!I227=Bittrex!G227,Bittrex!F227,Bittrex!G227))</f>
        <v/>
      </c>
    </row>
    <row r="228" spans="3:11" x14ac:dyDescent="0.2">
      <c r="C228" t="str">
        <f>IF('Bittrex Data'!A228="","",IF(AND('Bittrex Data'!C228="LIMIT_SELL",Bittrex!D228="USD"),"Sale",IF(AND('Bittrex Data'!C228="LIMIT_BUY",Bittrex!D228="USD"),"Buy","Trade")))</f>
        <v/>
      </c>
      <c r="D228" t="str">
        <f>IF('Bittrex Data'!B228="","",LEFT(LEFT('Bittrex Data'!B228,SEARCH("-",'Bittrex Data'!B228,1)),LEN(LEFT('Bittrex Data'!B228,SEARCH("-",'Bittrex Data'!B228,1)))-1))</f>
        <v/>
      </c>
      <c r="E228" t="str">
        <f>IF('Bittrex Data'!B228="","",RIGHT(RIGHT('Bittrex Data'!B228,LEN('Bittrex Data'!B228)-SEARCH("-",'Bittrex Data'!B228,1)+1),LEN(RIGHT('Bittrex Data'!B228,LEN('Bittrex Data'!B228)-SEARCH("-",'Bittrex Data'!B228,1)+1))-1))</f>
        <v/>
      </c>
      <c r="F228" t="str">
        <f>IF('Bittrex Data'!C228="","",IF('Bittrex Data'!C228="Limit_Sell",'Bittrex Data'!G228-'Bittrex Data'!F228,IF('Bittrex Data'!C228="Limit_Buy",'Bittrex Data'!G228+'Bittrex Data'!F228,"")))</f>
        <v/>
      </c>
      <c r="G228" t="str">
        <f>IF('Bittrex Data'!B228="","",'Bittrex Data'!D228)</f>
        <v/>
      </c>
      <c r="H228" t="str">
        <f>IF('Bittrex Data'!C228="","",IF(Bittrex!C228="Buy",Bittrex!D228,IF(Bittrex!C228="Sale",Bittrex!E228,IF(AND(Bittrex!C228="Trade",'Bittrex Data'!C228="Limit_Sell"),Bittrex!E228,IF(AND(Bittrex!C228="Trade",'Bittrex Data'!C228="Limit_Buy"),Bittrex!D228,"")))))</f>
        <v/>
      </c>
      <c r="I228" t="str">
        <f>IF('Bittrex Data'!C228="","",IF(Bittrex!C228="Buy",F228,IF(C228="Sale",Bittrex!G228,IF(AND(C228="Trade",'Bittrex Data'!C228="Limit_Sell"),Bittrex!G228,IF(AND(Bittrex!C228="Trade",'Bittrex Data'!C228="Limit_Buy"),F228,"")))))</f>
        <v/>
      </c>
      <c r="J228" t="str">
        <f>IF('Bittrex Data'!B228="","",IF('Bittrex Data'!B228="","",IF(Bittrex!H228=Bittrex!E228,D228,Bittrex!E228)))</f>
        <v/>
      </c>
      <c r="K228" t="str">
        <f>IF('Bittrex Data'!B228="","",IF(Bittrex!I228=Bittrex!G228,Bittrex!F228,Bittrex!G228))</f>
        <v/>
      </c>
    </row>
    <row r="229" spans="3:11" x14ac:dyDescent="0.2">
      <c r="C229" t="str">
        <f>IF('Bittrex Data'!A229="","",IF(AND('Bittrex Data'!C229="LIMIT_SELL",Bittrex!D229="USD"),"Sale",IF(AND('Bittrex Data'!C229="LIMIT_BUY",Bittrex!D229="USD"),"Buy","Trade")))</f>
        <v/>
      </c>
      <c r="D229" t="str">
        <f>IF('Bittrex Data'!B229="","",LEFT(LEFT('Bittrex Data'!B229,SEARCH("-",'Bittrex Data'!B229,1)),LEN(LEFT('Bittrex Data'!B229,SEARCH("-",'Bittrex Data'!B229,1)))-1))</f>
        <v/>
      </c>
      <c r="E229" t="str">
        <f>IF('Bittrex Data'!B229="","",RIGHT(RIGHT('Bittrex Data'!B229,LEN('Bittrex Data'!B229)-SEARCH("-",'Bittrex Data'!B229,1)+1),LEN(RIGHT('Bittrex Data'!B229,LEN('Bittrex Data'!B229)-SEARCH("-",'Bittrex Data'!B229,1)+1))-1))</f>
        <v/>
      </c>
      <c r="F229" t="str">
        <f>IF('Bittrex Data'!C229="","",IF('Bittrex Data'!C229="Limit_Sell",'Bittrex Data'!G229-'Bittrex Data'!F229,IF('Bittrex Data'!C229="Limit_Buy",'Bittrex Data'!G229+'Bittrex Data'!F229,"")))</f>
        <v/>
      </c>
      <c r="G229" t="str">
        <f>IF('Bittrex Data'!B229="","",'Bittrex Data'!D229)</f>
        <v/>
      </c>
      <c r="H229" t="str">
        <f>IF('Bittrex Data'!C229="","",IF(Bittrex!C229="Buy",Bittrex!D229,IF(Bittrex!C229="Sale",Bittrex!E229,IF(AND(Bittrex!C229="Trade",'Bittrex Data'!C229="Limit_Sell"),Bittrex!E229,IF(AND(Bittrex!C229="Trade",'Bittrex Data'!C229="Limit_Buy"),Bittrex!D229,"")))))</f>
        <v/>
      </c>
      <c r="I229" t="str">
        <f>IF('Bittrex Data'!C229="","",IF(Bittrex!C229="Buy",F229,IF(C229="Sale",Bittrex!G229,IF(AND(C229="Trade",'Bittrex Data'!C229="Limit_Sell"),Bittrex!G229,IF(AND(Bittrex!C229="Trade",'Bittrex Data'!C229="Limit_Buy"),F229,"")))))</f>
        <v/>
      </c>
      <c r="J229" t="str">
        <f>IF('Bittrex Data'!B229="","",IF('Bittrex Data'!B229="","",IF(Bittrex!H229=Bittrex!E229,D229,Bittrex!E229)))</f>
        <v/>
      </c>
      <c r="K229" t="str">
        <f>IF('Bittrex Data'!B229="","",IF(Bittrex!I229=Bittrex!G229,Bittrex!F229,Bittrex!G229))</f>
        <v/>
      </c>
    </row>
    <row r="230" spans="3:11" x14ac:dyDescent="0.2">
      <c r="C230" t="str">
        <f>IF('Bittrex Data'!A230="","",IF(AND('Bittrex Data'!C230="LIMIT_SELL",Bittrex!D230="USD"),"Sale",IF(AND('Bittrex Data'!C230="LIMIT_BUY",Bittrex!D230="USD"),"Buy","Trade")))</f>
        <v/>
      </c>
      <c r="D230" t="str">
        <f>IF('Bittrex Data'!B230="","",LEFT(LEFT('Bittrex Data'!B230,SEARCH("-",'Bittrex Data'!B230,1)),LEN(LEFT('Bittrex Data'!B230,SEARCH("-",'Bittrex Data'!B230,1)))-1))</f>
        <v/>
      </c>
      <c r="E230" t="str">
        <f>IF('Bittrex Data'!B230="","",RIGHT(RIGHT('Bittrex Data'!B230,LEN('Bittrex Data'!B230)-SEARCH("-",'Bittrex Data'!B230,1)+1),LEN(RIGHT('Bittrex Data'!B230,LEN('Bittrex Data'!B230)-SEARCH("-",'Bittrex Data'!B230,1)+1))-1))</f>
        <v/>
      </c>
      <c r="F230" t="str">
        <f>IF('Bittrex Data'!C230="","",IF('Bittrex Data'!C230="Limit_Sell",'Bittrex Data'!G230-'Bittrex Data'!F230,IF('Bittrex Data'!C230="Limit_Buy",'Bittrex Data'!G230+'Bittrex Data'!F230,"")))</f>
        <v/>
      </c>
      <c r="G230" t="str">
        <f>IF('Bittrex Data'!B230="","",'Bittrex Data'!D230)</f>
        <v/>
      </c>
      <c r="H230" t="str">
        <f>IF('Bittrex Data'!C230="","",IF(Bittrex!C230="Buy",Bittrex!D230,IF(Bittrex!C230="Sale",Bittrex!E230,IF(AND(Bittrex!C230="Trade",'Bittrex Data'!C230="Limit_Sell"),Bittrex!E230,IF(AND(Bittrex!C230="Trade",'Bittrex Data'!C230="Limit_Buy"),Bittrex!D230,"")))))</f>
        <v/>
      </c>
      <c r="I230" t="str">
        <f>IF('Bittrex Data'!C230="","",IF(Bittrex!C230="Buy",F230,IF(C230="Sale",Bittrex!G230,IF(AND(C230="Trade",'Bittrex Data'!C230="Limit_Sell"),Bittrex!G230,IF(AND(Bittrex!C230="Trade",'Bittrex Data'!C230="Limit_Buy"),F230,"")))))</f>
        <v/>
      </c>
      <c r="J230" t="str">
        <f>IF('Bittrex Data'!B230="","",IF('Bittrex Data'!B230="","",IF(Bittrex!H230=Bittrex!E230,D230,Bittrex!E230)))</f>
        <v/>
      </c>
      <c r="K230" t="str">
        <f>IF('Bittrex Data'!B230="","",IF(Bittrex!I230=Bittrex!G230,Bittrex!F230,Bittrex!G230))</f>
        <v/>
      </c>
    </row>
    <row r="231" spans="3:11" x14ac:dyDescent="0.2">
      <c r="C231" t="str">
        <f>IF('Bittrex Data'!A231="","",IF(AND('Bittrex Data'!C231="LIMIT_SELL",Bittrex!D231="USD"),"Sale",IF(AND('Bittrex Data'!C231="LIMIT_BUY",Bittrex!D231="USD"),"Buy","Trade")))</f>
        <v/>
      </c>
      <c r="D231" t="str">
        <f>IF('Bittrex Data'!B231="","",LEFT(LEFT('Bittrex Data'!B231,SEARCH("-",'Bittrex Data'!B231,1)),LEN(LEFT('Bittrex Data'!B231,SEARCH("-",'Bittrex Data'!B231,1)))-1))</f>
        <v/>
      </c>
      <c r="E231" t="str">
        <f>IF('Bittrex Data'!B231="","",RIGHT(RIGHT('Bittrex Data'!B231,LEN('Bittrex Data'!B231)-SEARCH("-",'Bittrex Data'!B231,1)+1),LEN(RIGHT('Bittrex Data'!B231,LEN('Bittrex Data'!B231)-SEARCH("-",'Bittrex Data'!B231,1)+1))-1))</f>
        <v/>
      </c>
      <c r="F231" t="str">
        <f>IF('Bittrex Data'!C231="","",IF('Bittrex Data'!C231="Limit_Sell",'Bittrex Data'!G231-'Bittrex Data'!F231,IF('Bittrex Data'!C231="Limit_Buy",'Bittrex Data'!G231+'Bittrex Data'!F231,"")))</f>
        <v/>
      </c>
      <c r="G231" t="str">
        <f>IF('Bittrex Data'!B231="","",'Bittrex Data'!D231)</f>
        <v/>
      </c>
      <c r="H231" t="str">
        <f>IF('Bittrex Data'!C231="","",IF(Bittrex!C231="Buy",Bittrex!D231,IF(Bittrex!C231="Sale",Bittrex!E231,IF(AND(Bittrex!C231="Trade",'Bittrex Data'!C231="Limit_Sell"),Bittrex!E231,IF(AND(Bittrex!C231="Trade",'Bittrex Data'!C231="Limit_Buy"),Bittrex!D231,"")))))</f>
        <v/>
      </c>
      <c r="I231" t="str">
        <f>IF('Bittrex Data'!C231="","",IF(Bittrex!C231="Buy",F231,IF(C231="Sale",Bittrex!G231,IF(AND(C231="Trade",'Bittrex Data'!C231="Limit_Sell"),Bittrex!G231,IF(AND(Bittrex!C231="Trade",'Bittrex Data'!C231="Limit_Buy"),F231,"")))))</f>
        <v/>
      </c>
      <c r="J231" t="str">
        <f>IF('Bittrex Data'!B231="","",IF('Bittrex Data'!B231="","",IF(Bittrex!H231=Bittrex!E231,D231,Bittrex!E231)))</f>
        <v/>
      </c>
      <c r="K231" t="str">
        <f>IF('Bittrex Data'!B231="","",IF(Bittrex!I231=Bittrex!G231,Bittrex!F231,Bittrex!G231))</f>
        <v/>
      </c>
    </row>
    <row r="232" spans="3:11" x14ac:dyDescent="0.2">
      <c r="C232" t="str">
        <f>IF('Bittrex Data'!A232="","",IF(AND('Bittrex Data'!C232="LIMIT_SELL",Bittrex!D232="USD"),"Sale",IF(AND('Bittrex Data'!C232="LIMIT_BUY",Bittrex!D232="USD"),"Buy","Trade")))</f>
        <v/>
      </c>
      <c r="D232" t="str">
        <f>IF('Bittrex Data'!B232="","",LEFT(LEFT('Bittrex Data'!B232,SEARCH("-",'Bittrex Data'!B232,1)),LEN(LEFT('Bittrex Data'!B232,SEARCH("-",'Bittrex Data'!B232,1)))-1))</f>
        <v/>
      </c>
      <c r="E232" t="str">
        <f>IF('Bittrex Data'!B232="","",RIGHT(RIGHT('Bittrex Data'!B232,LEN('Bittrex Data'!B232)-SEARCH("-",'Bittrex Data'!B232,1)+1),LEN(RIGHT('Bittrex Data'!B232,LEN('Bittrex Data'!B232)-SEARCH("-",'Bittrex Data'!B232,1)+1))-1))</f>
        <v/>
      </c>
      <c r="F232" t="str">
        <f>IF('Bittrex Data'!C232="","",IF('Bittrex Data'!C232="Limit_Sell",'Bittrex Data'!G232-'Bittrex Data'!F232,IF('Bittrex Data'!C232="Limit_Buy",'Bittrex Data'!G232+'Bittrex Data'!F232,"")))</f>
        <v/>
      </c>
      <c r="G232" t="str">
        <f>IF('Bittrex Data'!B232="","",'Bittrex Data'!D232)</f>
        <v/>
      </c>
      <c r="H232" t="str">
        <f>IF('Bittrex Data'!C232="","",IF(Bittrex!C232="Buy",Bittrex!D232,IF(Bittrex!C232="Sale",Bittrex!E232,IF(AND(Bittrex!C232="Trade",'Bittrex Data'!C232="Limit_Sell"),Bittrex!E232,IF(AND(Bittrex!C232="Trade",'Bittrex Data'!C232="Limit_Buy"),Bittrex!D232,"")))))</f>
        <v/>
      </c>
      <c r="I232" t="str">
        <f>IF('Bittrex Data'!C232="","",IF(Bittrex!C232="Buy",F232,IF(C232="Sale",Bittrex!G232,IF(AND(C232="Trade",'Bittrex Data'!C232="Limit_Sell"),Bittrex!G232,IF(AND(Bittrex!C232="Trade",'Bittrex Data'!C232="Limit_Buy"),F232,"")))))</f>
        <v/>
      </c>
      <c r="J232" t="str">
        <f>IF('Bittrex Data'!B232="","",IF('Bittrex Data'!B232="","",IF(Bittrex!H232=Bittrex!E232,D232,Bittrex!E232)))</f>
        <v/>
      </c>
      <c r="K232" t="str">
        <f>IF('Bittrex Data'!B232="","",IF(Bittrex!I232=Bittrex!G232,Bittrex!F232,Bittrex!G232))</f>
        <v/>
      </c>
    </row>
    <row r="233" spans="3:11" x14ac:dyDescent="0.2">
      <c r="C233" t="str">
        <f>IF('Bittrex Data'!A233="","",IF(AND('Bittrex Data'!C233="LIMIT_SELL",Bittrex!D233="USD"),"Sale",IF(AND('Bittrex Data'!C233="LIMIT_BUY",Bittrex!D233="USD"),"Buy","Trade")))</f>
        <v/>
      </c>
      <c r="D233" t="str">
        <f>IF('Bittrex Data'!B233="","",LEFT(LEFT('Bittrex Data'!B233,SEARCH("-",'Bittrex Data'!B233,1)),LEN(LEFT('Bittrex Data'!B233,SEARCH("-",'Bittrex Data'!B233,1)))-1))</f>
        <v/>
      </c>
      <c r="E233" t="str">
        <f>IF('Bittrex Data'!B233="","",RIGHT(RIGHT('Bittrex Data'!B233,LEN('Bittrex Data'!B233)-SEARCH("-",'Bittrex Data'!B233,1)+1),LEN(RIGHT('Bittrex Data'!B233,LEN('Bittrex Data'!B233)-SEARCH("-",'Bittrex Data'!B233,1)+1))-1))</f>
        <v/>
      </c>
      <c r="F233" t="str">
        <f>IF('Bittrex Data'!C233="","",IF('Bittrex Data'!C233="Limit_Sell",'Bittrex Data'!G233-'Bittrex Data'!F233,IF('Bittrex Data'!C233="Limit_Buy",'Bittrex Data'!G233+'Bittrex Data'!F233,"")))</f>
        <v/>
      </c>
      <c r="G233" t="str">
        <f>IF('Bittrex Data'!B233="","",'Bittrex Data'!D233)</f>
        <v/>
      </c>
      <c r="H233" t="str">
        <f>IF('Bittrex Data'!C233="","",IF(Bittrex!C233="Buy",Bittrex!D233,IF(Bittrex!C233="Sale",Bittrex!E233,IF(AND(Bittrex!C233="Trade",'Bittrex Data'!C233="Limit_Sell"),Bittrex!E233,IF(AND(Bittrex!C233="Trade",'Bittrex Data'!C233="Limit_Buy"),Bittrex!D233,"")))))</f>
        <v/>
      </c>
      <c r="I233" t="str">
        <f>IF('Bittrex Data'!C233="","",IF(Bittrex!C233="Buy",F233,IF(C233="Sale",Bittrex!G233,IF(AND(C233="Trade",'Bittrex Data'!C233="Limit_Sell"),Bittrex!G233,IF(AND(Bittrex!C233="Trade",'Bittrex Data'!C233="Limit_Buy"),F233,"")))))</f>
        <v/>
      </c>
      <c r="J233" t="str">
        <f>IF('Bittrex Data'!B233="","",IF('Bittrex Data'!B233="","",IF(Bittrex!H233=Bittrex!E233,D233,Bittrex!E233)))</f>
        <v/>
      </c>
      <c r="K233" t="str">
        <f>IF('Bittrex Data'!B233="","",IF(Bittrex!I233=Bittrex!G233,Bittrex!F233,Bittrex!G233))</f>
        <v/>
      </c>
    </row>
    <row r="234" spans="3:11" x14ac:dyDescent="0.2">
      <c r="C234" t="str">
        <f>IF('Bittrex Data'!A234="","",IF(AND('Bittrex Data'!C234="LIMIT_SELL",Bittrex!D234="USD"),"Sale",IF(AND('Bittrex Data'!C234="LIMIT_BUY",Bittrex!D234="USD"),"Buy","Trade")))</f>
        <v/>
      </c>
      <c r="D234" t="str">
        <f>IF('Bittrex Data'!B234="","",LEFT(LEFT('Bittrex Data'!B234,SEARCH("-",'Bittrex Data'!B234,1)),LEN(LEFT('Bittrex Data'!B234,SEARCH("-",'Bittrex Data'!B234,1)))-1))</f>
        <v/>
      </c>
      <c r="E234" t="str">
        <f>IF('Bittrex Data'!B234="","",RIGHT(RIGHT('Bittrex Data'!B234,LEN('Bittrex Data'!B234)-SEARCH("-",'Bittrex Data'!B234,1)+1),LEN(RIGHT('Bittrex Data'!B234,LEN('Bittrex Data'!B234)-SEARCH("-",'Bittrex Data'!B234,1)+1))-1))</f>
        <v/>
      </c>
      <c r="F234" t="str">
        <f>IF('Bittrex Data'!C234="","",IF('Bittrex Data'!C234="Limit_Sell",'Bittrex Data'!G234-'Bittrex Data'!F234,IF('Bittrex Data'!C234="Limit_Buy",'Bittrex Data'!G234+'Bittrex Data'!F234,"")))</f>
        <v/>
      </c>
      <c r="G234" t="str">
        <f>IF('Bittrex Data'!B234="","",'Bittrex Data'!D234)</f>
        <v/>
      </c>
      <c r="H234" t="str">
        <f>IF('Bittrex Data'!C234="","",IF(Bittrex!C234="Buy",Bittrex!D234,IF(Bittrex!C234="Sale",Bittrex!E234,IF(AND(Bittrex!C234="Trade",'Bittrex Data'!C234="Limit_Sell"),Bittrex!E234,IF(AND(Bittrex!C234="Trade",'Bittrex Data'!C234="Limit_Buy"),Bittrex!D234,"")))))</f>
        <v/>
      </c>
      <c r="I234" t="str">
        <f>IF('Bittrex Data'!C234="","",IF(Bittrex!C234="Buy",F234,IF(C234="Sale",Bittrex!G234,IF(AND(C234="Trade",'Bittrex Data'!C234="Limit_Sell"),Bittrex!G234,IF(AND(Bittrex!C234="Trade",'Bittrex Data'!C234="Limit_Buy"),F234,"")))))</f>
        <v/>
      </c>
      <c r="J234" t="str">
        <f>IF('Bittrex Data'!B234="","",IF('Bittrex Data'!B234="","",IF(Bittrex!H234=Bittrex!E234,D234,Bittrex!E234)))</f>
        <v/>
      </c>
      <c r="K234" t="str">
        <f>IF('Bittrex Data'!B234="","",IF(Bittrex!I234=Bittrex!G234,Bittrex!F234,Bittrex!G234))</f>
        <v/>
      </c>
    </row>
    <row r="235" spans="3:11" x14ac:dyDescent="0.2">
      <c r="C235" t="str">
        <f>IF('Bittrex Data'!A235="","",IF(AND('Bittrex Data'!C235="LIMIT_SELL",Bittrex!D235="USD"),"Sale",IF(AND('Bittrex Data'!C235="LIMIT_BUY",Bittrex!D235="USD"),"Buy","Trade")))</f>
        <v/>
      </c>
      <c r="D235" t="str">
        <f>IF('Bittrex Data'!B235="","",LEFT(LEFT('Bittrex Data'!B235,SEARCH("-",'Bittrex Data'!B235,1)),LEN(LEFT('Bittrex Data'!B235,SEARCH("-",'Bittrex Data'!B235,1)))-1))</f>
        <v/>
      </c>
      <c r="E235" t="str">
        <f>IF('Bittrex Data'!B235="","",RIGHT(RIGHT('Bittrex Data'!B235,LEN('Bittrex Data'!B235)-SEARCH("-",'Bittrex Data'!B235,1)+1),LEN(RIGHT('Bittrex Data'!B235,LEN('Bittrex Data'!B235)-SEARCH("-",'Bittrex Data'!B235,1)+1))-1))</f>
        <v/>
      </c>
      <c r="F235" t="str">
        <f>IF('Bittrex Data'!C235="","",IF('Bittrex Data'!C235="Limit_Sell",'Bittrex Data'!G235-'Bittrex Data'!F235,IF('Bittrex Data'!C235="Limit_Buy",'Bittrex Data'!G235+'Bittrex Data'!F235,"")))</f>
        <v/>
      </c>
      <c r="G235" t="str">
        <f>IF('Bittrex Data'!B235="","",'Bittrex Data'!D235)</f>
        <v/>
      </c>
      <c r="H235" t="str">
        <f>IF('Bittrex Data'!C235="","",IF(Bittrex!C235="Buy",Bittrex!D235,IF(Bittrex!C235="Sale",Bittrex!E235,IF(AND(Bittrex!C235="Trade",'Bittrex Data'!C235="Limit_Sell"),Bittrex!E235,IF(AND(Bittrex!C235="Trade",'Bittrex Data'!C235="Limit_Buy"),Bittrex!D235,"")))))</f>
        <v/>
      </c>
      <c r="I235" t="str">
        <f>IF('Bittrex Data'!C235="","",IF(Bittrex!C235="Buy",F235,IF(C235="Sale",Bittrex!G235,IF(AND(C235="Trade",'Bittrex Data'!C235="Limit_Sell"),Bittrex!G235,IF(AND(Bittrex!C235="Trade",'Bittrex Data'!C235="Limit_Buy"),F235,"")))))</f>
        <v/>
      </c>
      <c r="J235" t="str">
        <f>IF('Bittrex Data'!B235="","",IF('Bittrex Data'!B235="","",IF(Bittrex!H235=Bittrex!E235,D235,Bittrex!E235)))</f>
        <v/>
      </c>
      <c r="K235" t="str">
        <f>IF('Bittrex Data'!B235="","",IF(Bittrex!I235=Bittrex!G235,Bittrex!F235,Bittrex!G235))</f>
        <v/>
      </c>
    </row>
    <row r="236" spans="3:11" x14ac:dyDescent="0.2">
      <c r="C236" t="str">
        <f>IF('Bittrex Data'!A236="","",IF(AND('Bittrex Data'!C236="LIMIT_SELL",Bittrex!D236="USD"),"Sale",IF(AND('Bittrex Data'!C236="LIMIT_BUY",Bittrex!D236="USD"),"Buy","Trade")))</f>
        <v/>
      </c>
      <c r="D236" t="str">
        <f>IF('Bittrex Data'!B236="","",LEFT(LEFT('Bittrex Data'!B236,SEARCH("-",'Bittrex Data'!B236,1)),LEN(LEFT('Bittrex Data'!B236,SEARCH("-",'Bittrex Data'!B236,1)))-1))</f>
        <v/>
      </c>
      <c r="E236" t="str">
        <f>IF('Bittrex Data'!B236="","",RIGHT(RIGHT('Bittrex Data'!B236,LEN('Bittrex Data'!B236)-SEARCH("-",'Bittrex Data'!B236,1)+1),LEN(RIGHT('Bittrex Data'!B236,LEN('Bittrex Data'!B236)-SEARCH("-",'Bittrex Data'!B236,1)+1))-1))</f>
        <v/>
      </c>
      <c r="F236" t="str">
        <f>IF('Bittrex Data'!C236="","",IF('Bittrex Data'!C236="Limit_Sell",'Bittrex Data'!G236-'Bittrex Data'!F236,IF('Bittrex Data'!C236="Limit_Buy",'Bittrex Data'!G236+'Bittrex Data'!F236,"")))</f>
        <v/>
      </c>
      <c r="G236" t="str">
        <f>IF('Bittrex Data'!B236="","",'Bittrex Data'!D236)</f>
        <v/>
      </c>
      <c r="H236" t="str">
        <f>IF('Bittrex Data'!C236="","",IF(Bittrex!C236="Buy",Bittrex!D236,IF(Bittrex!C236="Sale",Bittrex!E236,IF(AND(Bittrex!C236="Trade",'Bittrex Data'!C236="Limit_Sell"),Bittrex!E236,IF(AND(Bittrex!C236="Trade",'Bittrex Data'!C236="Limit_Buy"),Bittrex!D236,"")))))</f>
        <v/>
      </c>
      <c r="I236" t="str">
        <f>IF('Bittrex Data'!C236="","",IF(Bittrex!C236="Buy",F236,IF(C236="Sale",Bittrex!G236,IF(AND(C236="Trade",'Bittrex Data'!C236="Limit_Sell"),Bittrex!G236,IF(AND(Bittrex!C236="Trade",'Bittrex Data'!C236="Limit_Buy"),F236,"")))))</f>
        <v/>
      </c>
      <c r="J236" t="str">
        <f>IF('Bittrex Data'!B236="","",IF('Bittrex Data'!B236="","",IF(Bittrex!H236=Bittrex!E236,D236,Bittrex!E236)))</f>
        <v/>
      </c>
      <c r="K236" t="str">
        <f>IF('Bittrex Data'!B236="","",IF(Bittrex!I236=Bittrex!G236,Bittrex!F236,Bittrex!G236))</f>
        <v/>
      </c>
    </row>
    <row r="237" spans="3:11" x14ac:dyDescent="0.2">
      <c r="C237" t="str">
        <f>IF('Bittrex Data'!A237="","",IF(AND('Bittrex Data'!C237="LIMIT_SELL",Bittrex!D237="USD"),"Sale",IF(AND('Bittrex Data'!C237="LIMIT_BUY",Bittrex!D237="USD"),"Buy","Trade")))</f>
        <v/>
      </c>
      <c r="D237" t="str">
        <f>IF('Bittrex Data'!B237="","",LEFT(LEFT('Bittrex Data'!B237,SEARCH("-",'Bittrex Data'!B237,1)),LEN(LEFT('Bittrex Data'!B237,SEARCH("-",'Bittrex Data'!B237,1)))-1))</f>
        <v/>
      </c>
      <c r="E237" t="str">
        <f>IF('Bittrex Data'!B237="","",RIGHT(RIGHT('Bittrex Data'!B237,LEN('Bittrex Data'!B237)-SEARCH("-",'Bittrex Data'!B237,1)+1),LEN(RIGHT('Bittrex Data'!B237,LEN('Bittrex Data'!B237)-SEARCH("-",'Bittrex Data'!B237,1)+1))-1))</f>
        <v/>
      </c>
      <c r="F237" t="str">
        <f>IF('Bittrex Data'!C237="","",IF('Bittrex Data'!C237="Limit_Sell",'Bittrex Data'!G237-'Bittrex Data'!F237,IF('Bittrex Data'!C237="Limit_Buy",'Bittrex Data'!G237+'Bittrex Data'!F237,"")))</f>
        <v/>
      </c>
      <c r="G237" t="str">
        <f>IF('Bittrex Data'!B237="","",'Bittrex Data'!D237)</f>
        <v/>
      </c>
      <c r="H237" t="str">
        <f>IF('Bittrex Data'!C237="","",IF(Bittrex!C237="Buy",Bittrex!D237,IF(Bittrex!C237="Sale",Bittrex!E237,IF(AND(Bittrex!C237="Trade",'Bittrex Data'!C237="Limit_Sell"),Bittrex!E237,IF(AND(Bittrex!C237="Trade",'Bittrex Data'!C237="Limit_Buy"),Bittrex!D237,"")))))</f>
        <v/>
      </c>
      <c r="I237" t="str">
        <f>IF('Bittrex Data'!C237="","",IF(Bittrex!C237="Buy",F237,IF(C237="Sale",Bittrex!G237,IF(AND(C237="Trade",'Bittrex Data'!C237="Limit_Sell"),Bittrex!G237,IF(AND(Bittrex!C237="Trade",'Bittrex Data'!C237="Limit_Buy"),F237,"")))))</f>
        <v/>
      </c>
      <c r="J237" t="str">
        <f>IF('Bittrex Data'!B237="","",IF('Bittrex Data'!B237="","",IF(Bittrex!H237=Bittrex!E237,D237,Bittrex!E237)))</f>
        <v/>
      </c>
      <c r="K237" t="str">
        <f>IF('Bittrex Data'!B237="","",IF(Bittrex!I237=Bittrex!G237,Bittrex!F237,Bittrex!G237))</f>
        <v/>
      </c>
    </row>
    <row r="238" spans="3:11" x14ac:dyDescent="0.2">
      <c r="C238" t="str">
        <f>IF('Bittrex Data'!A238="","",IF(AND('Bittrex Data'!C238="LIMIT_SELL",Bittrex!D238="USD"),"Sale",IF(AND('Bittrex Data'!C238="LIMIT_BUY",Bittrex!D238="USD"),"Buy","Trade")))</f>
        <v/>
      </c>
      <c r="D238" t="str">
        <f>IF('Bittrex Data'!B238="","",LEFT(LEFT('Bittrex Data'!B238,SEARCH("-",'Bittrex Data'!B238,1)),LEN(LEFT('Bittrex Data'!B238,SEARCH("-",'Bittrex Data'!B238,1)))-1))</f>
        <v/>
      </c>
      <c r="E238" t="str">
        <f>IF('Bittrex Data'!B238="","",RIGHT(RIGHT('Bittrex Data'!B238,LEN('Bittrex Data'!B238)-SEARCH("-",'Bittrex Data'!B238,1)+1),LEN(RIGHT('Bittrex Data'!B238,LEN('Bittrex Data'!B238)-SEARCH("-",'Bittrex Data'!B238,1)+1))-1))</f>
        <v/>
      </c>
      <c r="F238" t="str">
        <f>IF('Bittrex Data'!C238="","",IF('Bittrex Data'!C238="Limit_Sell",'Bittrex Data'!G238-'Bittrex Data'!F238,IF('Bittrex Data'!C238="Limit_Buy",'Bittrex Data'!G238+'Bittrex Data'!F238,"")))</f>
        <v/>
      </c>
      <c r="G238" t="str">
        <f>IF('Bittrex Data'!B238="","",'Bittrex Data'!D238)</f>
        <v/>
      </c>
      <c r="H238" t="str">
        <f>IF('Bittrex Data'!C238="","",IF(Bittrex!C238="Buy",Bittrex!D238,IF(Bittrex!C238="Sale",Bittrex!E238,IF(AND(Bittrex!C238="Trade",'Bittrex Data'!C238="Limit_Sell"),Bittrex!E238,IF(AND(Bittrex!C238="Trade",'Bittrex Data'!C238="Limit_Buy"),Bittrex!D238,"")))))</f>
        <v/>
      </c>
      <c r="I238" t="str">
        <f>IF('Bittrex Data'!C238="","",IF(Bittrex!C238="Buy",F238,IF(C238="Sale",Bittrex!G238,IF(AND(C238="Trade",'Bittrex Data'!C238="Limit_Sell"),Bittrex!G238,IF(AND(Bittrex!C238="Trade",'Bittrex Data'!C238="Limit_Buy"),F238,"")))))</f>
        <v/>
      </c>
      <c r="J238" t="str">
        <f>IF('Bittrex Data'!B238="","",IF('Bittrex Data'!B238="","",IF(Bittrex!H238=Bittrex!E238,D238,Bittrex!E238)))</f>
        <v/>
      </c>
      <c r="K238" t="str">
        <f>IF('Bittrex Data'!B238="","",IF(Bittrex!I238=Bittrex!G238,Bittrex!F238,Bittrex!G238))</f>
        <v/>
      </c>
    </row>
    <row r="239" spans="3:11" x14ac:dyDescent="0.2">
      <c r="C239" t="str">
        <f>IF('Bittrex Data'!A239="","",IF(AND('Bittrex Data'!C239="LIMIT_SELL",Bittrex!D239="USD"),"Sale",IF(AND('Bittrex Data'!C239="LIMIT_BUY",Bittrex!D239="USD"),"Buy","Trade")))</f>
        <v/>
      </c>
      <c r="D239" t="str">
        <f>IF('Bittrex Data'!B239="","",LEFT(LEFT('Bittrex Data'!B239,SEARCH("-",'Bittrex Data'!B239,1)),LEN(LEFT('Bittrex Data'!B239,SEARCH("-",'Bittrex Data'!B239,1)))-1))</f>
        <v/>
      </c>
      <c r="E239" t="str">
        <f>IF('Bittrex Data'!B239="","",RIGHT(RIGHT('Bittrex Data'!B239,LEN('Bittrex Data'!B239)-SEARCH("-",'Bittrex Data'!B239,1)+1),LEN(RIGHT('Bittrex Data'!B239,LEN('Bittrex Data'!B239)-SEARCH("-",'Bittrex Data'!B239,1)+1))-1))</f>
        <v/>
      </c>
      <c r="F239" t="str">
        <f>IF('Bittrex Data'!C239="","",IF('Bittrex Data'!C239="Limit_Sell",'Bittrex Data'!G239-'Bittrex Data'!F239,IF('Bittrex Data'!C239="Limit_Buy",'Bittrex Data'!G239+'Bittrex Data'!F239,"")))</f>
        <v/>
      </c>
      <c r="G239" t="str">
        <f>IF('Bittrex Data'!B239="","",'Bittrex Data'!D239)</f>
        <v/>
      </c>
      <c r="H239" t="str">
        <f>IF('Bittrex Data'!C239="","",IF(Bittrex!C239="Buy",Bittrex!D239,IF(Bittrex!C239="Sale",Bittrex!E239,IF(AND(Bittrex!C239="Trade",'Bittrex Data'!C239="Limit_Sell"),Bittrex!E239,IF(AND(Bittrex!C239="Trade",'Bittrex Data'!C239="Limit_Buy"),Bittrex!D239,"")))))</f>
        <v/>
      </c>
      <c r="I239" t="str">
        <f>IF('Bittrex Data'!C239="","",IF(Bittrex!C239="Buy",F239,IF(C239="Sale",Bittrex!G239,IF(AND(C239="Trade",'Bittrex Data'!C239="Limit_Sell"),Bittrex!G239,IF(AND(Bittrex!C239="Trade",'Bittrex Data'!C239="Limit_Buy"),F239,"")))))</f>
        <v/>
      </c>
      <c r="J239" t="str">
        <f>IF('Bittrex Data'!B239="","",IF('Bittrex Data'!B239="","",IF(Bittrex!H239=Bittrex!E239,D239,Bittrex!E239)))</f>
        <v/>
      </c>
      <c r="K239" t="str">
        <f>IF('Bittrex Data'!B239="","",IF(Bittrex!I239=Bittrex!G239,Bittrex!F239,Bittrex!G239))</f>
        <v/>
      </c>
    </row>
    <row r="240" spans="3:11" x14ac:dyDescent="0.2">
      <c r="C240" t="str">
        <f>IF('Bittrex Data'!A240="","",IF(AND('Bittrex Data'!C240="LIMIT_SELL",Bittrex!D240="USD"),"Sale",IF(AND('Bittrex Data'!C240="LIMIT_BUY",Bittrex!D240="USD"),"Buy","Trade")))</f>
        <v/>
      </c>
      <c r="D240" t="str">
        <f>IF('Bittrex Data'!B240="","",LEFT(LEFT('Bittrex Data'!B240,SEARCH("-",'Bittrex Data'!B240,1)),LEN(LEFT('Bittrex Data'!B240,SEARCH("-",'Bittrex Data'!B240,1)))-1))</f>
        <v/>
      </c>
      <c r="E240" t="str">
        <f>IF('Bittrex Data'!B240="","",RIGHT(RIGHT('Bittrex Data'!B240,LEN('Bittrex Data'!B240)-SEARCH("-",'Bittrex Data'!B240,1)+1),LEN(RIGHT('Bittrex Data'!B240,LEN('Bittrex Data'!B240)-SEARCH("-",'Bittrex Data'!B240,1)+1))-1))</f>
        <v/>
      </c>
      <c r="F240" t="str">
        <f>IF('Bittrex Data'!C240="","",IF('Bittrex Data'!C240="Limit_Sell",'Bittrex Data'!G240-'Bittrex Data'!F240,IF('Bittrex Data'!C240="Limit_Buy",'Bittrex Data'!G240+'Bittrex Data'!F240,"")))</f>
        <v/>
      </c>
      <c r="G240" t="str">
        <f>IF('Bittrex Data'!B240="","",'Bittrex Data'!D240)</f>
        <v/>
      </c>
      <c r="H240" t="str">
        <f>IF('Bittrex Data'!C240="","",IF(Bittrex!C240="Buy",Bittrex!D240,IF(Bittrex!C240="Sale",Bittrex!E240,IF(AND(Bittrex!C240="Trade",'Bittrex Data'!C240="Limit_Sell"),Bittrex!E240,IF(AND(Bittrex!C240="Trade",'Bittrex Data'!C240="Limit_Buy"),Bittrex!D240,"")))))</f>
        <v/>
      </c>
      <c r="I240" t="str">
        <f>IF('Bittrex Data'!C240="","",IF(Bittrex!C240="Buy",F240,IF(C240="Sale",Bittrex!G240,IF(AND(C240="Trade",'Bittrex Data'!C240="Limit_Sell"),Bittrex!G240,IF(AND(Bittrex!C240="Trade",'Bittrex Data'!C240="Limit_Buy"),F240,"")))))</f>
        <v/>
      </c>
      <c r="J240" t="str">
        <f>IF('Bittrex Data'!B240="","",IF('Bittrex Data'!B240="","",IF(Bittrex!H240=Bittrex!E240,D240,Bittrex!E240)))</f>
        <v/>
      </c>
      <c r="K240" t="str">
        <f>IF('Bittrex Data'!B240="","",IF(Bittrex!I240=Bittrex!G240,Bittrex!F240,Bittrex!G240))</f>
        <v/>
      </c>
    </row>
    <row r="241" spans="3:11" x14ac:dyDescent="0.2">
      <c r="C241" t="str">
        <f>IF('Bittrex Data'!A241="","",IF(AND('Bittrex Data'!C241="LIMIT_SELL",Bittrex!D241="USD"),"Sale",IF(AND('Bittrex Data'!C241="LIMIT_BUY",Bittrex!D241="USD"),"Buy","Trade")))</f>
        <v/>
      </c>
      <c r="D241" t="str">
        <f>IF('Bittrex Data'!B241="","",LEFT(LEFT('Bittrex Data'!B241,SEARCH("-",'Bittrex Data'!B241,1)),LEN(LEFT('Bittrex Data'!B241,SEARCH("-",'Bittrex Data'!B241,1)))-1))</f>
        <v/>
      </c>
      <c r="E241" t="str">
        <f>IF('Bittrex Data'!B241="","",RIGHT(RIGHT('Bittrex Data'!B241,LEN('Bittrex Data'!B241)-SEARCH("-",'Bittrex Data'!B241,1)+1),LEN(RIGHT('Bittrex Data'!B241,LEN('Bittrex Data'!B241)-SEARCH("-",'Bittrex Data'!B241,1)+1))-1))</f>
        <v/>
      </c>
      <c r="F241" t="str">
        <f>IF('Bittrex Data'!C241="","",IF('Bittrex Data'!C241="Limit_Sell",'Bittrex Data'!G241-'Bittrex Data'!F241,IF('Bittrex Data'!C241="Limit_Buy",'Bittrex Data'!G241+'Bittrex Data'!F241,"")))</f>
        <v/>
      </c>
      <c r="G241" t="str">
        <f>IF('Bittrex Data'!B241="","",'Bittrex Data'!D241)</f>
        <v/>
      </c>
      <c r="H241" t="str">
        <f>IF('Bittrex Data'!C241="","",IF(Bittrex!C241="Buy",Bittrex!D241,IF(Bittrex!C241="Sale",Bittrex!E241,IF(AND(Bittrex!C241="Trade",'Bittrex Data'!C241="Limit_Sell"),Bittrex!E241,IF(AND(Bittrex!C241="Trade",'Bittrex Data'!C241="Limit_Buy"),Bittrex!D241,"")))))</f>
        <v/>
      </c>
      <c r="I241" t="str">
        <f>IF('Bittrex Data'!C241="","",IF(Bittrex!C241="Buy",F241,IF(C241="Sale",Bittrex!G241,IF(AND(C241="Trade",'Bittrex Data'!C241="Limit_Sell"),Bittrex!G241,IF(AND(Bittrex!C241="Trade",'Bittrex Data'!C241="Limit_Buy"),F241,"")))))</f>
        <v/>
      </c>
      <c r="J241" t="str">
        <f>IF('Bittrex Data'!B241="","",IF('Bittrex Data'!B241="","",IF(Bittrex!H241=Bittrex!E241,D241,Bittrex!E241)))</f>
        <v/>
      </c>
      <c r="K241" t="str">
        <f>IF('Bittrex Data'!B241="","",IF(Bittrex!I241=Bittrex!G241,Bittrex!F241,Bittrex!G241))</f>
        <v/>
      </c>
    </row>
    <row r="242" spans="3:11" x14ac:dyDescent="0.2">
      <c r="C242" t="str">
        <f>IF('Bittrex Data'!A242="","",IF(AND('Bittrex Data'!C242="LIMIT_SELL",Bittrex!D242="USD"),"Sale",IF(AND('Bittrex Data'!C242="LIMIT_BUY",Bittrex!D242="USD"),"Buy","Trade")))</f>
        <v/>
      </c>
      <c r="D242" t="str">
        <f>IF('Bittrex Data'!B242="","",LEFT(LEFT('Bittrex Data'!B242,SEARCH("-",'Bittrex Data'!B242,1)),LEN(LEFT('Bittrex Data'!B242,SEARCH("-",'Bittrex Data'!B242,1)))-1))</f>
        <v/>
      </c>
      <c r="E242" t="str">
        <f>IF('Bittrex Data'!B242="","",RIGHT(RIGHT('Bittrex Data'!B242,LEN('Bittrex Data'!B242)-SEARCH("-",'Bittrex Data'!B242,1)+1),LEN(RIGHT('Bittrex Data'!B242,LEN('Bittrex Data'!B242)-SEARCH("-",'Bittrex Data'!B242,1)+1))-1))</f>
        <v/>
      </c>
      <c r="F242" t="str">
        <f>IF('Bittrex Data'!C242="","",IF('Bittrex Data'!C242="Limit_Sell",'Bittrex Data'!G242-'Bittrex Data'!F242,IF('Bittrex Data'!C242="Limit_Buy",'Bittrex Data'!G242+'Bittrex Data'!F242,"")))</f>
        <v/>
      </c>
      <c r="G242" t="str">
        <f>IF('Bittrex Data'!B242="","",'Bittrex Data'!D242)</f>
        <v/>
      </c>
      <c r="H242" t="str">
        <f>IF('Bittrex Data'!C242="","",IF(Bittrex!C242="Buy",Bittrex!D242,IF(Bittrex!C242="Sale",Bittrex!E242,IF(AND(Bittrex!C242="Trade",'Bittrex Data'!C242="Limit_Sell"),Bittrex!E242,IF(AND(Bittrex!C242="Trade",'Bittrex Data'!C242="Limit_Buy"),Bittrex!D242,"")))))</f>
        <v/>
      </c>
      <c r="I242" t="str">
        <f>IF('Bittrex Data'!C242="","",IF(Bittrex!C242="Buy",F242,IF(C242="Sale",Bittrex!G242,IF(AND(C242="Trade",'Bittrex Data'!C242="Limit_Sell"),Bittrex!G242,IF(AND(Bittrex!C242="Trade",'Bittrex Data'!C242="Limit_Buy"),F242,"")))))</f>
        <v/>
      </c>
      <c r="J242" t="str">
        <f>IF('Bittrex Data'!B242="","",IF('Bittrex Data'!B242="","",IF(Bittrex!H242=Bittrex!E242,D242,Bittrex!E242)))</f>
        <v/>
      </c>
      <c r="K242" t="str">
        <f>IF('Bittrex Data'!B242="","",IF(Bittrex!I242=Bittrex!G242,Bittrex!F242,Bittrex!G242))</f>
        <v/>
      </c>
    </row>
    <row r="243" spans="3:11" x14ac:dyDescent="0.2">
      <c r="C243" t="str">
        <f>IF('Bittrex Data'!A243="","",IF(AND('Bittrex Data'!C243="LIMIT_SELL",Bittrex!D243="USD"),"Sale",IF(AND('Bittrex Data'!C243="LIMIT_BUY",Bittrex!D243="USD"),"Buy","Trade")))</f>
        <v/>
      </c>
      <c r="D243" t="str">
        <f>IF('Bittrex Data'!B243="","",LEFT(LEFT('Bittrex Data'!B243,SEARCH("-",'Bittrex Data'!B243,1)),LEN(LEFT('Bittrex Data'!B243,SEARCH("-",'Bittrex Data'!B243,1)))-1))</f>
        <v/>
      </c>
      <c r="E243" t="str">
        <f>IF('Bittrex Data'!B243="","",RIGHT(RIGHT('Bittrex Data'!B243,LEN('Bittrex Data'!B243)-SEARCH("-",'Bittrex Data'!B243,1)+1),LEN(RIGHT('Bittrex Data'!B243,LEN('Bittrex Data'!B243)-SEARCH("-",'Bittrex Data'!B243,1)+1))-1))</f>
        <v/>
      </c>
      <c r="F243" t="str">
        <f>IF('Bittrex Data'!C243="","",IF('Bittrex Data'!C243="Limit_Sell",'Bittrex Data'!G243-'Bittrex Data'!F243,IF('Bittrex Data'!C243="Limit_Buy",'Bittrex Data'!G243+'Bittrex Data'!F243,"")))</f>
        <v/>
      </c>
      <c r="G243" t="str">
        <f>IF('Bittrex Data'!B243="","",'Bittrex Data'!D243)</f>
        <v/>
      </c>
      <c r="H243" t="str">
        <f>IF('Bittrex Data'!C243="","",IF(Bittrex!C243="Buy",Bittrex!D243,IF(Bittrex!C243="Sale",Bittrex!E243,IF(AND(Bittrex!C243="Trade",'Bittrex Data'!C243="Limit_Sell"),Bittrex!E243,IF(AND(Bittrex!C243="Trade",'Bittrex Data'!C243="Limit_Buy"),Bittrex!D243,"")))))</f>
        <v/>
      </c>
      <c r="I243" t="str">
        <f>IF('Bittrex Data'!C243="","",IF(Bittrex!C243="Buy",F243,IF(C243="Sale",Bittrex!G243,IF(AND(C243="Trade",'Bittrex Data'!C243="Limit_Sell"),Bittrex!G243,IF(AND(Bittrex!C243="Trade",'Bittrex Data'!C243="Limit_Buy"),F243,"")))))</f>
        <v/>
      </c>
      <c r="J243" t="str">
        <f>IF('Bittrex Data'!B243="","",IF('Bittrex Data'!B243="","",IF(Bittrex!H243=Bittrex!E243,D243,Bittrex!E243)))</f>
        <v/>
      </c>
      <c r="K243" t="str">
        <f>IF('Bittrex Data'!B243="","",IF(Bittrex!I243=Bittrex!G243,Bittrex!F243,Bittrex!G243))</f>
        <v/>
      </c>
    </row>
    <row r="244" spans="3:11" x14ac:dyDescent="0.2">
      <c r="C244" t="str">
        <f>IF('Bittrex Data'!A244="","",IF(AND('Bittrex Data'!C244="LIMIT_SELL",Bittrex!D244="USD"),"Sale",IF(AND('Bittrex Data'!C244="LIMIT_BUY",Bittrex!D244="USD"),"Buy","Trade")))</f>
        <v/>
      </c>
      <c r="D244" t="str">
        <f>IF('Bittrex Data'!B244="","",LEFT(LEFT('Bittrex Data'!B244,SEARCH("-",'Bittrex Data'!B244,1)),LEN(LEFT('Bittrex Data'!B244,SEARCH("-",'Bittrex Data'!B244,1)))-1))</f>
        <v/>
      </c>
      <c r="E244" t="str">
        <f>IF('Bittrex Data'!B244="","",RIGHT(RIGHT('Bittrex Data'!B244,LEN('Bittrex Data'!B244)-SEARCH("-",'Bittrex Data'!B244,1)+1),LEN(RIGHT('Bittrex Data'!B244,LEN('Bittrex Data'!B244)-SEARCH("-",'Bittrex Data'!B244,1)+1))-1))</f>
        <v/>
      </c>
      <c r="F244" t="str">
        <f>IF('Bittrex Data'!C244="","",IF('Bittrex Data'!C244="Limit_Sell",'Bittrex Data'!G244-'Bittrex Data'!F244,IF('Bittrex Data'!C244="Limit_Buy",'Bittrex Data'!G244+'Bittrex Data'!F244,"")))</f>
        <v/>
      </c>
      <c r="G244" t="str">
        <f>IF('Bittrex Data'!B244="","",'Bittrex Data'!D244)</f>
        <v/>
      </c>
      <c r="H244" t="str">
        <f>IF('Bittrex Data'!C244="","",IF(Bittrex!C244="Buy",Bittrex!D244,IF(Bittrex!C244="Sale",Bittrex!E244,IF(AND(Bittrex!C244="Trade",'Bittrex Data'!C244="Limit_Sell"),Bittrex!E244,IF(AND(Bittrex!C244="Trade",'Bittrex Data'!C244="Limit_Buy"),Bittrex!D244,"")))))</f>
        <v/>
      </c>
      <c r="I244" t="str">
        <f>IF('Bittrex Data'!C244="","",IF(Bittrex!C244="Buy",F244,IF(C244="Sale",Bittrex!G244,IF(AND(C244="Trade",'Bittrex Data'!C244="Limit_Sell"),Bittrex!G244,IF(AND(Bittrex!C244="Trade",'Bittrex Data'!C244="Limit_Buy"),F244,"")))))</f>
        <v/>
      </c>
      <c r="J244" t="str">
        <f>IF('Bittrex Data'!B244="","",IF('Bittrex Data'!B244="","",IF(Bittrex!H244=Bittrex!E244,D244,Bittrex!E244)))</f>
        <v/>
      </c>
      <c r="K244" t="str">
        <f>IF('Bittrex Data'!B244="","",IF(Bittrex!I244=Bittrex!G244,Bittrex!F244,Bittrex!G244))</f>
        <v/>
      </c>
    </row>
    <row r="245" spans="3:11" x14ac:dyDescent="0.2">
      <c r="C245" t="str">
        <f>IF('Bittrex Data'!A245="","",IF(AND('Bittrex Data'!C245="LIMIT_SELL",Bittrex!D245="USD"),"Sale",IF(AND('Bittrex Data'!C245="LIMIT_BUY",Bittrex!D245="USD"),"Buy","Trade")))</f>
        <v/>
      </c>
      <c r="D245" t="str">
        <f>IF('Bittrex Data'!B245="","",LEFT(LEFT('Bittrex Data'!B245,SEARCH("-",'Bittrex Data'!B245,1)),LEN(LEFT('Bittrex Data'!B245,SEARCH("-",'Bittrex Data'!B245,1)))-1))</f>
        <v/>
      </c>
      <c r="E245" t="str">
        <f>IF('Bittrex Data'!B245="","",RIGHT(RIGHT('Bittrex Data'!B245,LEN('Bittrex Data'!B245)-SEARCH("-",'Bittrex Data'!B245,1)+1),LEN(RIGHT('Bittrex Data'!B245,LEN('Bittrex Data'!B245)-SEARCH("-",'Bittrex Data'!B245,1)+1))-1))</f>
        <v/>
      </c>
      <c r="F245" t="str">
        <f>IF('Bittrex Data'!C245="","",IF('Bittrex Data'!C245="Limit_Sell",'Bittrex Data'!G245-'Bittrex Data'!F245,IF('Bittrex Data'!C245="Limit_Buy",'Bittrex Data'!G245+'Bittrex Data'!F245,"")))</f>
        <v/>
      </c>
      <c r="G245" t="str">
        <f>IF('Bittrex Data'!B245="","",'Bittrex Data'!D245)</f>
        <v/>
      </c>
      <c r="H245" t="str">
        <f>IF('Bittrex Data'!C245="","",IF(Bittrex!C245="Buy",Bittrex!D245,IF(Bittrex!C245="Sale",Bittrex!E245,IF(AND(Bittrex!C245="Trade",'Bittrex Data'!C245="Limit_Sell"),Bittrex!E245,IF(AND(Bittrex!C245="Trade",'Bittrex Data'!C245="Limit_Buy"),Bittrex!D245,"")))))</f>
        <v/>
      </c>
      <c r="I245" t="str">
        <f>IF('Bittrex Data'!C245="","",IF(Bittrex!C245="Buy",F245,IF(C245="Sale",Bittrex!G245,IF(AND(C245="Trade",'Bittrex Data'!C245="Limit_Sell"),Bittrex!G245,IF(AND(Bittrex!C245="Trade",'Bittrex Data'!C245="Limit_Buy"),F245,"")))))</f>
        <v/>
      </c>
      <c r="J245" t="str">
        <f>IF('Bittrex Data'!B245="","",IF('Bittrex Data'!B245="","",IF(Bittrex!H245=Bittrex!E245,D245,Bittrex!E245)))</f>
        <v/>
      </c>
      <c r="K245" t="str">
        <f>IF('Bittrex Data'!B245="","",IF(Bittrex!I245=Bittrex!G245,Bittrex!F245,Bittrex!G245))</f>
        <v/>
      </c>
    </row>
    <row r="246" spans="3:11" x14ac:dyDescent="0.2">
      <c r="C246" t="str">
        <f>IF('Bittrex Data'!A246="","",IF(AND('Bittrex Data'!C246="LIMIT_SELL",Bittrex!D246="USD"),"Sale",IF(AND('Bittrex Data'!C246="LIMIT_BUY",Bittrex!D246="USD"),"Buy","Trade")))</f>
        <v/>
      </c>
      <c r="D246" t="str">
        <f>IF('Bittrex Data'!B246="","",LEFT(LEFT('Bittrex Data'!B246,SEARCH("-",'Bittrex Data'!B246,1)),LEN(LEFT('Bittrex Data'!B246,SEARCH("-",'Bittrex Data'!B246,1)))-1))</f>
        <v/>
      </c>
      <c r="E246" t="str">
        <f>IF('Bittrex Data'!B246="","",RIGHT(RIGHT('Bittrex Data'!B246,LEN('Bittrex Data'!B246)-SEARCH("-",'Bittrex Data'!B246,1)+1),LEN(RIGHT('Bittrex Data'!B246,LEN('Bittrex Data'!B246)-SEARCH("-",'Bittrex Data'!B246,1)+1))-1))</f>
        <v/>
      </c>
      <c r="F246" t="str">
        <f>IF('Bittrex Data'!C246="","",IF('Bittrex Data'!C246="Limit_Sell",'Bittrex Data'!G246-'Bittrex Data'!F246,IF('Bittrex Data'!C246="Limit_Buy",'Bittrex Data'!G246+'Bittrex Data'!F246,"")))</f>
        <v/>
      </c>
      <c r="G246" t="str">
        <f>IF('Bittrex Data'!B246="","",'Bittrex Data'!D246)</f>
        <v/>
      </c>
      <c r="H246" t="str">
        <f>IF('Bittrex Data'!C246="","",IF(Bittrex!C246="Buy",Bittrex!D246,IF(Bittrex!C246="Sale",Bittrex!E246,IF(AND(Bittrex!C246="Trade",'Bittrex Data'!C246="Limit_Sell"),Bittrex!E246,IF(AND(Bittrex!C246="Trade",'Bittrex Data'!C246="Limit_Buy"),Bittrex!D246,"")))))</f>
        <v/>
      </c>
      <c r="I246" t="str">
        <f>IF('Bittrex Data'!C246="","",IF(Bittrex!C246="Buy",F246,IF(C246="Sale",Bittrex!G246,IF(AND(C246="Trade",'Bittrex Data'!C246="Limit_Sell"),Bittrex!G246,IF(AND(Bittrex!C246="Trade",'Bittrex Data'!C246="Limit_Buy"),F246,"")))))</f>
        <v/>
      </c>
      <c r="J246" t="str">
        <f>IF('Bittrex Data'!B246="","",IF('Bittrex Data'!B246="","",IF(Bittrex!H246=Bittrex!E246,D246,Bittrex!E246)))</f>
        <v/>
      </c>
      <c r="K246" t="str">
        <f>IF('Bittrex Data'!B246="","",IF(Bittrex!I246=Bittrex!G246,Bittrex!F246,Bittrex!G246))</f>
        <v/>
      </c>
    </row>
    <row r="247" spans="3:11" x14ac:dyDescent="0.2">
      <c r="C247" t="str">
        <f>IF('Bittrex Data'!A247="","",IF(AND('Bittrex Data'!C247="LIMIT_SELL",Bittrex!D247="USD"),"Sale",IF(AND('Bittrex Data'!C247="LIMIT_BUY",Bittrex!D247="USD"),"Buy","Trade")))</f>
        <v/>
      </c>
      <c r="D247" t="str">
        <f>IF('Bittrex Data'!B247="","",LEFT(LEFT('Bittrex Data'!B247,SEARCH("-",'Bittrex Data'!B247,1)),LEN(LEFT('Bittrex Data'!B247,SEARCH("-",'Bittrex Data'!B247,1)))-1))</f>
        <v/>
      </c>
      <c r="E247" t="str">
        <f>IF('Bittrex Data'!B247="","",RIGHT(RIGHT('Bittrex Data'!B247,LEN('Bittrex Data'!B247)-SEARCH("-",'Bittrex Data'!B247,1)+1),LEN(RIGHT('Bittrex Data'!B247,LEN('Bittrex Data'!B247)-SEARCH("-",'Bittrex Data'!B247,1)+1))-1))</f>
        <v/>
      </c>
      <c r="F247" t="str">
        <f>IF('Bittrex Data'!C247="","",IF('Bittrex Data'!C247="Limit_Sell",'Bittrex Data'!G247-'Bittrex Data'!F247,IF('Bittrex Data'!C247="Limit_Buy",'Bittrex Data'!G247+'Bittrex Data'!F247,"")))</f>
        <v/>
      </c>
      <c r="G247" t="str">
        <f>IF('Bittrex Data'!B247="","",'Bittrex Data'!D247)</f>
        <v/>
      </c>
      <c r="H247" t="str">
        <f>IF('Bittrex Data'!C247="","",IF(Bittrex!C247="Buy",Bittrex!D247,IF(Bittrex!C247="Sale",Bittrex!E247,IF(AND(Bittrex!C247="Trade",'Bittrex Data'!C247="Limit_Sell"),Bittrex!E247,IF(AND(Bittrex!C247="Trade",'Bittrex Data'!C247="Limit_Buy"),Bittrex!D247,"")))))</f>
        <v/>
      </c>
      <c r="I247" t="str">
        <f>IF('Bittrex Data'!C247="","",IF(Bittrex!C247="Buy",F247,IF(C247="Sale",Bittrex!G247,IF(AND(C247="Trade",'Bittrex Data'!C247="Limit_Sell"),Bittrex!G247,IF(AND(Bittrex!C247="Trade",'Bittrex Data'!C247="Limit_Buy"),F247,"")))))</f>
        <v/>
      </c>
      <c r="J247" t="str">
        <f>IF('Bittrex Data'!B247="","",IF('Bittrex Data'!B247="","",IF(Bittrex!H247=Bittrex!E247,D247,Bittrex!E247)))</f>
        <v/>
      </c>
      <c r="K247" t="str">
        <f>IF('Bittrex Data'!B247="","",IF(Bittrex!I247=Bittrex!G247,Bittrex!F247,Bittrex!G247))</f>
        <v/>
      </c>
    </row>
    <row r="248" spans="3:11" x14ac:dyDescent="0.2">
      <c r="C248" t="str">
        <f>IF('Bittrex Data'!A248="","",IF(AND('Bittrex Data'!C248="LIMIT_SELL",Bittrex!D248="USD"),"Sale",IF(AND('Bittrex Data'!C248="LIMIT_BUY",Bittrex!D248="USD"),"Buy","Trade")))</f>
        <v/>
      </c>
      <c r="D248" t="str">
        <f>IF('Bittrex Data'!B248="","",LEFT(LEFT('Bittrex Data'!B248,SEARCH("-",'Bittrex Data'!B248,1)),LEN(LEFT('Bittrex Data'!B248,SEARCH("-",'Bittrex Data'!B248,1)))-1))</f>
        <v/>
      </c>
      <c r="E248" t="str">
        <f>IF('Bittrex Data'!B248="","",RIGHT(RIGHT('Bittrex Data'!B248,LEN('Bittrex Data'!B248)-SEARCH("-",'Bittrex Data'!B248,1)+1),LEN(RIGHT('Bittrex Data'!B248,LEN('Bittrex Data'!B248)-SEARCH("-",'Bittrex Data'!B248,1)+1))-1))</f>
        <v/>
      </c>
      <c r="F248" t="str">
        <f>IF('Bittrex Data'!C248="","",IF('Bittrex Data'!C248="Limit_Sell",'Bittrex Data'!G248-'Bittrex Data'!F248,IF('Bittrex Data'!C248="Limit_Buy",'Bittrex Data'!G248+'Bittrex Data'!F248,"")))</f>
        <v/>
      </c>
      <c r="G248" t="str">
        <f>IF('Bittrex Data'!B248="","",'Bittrex Data'!D248)</f>
        <v/>
      </c>
      <c r="H248" t="str">
        <f>IF('Bittrex Data'!C248="","",IF(Bittrex!C248="Buy",Bittrex!D248,IF(Bittrex!C248="Sale",Bittrex!E248,IF(AND(Bittrex!C248="Trade",'Bittrex Data'!C248="Limit_Sell"),Bittrex!E248,IF(AND(Bittrex!C248="Trade",'Bittrex Data'!C248="Limit_Buy"),Bittrex!D248,"")))))</f>
        <v/>
      </c>
      <c r="I248" t="str">
        <f>IF('Bittrex Data'!C248="","",IF(Bittrex!C248="Buy",F248,IF(C248="Sale",Bittrex!G248,IF(AND(C248="Trade",'Bittrex Data'!C248="Limit_Sell"),Bittrex!G248,IF(AND(Bittrex!C248="Trade",'Bittrex Data'!C248="Limit_Buy"),F248,"")))))</f>
        <v/>
      </c>
      <c r="J248" t="str">
        <f>IF('Bittrex Data'!B248="","",IF('Bittrex Data'!B248="","",IF(Bittrex!H248=Bittrex!E248,D248,Bittrex!E248)))</f>
        <v/>
      </c>
      <c r="K248" t="str">
        <f>IF('Bittrex Data'!B248="","",IF(Bittrex!I248=Bittrex!G248,Bittrex!F248,Bittrex!G248))</f>
        <v/>
      </c>
    </row>
    <row r="249" spans="3:11" x14ac:dyDescent="0.2">
      <c r="C249" t="str">
        <f>IF('Bittrex Data'!A249="","",IF(AND('Bittrex Data'!C249="LIMIT_SELL",Bittrex!D249="USD"),"Sale",IF(AND('Bittrex Data'!C249="LIMIT_BUY",Bittrex!D249="USD"),"Buy","Trade")))</f>
        <v/>
      </c>
      <c r="D249" t="str">
        <f>IF('Bittrex Data'!B249="","",LEFT(LEFT('Bittrex Data'!B249,SEARCH("-",'Bittrex Data'!B249,1)),LEN(LEFT('Bittrex Data'!B249,SEARCH("-",'Bittrex Data'!B249,1)))-1))</f>
        <v/>
      </c>
      <c r="E249" t="str">
        <f>IF('Bittrex Data'!B249="","",RIGHT(RIGHT('Bittrex Data'!B249,LEN('Bittrex Data'!B249)-SEARCH("-",'Bittrex Data'!B249,1)+1),LEN(RIGHT('Bittrex Data'!B249,LEN('Bittrex Data'!B249)-SEARCH("-",'Bittrex Data'!B249,1)+1))-1))</f>
        <v/>
      </c>
      <c r="F249" t="str">
        <f>IF('Bittrex Data'!C249="","",IF('Bittrex Data'!C249="Limit_Sell",'Bittrex Data'!G249-'Bittrex Data'!F249,IF('Bittrex Data'!C249="Limit_Buy",'Bittrex Data'!G249+'Bittrex Data'!F249,"")))</f>
        <v/>
      </c>
      <c r="G249" t="str">
        <f>IF('Bittrex Data'!B249="","",'Bittrex Data'!D249)</f>
        <v/>
      </c>
      <c r="H249" t="str">
        <f>IF('Bittrex Data'!C249="","",IF(Bittrex!C249="Buy",Bittrex!D249,IF(Bittrex!C249="Sale",Bittrex!E249,IF(AND(Bittrex!C249="Trade",'Bittrex Data'!C249="Limit_Sell"),Bittrex!E249,IF(AND(Bittrex!C249="Trade",'Bittrex Data'!C249="Limit_Buy"),Bittrex!D249,"")))))</f>
        <v/>
      </c>
      <c r="I249" t="str">
        <f>IF('Bittrex Data'!C249="","",IF(Bittrex!C249="Buy",F249,IF(C249="Sale",Bittrex!G249,IF(AND(C249="Trade",'Bittrex Data'!C249="Limit_Sell"),Bittrex!G249,IF(AND(Bittrex!C249="Trade",'Bittrex Data'!C249="Limit_Buy"),F249,"")))))</f>
        <v/>
      </c>
      <c r="J249" t="str">
        <f>IF('Bittrex Data'!B249="","",IF('Bittrex Data'!B249="","",IF(Bittrex!H249=Bittrex!E249,D249,Bittrex!E249)))</f>
        <v/>
      </c>
      <c r="K249" t="str">
        <f>IF('Bittrex Data'!B249="","",IF(Bittrex!I249=Bittrex!G249,Bittrex!F249,Bittrex!G249))</f>
        <v/>
      </c>
    </row>
    <row r="250" spans="3:11" x14ac:dyDescent="0.2">
      <c r="C250" t="str">
        <f>IF('Bittrex Data'!A250="","",IF(AND('Bittrex Data'!C250="LIMIT_SELL",Bittrex!D250="USD"),"Sale",IF(AND('Bittrex Data'!C250="LIMIT_BUY",Bittrex!D250="USD"),"Buy","Trade")))</f>
        <v/>
      </c>
      <c r="D250" t="str">
        <f>IF('Bittrex Data'!B250="","",LEFT(LEFT('Bittrex Data'!B250,SEARCH("-",'Bittrex Data'!B250,1)),LEN(LEFT('Bittrex Data'!B250,SEARCH("-",'Bittrex Data'!B250,1)))-1))</f>
        <v/>
      </c>
      <c r="E250" t="str">
        <f>IF('Bittrex Data'!B250="","",RIGHT(RIGHT('Bittrex Data'!B250,LEN('Bittrex Data'!B250)-SEARCH("-",'Bittrex Data'!B250,1)+1),LEN(RIGHT('Bittrex Data'!B250,LEN('Bittrex Data'!B250)-SEARCH("-",'Bittrex Data'!B250,1)+1))-1))</f>
        <v/>
      </c>
      <c r="F250" t="str">
        <f>IF('Bittrex Data'!C250="","",IF('Bittrex Data'!C250="Limit_Sell",'Bittrex Data'!G250-'Bittrex Data'!F250,IF('Bittrex Data'!C250="Limit_Buy",'Bittrex Data'!G250+'Bittrex Data'!F250,"")))</f>
        <v/>
      </c>
      <c r="G250" t="str">
        <f>IF('Bittrex Data'!B250="","",'Bittrex Data'!D250)</f>
        <v/>
      </c>
      <c r="H250" t="str">
        <f>IF('Bittrex Data'!C250="","",IF(Bittrex!C250="Buy",Bittrex!D250,IF(Bittrex!C250="Sale",Bittrex!E250,IF(AND(Bittrex!C250="Trade",'Bittrex Data'!C250="Limit_Sell"),Bittrex!E250,IF(AND(Bittrex!C250="Trade",'Bittrex Data'!C250="Limit_Buy"),Bittrex!D250,"")))))</f>
        <v/>
      </c>
      <c r="I250" t="str">
        <f>IF('Bittrex Data'!C250="","",IF(Bittrex!C250="Buy",F250,IF(C250="Sale",Bittrex!G250,IF(AND(C250="Trade",'Bittrex Data'!C250="Limit_Sell"),Bittrex!G250,IF(AND(Bittrex!C250="Trade",'Bittrex Data'!C250="Limit_Buy"),F250,"")))))</f>
        <v/>
      </c>
      <c r="J250" t="str">
        <f>IF('Bittrex Data'!B250="","",IF('Bittrex Data'!B250="","",IF(Bittrex!H250=Bittrex!E250,D250,Bittrex!E250)))</f>
        <v/>
      </c>
      <c r="K250" t="str">
        <f>IF('Bittrex Data'!B250="","",IF(Bittrex!I250=Bittrex!G250,Bittrex!F250,Bittrex!G250))</f>
        <v/>
      </c>
    </row>
    <row r="251" spans="3:11" x14ac:dyDescent="0.2">
      <c r="C251" t="str">
        <f>IF('Bittrex Data'!A251="","",IF(AND('Bittrex Data'!C251="LIMIT_SELL",Bittrex!D251="USD"),"Sale",IF(AND('Bittrex Data'!C251="LIMIT_BUY",Bittrex!D251="USD"),"Buy","Trade")))</f>
        <v/>
      </c>
      <c r="D251" t="str">
        <f>IF('Bittrex Data'!B251="","",LEFT(LEFT('Bittrex Data'!B251,SEARCH("-",'Bittrex Data'!B251,1)),LEN(LEFT('Bittrex Data'!B251,SEARCH("-",'Bittrex Data'!B251,1)))-1))</f>
        <v/>
      </c>
      <c r="E251" t="str">
        <f>IF('Bittrex Data'!B251="","",RIGHT(RIGHT('Bittrex Data'!B251,LEN('Bittrex Data'!B251)-SEARCH("-",'Bittrex Data'!B251,1)+1),LEN(RIGHT('Bittrex Data'!B251,LEN('Bittrex Data'!B251)-SEARCH("-",'Bittrex Data'!B251,1)+1))-1))</f>
        <v/>
      </c>
      <c r="F251" t="str">
        <f>IF('Bittrex Data'!C251="","",IF('Bittrex Data'!C251="Limit_Sell",'Bittrex Data'!G251-'Bittrex Data'!F251,IF('Bittrex Data'!C251="Limit_Buy",'Bittrex Data'!G251+'Bittrex Data'!F251,"")))</f>
        <v/>
      </c>
      <c r="G251" t="str">
        <f>IF('Bittrex Data'!B251="","",'Bittrex Data'!D251)</f>
        <v/>
      </c>
      <c r="H251" t="str">
        <f>IF('Bittrex Data'!C251="","",IF(Bittrex!C251="Buy",Bittrex!D251,IF(Bittrex!C251="Sale",Bittrex!E251,IF(AND(Bittrex!C251="Trade",'Bittrex Data'!C251="Limit_Sell"),Bittrex!E251,IF(AND(Bittrex!C251="Trade",'Bittrex Data'!C251="Limit_Buy"),Bittrex!D251,"")))))</f>
        <v/>
      </c>
      <c r="I251" t="str">
        <f>IF('Bittrex Data'!C251="","",IF(Bittrex!C251="Buy",F251,IF(C251="Sale",Bittrex!G251,IF(AND(C251="Trade",'Bittrex Data'!C251="Limit_Sell"),Bittrex!G251,IF(AND(Bittrex!C251="Trade",'Bittrex Data'!C251="Limit_Buy"),F251,"")))))</f>
        <v/>
      </c>
      <c r="J251" t="str">
        <f>IF('Bittrex Data'!B251="","",IF('Bittrex Data'!B251="","",IF(Bittrex!H251=Bittrex!E251,D251,Bittrex!E251)))</f>
        <v/>
      </c>
      <c r="K251" t="str">
        <f>IF('Bittrex Data'!B251="","",IF(Bittrex!I251=Bittrex!G251,Bittrex!F251,Bittrex!G251))</f>
        <v/>
      </c>
    </row>
    <row r="252" spans="3:11" x14ac:dyDescent="0.2">
      <c r="C252" t="str">
        <f>IF('Bittrex Data'!A252="","",IF(AND('Bittrex Data'!C252="LIMIT_SELL",Bittrex!D252="USD"),"Sale",IF(AND('Bittrex Data'!C252="LIMIT_BUY",Bittrex!D252="USD"),"Buy","Trade")))</f>
        <v/>
      </c>
      <c r="D252" t="str">
        <f>IF('Bittrex Data'!B252="","",LEFT(LEFT('Bittrex Data'!B252,SEARCH("-",'Bittrex Data'!B252,1)),LEN(LEFT('Bittrex Data'!B252,SEARCH("-",'Bittrex Data'!B252,1)))-1))</f>
        <v/>
      </c>
      <c r="E252" t="str">
        <f>IF('Bittrex Data'!B252="","",RIGHT(RIGHT('Bittrex Data'!B252,LEN('Bittrex Data'!B252)-SEARCH("-",'Bittrex Data'!B252,1)+1),LEN(RIGHT('Bittrex Data'!B252,LEN('Bittrex Data'!B252)-SEARCH("-",'Bittrex Data'!B252,1)+1))-1))</f>
        <v/>
      </c>
      <c r="F252" t="str">
        <f>IF('Bittrex Data'!C252="","",IF('Bittrex Data'!C252="Limit_Sell",'Bittrex Data'!G252-'Bittrex Data'!F252,IF('Bittrex Data'!C252="Limit_Buy",'Bittrex Data'!G252+'Bittrex Data'!F252,"")))</f>
        <v/>
      </c>
      <c r="G252" t="str">
        <f>IF('Bittrex Data'!B252="","",'Bittrex Data'!D252)</f>
        <v/>
      </c>
      <c r="H252" t="str">
        <f>IF('Bittrex Data'!C252="","",IF(Bittrex!C252="Buy",Bittrex!D252,IF(Bittrex!C252="Sale",Bittrex!E252,IF(AND(Bittrex!C252="Trade",'Bittrex Data'!C252="Limit_Sell"),Bittrex!E252,IF(AND(Bittrex!C252="Trade",'Bittrex Data'!C252="Limit_Buy"),Bittrex!D252,"")))))</f>
        <v/>
      </c>
      <c r="I252" t="str">
        <f>IF('Bittrex Data'!C252="","",IF(Bittrex!C252="Buy",F252,IF(C252="Sale",Bittrex!G252,IF(AND(C252="Trade",'Bittrex Data'!C252="Limit_Sell"),Bittrex!G252,IF(AND(Bittrex!C252="Trade",'Bittrex Data'!C252="Limit_Buy"),F252,"")))))</f>
        <v/>
      </c>
      <c r="J252" t="str">
        <f>IF('Bittrex Data'!B252="","",IF('Bittrex Data'!B252="","",IF(Bittrex!H252=Bittrex!E252,D252,Bittrex!E252)))</f>
        <v/>
      </c>
      <c r="K252" t="str">
        <f>IF('Bittrex Data'!B252="","",IF(Bittrex!I252=Bittrex!G252,Bittrex!F252,Bittrex!G252))</f>
        <v/>
      </c>
    </row>
    <row r="253" spans="3:11" x14ac:dyDescent="0.2">
      <c r="C253" t="str">
        <f>IF('Bittrex Data'!A253="","",IF(AND('Bittrex Data'!C253="LIMIT_SELL",Bittrex!D253="USD"),"Sale",IF(AND('Bittrex Data'!C253="LIMIT_BUY",Bittrex!D253="USD"),"Buy","Trade")))</f>
        <v/>
      </c>
      <c r="D253" t="str">
        <f>IF('Bittrex Data'!B253="","",LEFT(LEFT('Bittrex Data'!B253,SEARCH("-",'Bittrex Data'!B253,1)),LEN(LEFT('Bittrex Data'!B253,SEARCH("-",'Bittrex Data'!B253,1)))-1))</f>
        <v/>
      </c>
      <c r="E253" t="str">
        <f>IF('Bittrex Data'!B253="","",RIGHT(RIGHT('Bittrex Data'!B253,LEN('Bittrex Data'!B253)-SEARCH("-",'Bittrex Data'!B253,1)+1),LEN(RIGHT('Bittrex Data'!B253,LEN('Bittrex Data'!B253)-SEARCH("-",'Bittrex Data'!B253,1)+1))-1))</f>
        <v/>
      </c>
      <c r="F253" t="str">
        <f>IF('Bittrex Data'!C253="","",IF('Bittrex Data'!C253="Limit_Sell",'Bittrex Data'!G253-'Bittrex Data'!F253,IF('Bittrex Data'!C253="Limit_Buy",'Bittrex Data'!G253+'Bittrex Data'!F253,"")))</f>
        <v/>
      </c>
      <c r="G253" t="str">
        <f>IF('Bittrex Data'!B253="","",'Bittrex Data'!D253)</f>
        <v/>
      </c>
      <c r="H253" t="str">
        <f>IF('Bittrex Data'!C253="","",IF(Bittrex!C253="Buy",Bittrex!D253,IF(Bittrex!C253="Sale",Bittrex!E253,IF(AND(Bittrex!C253="Trade",'Bittrex Data'!C253="Limit_Sell"),Bittrex!E253,IF(AND(Bittrex!C253="Trade",'Bittrex Data'!C253="Limit_Buy"),Bittrex!D253,"")))))</f>
        <v/>
      </c>
      <c r="I253" t="str">
        <f>IF('Bittrex Data'!C253="","",IF(Bittrex!C253="Buy",F253,IF(C253="Sale",Bittrex!G253,IF(AND(C253="Trade",'Bittrex Data'!C253="Limit_Sell"),Bittrex!G253,IF(AND(Bittrex!C253="Trade",'Bittrex Data'!C253="Limit_Buy"),F253,"")))))</f>
        <v/>
      </c>
      <c r="J253" t="str">
        <f>IF('Bittrex Data'!B253="","",IF('Bittrex Data'!B253="","",IF(Bittrex!H253=Bittrex!E253,D253,Bittrex!E253)))</f>
        <v/>
      </c>
      <c r="K253" t="str">
        <f>IF('Bittrex Data'!B253="","",IF(Bittrex!I253=Bittrex!G253,Bittrex!F253,Bittrex!G253))</f>
        <v/>
      </c>
    </row>
    <row r="254" spans="3:11" x14ac:dyDescent="0.2">
      <c r="C254" t="str">
        <f>IF('Bittrex Data'!A254="","",IF(AND('Bittrex Data'!C254="LIMIT_SELL",Bittrex!D254="USD"),"Sale",IF(AND('Bittrex Data'!C254="LIMIT_BUY",Bittrex!D254="USD"),"Buy","Trade")))</f>
        <v/>
      </c>
      <c r="D254" t="str">
        <f>IF('Bittrex Data'!B254="","",LEFT(LEFT('Bittrex Data'!B254,SEARCH("-",'Bittrex Data'!B254,1)),LEN(LEFT('Bittrex Data'!B254,SEARCH("-",'Bittrex Data'!B254,1)))-1))</f>
        <v/>
      </c>
      <c r="E254" t="str">
        <f>IF('Bittrex Data'!B254="","",RIGHT(RIGHT('Bittrex Data'!B254,LEN('Bittrex Data'!B254)-SEARCH("-",'Bittrex Data'!B254,1)+1),LEN(RIGHT('Bittrex Data'!B254,LEN('Bittrex Data'!B254)-SEARCH("-",'Bittrex Data'!B254,1)+1))-1))</f>
        <v/>
      </c>
      <c r="F254" t="str">
        <f>IF('Bittrex Data'!C254="","",IF('Bittrex Data'!C254="Limit_Sell",'Bittrex Data'!G254-'Bittrex Data'!F254,IF('Bittrex Data'!C254="Limit_Buy",'Bittrex Data'!G254+'Bittrex Data'!F254,"")))</f>
        <v/>
      </c>
      <c r="G254" t="str">
        <f>IF('Bittrex Data'!B254="","",'Bittrex Data'!D254)</f>
        <v/>
      </c>
      <c r="H254" t="str">
        <f>IF('Bittrex Data'!C254="","",IF(Bittrex!C254="Buy",Bittrex!D254,IF(Bittrex!C254="Sale",Bittrex!E254,IF(AND(Bittrex!C254="Trade",'Bittrex Data'!C254="Limit_Sell"),Bittrex!E254,IF(AND(Bittrex!C254="Trade",'Bittrex Data'!C254="Limit_Buy"),Bittrex!D254,"")))))</f>
        <v/>
      </c>
      <c r="I254" t="str">
        <f>IF('Bittrex Data'!C254="","",IF(Bittrex!C254="Buy",F254,IF(C254="Sale",Bittrex!G254,IF(AND(C254="Trade",'Bittrex Data'!C254="Limit_Sell"),Bittrex!G254,IF(AND(Bittrex!C254="Trade",'Bittrex Data'!C254="Limit_Buy"),F254,"")))))</f>
        <v/>
      </c>
      <c r="J254" t="str">
        <f>IF('Bittrex Data'!B254="","",IF('Bittrex Data'!B254="","",IF(Bittrex!H254=Bittrex!E254,D254,Bittrex!E254)))</f>
        <v/>
      </c>
      <c r="K254" t="str">
        <f>IF('Bittrex Data'!B254="","",IF(Bittrex!I254=Bittrex!G254,Bittrex!F254,Bittrex!G254))</f>
        <v/>
      </c>
    </row>
    <row r="255" spans="3:11" x14ac:dyDescent="0.2">
      <c r="C255" t="str">
        <f>IF('Bittrex Data'!A255="","",IF(AND('Bittrex Data'!C255="LIMIT_SELL",Bittrex!D255="USD"),"Sale",IF(AND('Bittrex Data'!C255="LIMIT_BUY",Bittrex!D255="USD"),"Buy","Trade")))</f>
        <v/>
      </c>
      <c r="D255" t="str">
        <f>IF('Bittrex Data'!B255="","",LEFT(LEFT('Bittrex Data'!B255,SEARCH("-",'Bittrex Data'!B255,1)),LEN(LEFT('Bittrex Data'!B255,SEARCH("-",'Bittrex Data'!B255,1)))-1))</f>
        <v/>
      </c>
      <c r="E255" t="str">
        <f>IF('Bittrex Data'!B255="","",RIGHT(RIGHT('Bittrex Data'!B255,LEN('Bittrex Data'!B255)-SEARCH("-",'Bittrex Data'!B255,1)+1),LEN(RIGHT('Bittrex Data'!B255,LEN('Bittrex Data'!B255)-SEARCH("-",'Bittrex Data'!B255,1)+1))-1))</f>
        <v/>
      </c>
      <c r="F255" t="str">
        <f>IF('Bittrex Data'!C255="","",IF('Bittrex Data'!C255="Limit_Sell",'Bittrex Data'!G255-'Bittrex Data'!F255,IF('Bittrex Data'!C255="Limit_Buy",'Bittrex Data'!G255+'Bittrex Data'!F255,"")))</f>
        <v/>
      </c>
      <c r="G255" t="str">
        <f>IF('Bittrex Data'!B255="","",'Bittrex Data'!D255)</f>
        <v/>
      </c>
      <c r="H255" t="str">
        <f>IF('Bittrex Data'!C255="","",IF(Bittrex!C255="Buy",Bittrex!D255,IF(Bittrex!C255="Sale",Bittrex!E255,IF(AND(Bittrex!C255="Trade",'Bittrex Data'!C255="Limit_Sell"),Bittrex!E255,IF(AND(Bittrex!C255="Trade",'Bittrex Data'!C255="Limit_Buy"),Bittrex!D255,"")))))</f>
        <v/>
      </c>
      <c r="I255" t="str">
        <f>IF('Bittrex Data'!C255="","",IF(Bittrex!C255="Buy",F255,IF(C255="Sale",Bittrex!G255,IF(AND(C255="Trade",'Bittrex Data'!C255="Limit_Sell"),Bittrex!G255,IF(AND(Bittrex!C255="Trade",'Bittrex Data'!C255="Limit_Buy"),F255,"")))))</f>
        <v/>
      </c>
      <c r="J255" t="str">
        <f>IF('Bittrex Data'!B255="","",IF('Bittrex Data'!B255="","",IF(Bittrex!H255=Bittrex!E255,D255,Bittrex!E255)))</f>
        <v/>
      </c>
      <c r="K255" t="str">
        <f>IF('Bittrex Data'!B255="","",IF(Bittrex!I255=Bittrex!G255,Bittrex!F255,Bittrex!G255))</f>
        <v/>
      </c>
    </row>
    <row r="256" spans="3:11" x14ac:dyDescent="0.2">
      <c r="C256" t="str">
        <f>IF('Bittrex Data'!A256="","",IF(AND('Bittrex Data'!C256="LIMIT_SELL",Bittrex!D256="USD"),"Sale",IF(AND('Bittrex Data'!C256="LIMIT_BUY",Bittrex!D256="USD"),"Buy","Trade")))</f>
        <v/>
      </c>
      <c r="D256" t="str">
        <f>IF('Bittrex Data'!B256="","",LEFT(LEFT('Bittrex Data'!B256,SEARCH("-",'Bittrex Data'!B256,1)),LEN(LEFT('Bittrex Data'!B256,SEARCH("-",'Bittrex Data'!B256,1)))-1))</f>
        <v/>
      </c>
      <c r="E256" t="str">
        <f>IF('Bittrex Data'!B256="","",RIGHT(RIGHT('Bittrex Data'!B256,LEN('Bittrex Data'!B256)-SEARCH("-",'Bittrex Data'!B256,1)+1),LEN(RIGHT('Bittrex Data'!B256,LEN('Bittrex Data'!B256)-SEARCH("-",'Bittrex Data'!B256,1)+1))-1))</f>
        <v/>
      </c>
      <c r="F256" t="str">
        <f>IF('Bittrex Data'!C256="","",IF('Bittrex Data'!C256="Limit_Sell",'Bittrex Data'!G256-'Bittrex Data'!F256,IF('Bittrex Data'!C256="Limit_Buy",'Bittrex Data'!G256+'Bittrex Data'!F256,"")))</f>
        <v/>
      </c>
      <c r="G256" t="str">
        <f>IF('Bittrex Data'!B256="","",'Bittrex Data'!D256)</f>
        <v/>
      </c>
      <c r="H256" t="str">
        <f>IF('Bittrex Data'!C256="","",IF(Bittrex!C256="Buy",Bittrex!D256,IF(Bittrex!C256="Sale",Bittrex!E256,IF(AND(Bittrex!C256="Trade",'Bittrex Data'!C256="Limit_Sell"),Bittrex!E256,IF(AND(Bittrex!C256="Trade",'Bittrex Data'!C256="Limit_Buy"),Bittrex!D256,"")))))</f>
        <v/>
      </c>
      <c r="I256" t="str">
        <f>IF('Bittrex Data'!C256="","",IF(Bittrex!C256="Buy",F256,IF(C256="Sale",Bittrex!G256,IF(AND(C256="Trade",'Bittrex Data'!C256="Limit_Sell"),Bittrex!G256,IF(AND(Bittrex!C256="Trade",'Bittrex Data'!C256="Limit_Buy"),F256,"")))))</f>
        <v/>
      </c>
      <c r="J256" t="str">
        <f>IF('Bittrex Data'!B256="","",IF('Bittrex Data'!B256="","",IF(Bittrex!H256=Bittrex!E256,D256,Bittrex!E256)))</f>
        <v/>
      </c>
      <c r="K256" t="str">
        <f>IF('Bittrex Data'!B256="","",IF(Bittrex!I256=Bittrex!G256,Bittrex!F256,Bittrex!G256))</f>
        <v/>
      </c>
    </row>
    <row r="257" spans="3:11" x14ac:dyDescent="0.2">
      <c r="C257" t="str">
        <f>IF('Bittrex Data'!A257="","",IF(AND('Bittrex Data'!C257="LIMIT_SELL",Bittrex!D257="USD"),"Sale",IF(AND('Bittrex Data'!C257="LIMIT_BUY",Bittrex!D257="USD"),"Buy","Trade")))</f>
        <v/>
      </c>
      <c r="D257" t="str">
        <f>IF('Bittrex Data'!B257="","",LEFT(LEFT('Bittrex Data'!B257,SEARCH("-",'Bittrex Data'!B257,1)),LEN(LEFT('Bittrex Data'!B257,SEARCH("-",'Bittrex Data'!B257,1)))-1))</f>
        <v/>
      </c>
      <c r="E257" t="str">
        <f>IF('Bittrex Data'!B257="","",RIGHT(RIGHT('Bittrex Data'!B257,LEN('Bittrex Data'!B257)-SEARCH("-",'Bittrex Data'!B257,1)+1),LEN(RIGHT('Bittrex Data'!B257,LEN('Bittrex Data'!B257)-SEARCH("-",'Bittrex Data'!B257,1)+1))-1))</f>
        <v/>
      </c>
      <c r="F257" t="str">
        <f>IF('Bittrex Data'!C257="","",IF('Bittrex Data'!C257="Limit_Sell",'Bittrex Data'!G257-'Bittrex Data'!F257,IF('Bittrex Data'!C257="Limit_Buy",'Bittrex Data'!G257+'Bittrex Data'!F257,"")))</f>
        <v/>
      </c>
      <c r="G257" t="str">
        <f>IF('Bittrex Data'!B257="","",'Bittrex Data'!D257)</f>
        <v/>
      </c>
      <c r="H257" t="str">
        <f>IF('Bittrex Data'!C257="","",IF(Bittrex!C257="Buy",Bittrex!D257,IF(Bittrex!C257="Sale",Bittrex!E257,IF(AND(Bittrex!C257="Trade",'Bittrex Data'!C257="Limit_Sell"),Bittrex!E257,IF(AND(Bittrex!C257="Trade",'Bittrex Data'!C257="Limit_Buy"),Bittrex!D257,"")))))</f>
        <v/>
      </c>
      <c r="I257" t="str">
        <f>IF('Bittrex Data'!C257="","",IF(Bittrex!C257="Buy",F257,IF(C257="Sale",Bittrex!G257,IF(AND(C257="Trade",'Bittrex Data'!C257="Limit_Sell"),Bittrex!G257,IF(AND(Bittrex!C257="Trade",'Bittrex Data'!C257="Limit_Buy"),F257,"")))))</f>
        <v/>
      </c>
      <c r="J257" t="str">
        <f>IF('Bittrex Data'!B257="","",IF('Bittrex Data'!B257="","",IF(Bittrex!H257=Bittrex!E257,D257,Bittrex!E257)))</f>
        <v/>
      </c>
      <c r="K257" t="str">
        <f>IF('Bittrex Data'!B257="","",IF(Bittrex!I257=Bittrex!G257,Bittrex!F257,Bittrex!G257))</f>
        <v/>
      </c>
    </row>
    <row r="258" spans="3:11" x14ac:dyDescent="0.2">
      <c r="C258" t="str">
        <f>IF('Bittrex Data'!A258="","",IF(AND('Bittrex Data'!C258="LIMIT_SELL",Bittrex!D258="USD"),"Sale",IF(AND('Bittrex Data'!C258="LIMIT_BUY",Bittrex!D258="USD"),"Buy","Trade")))</f>
        <v/>
      </c>
      <c r="D258" t="str">
        <f>IF('Bittrex Data'!B258="","",LEFT(LEFT('Bittrex Data'!B258,SEARCH("-",'Bittrex Data'!B258,1)),LEN(LEFT('Bittrex Data'!B258,SEARCH("-",'Bittrex Data'!B258,1)))-1))</f>
        <v/>
      </c>
      <c r="E258" t="str">
        <f>IF('Bittrex Data'!B258="","",RIGHT(RIGHT('Bittrex Data'!B258,LEN('Bittrex Data'!B258)-SEARCH("-",'Bittrex Data'!B258,1)+1),LEN(RIGHT('Bittrex Data'!B258,LEN('Bittrex Data'!B258)-SEARCH("-",'Bittrex Data'!B258,1)+1))-1))</f>
        <v/>
      </c>
      <c r="F258" t="str">
        <f>IF('Bittrex Data'!C258="","",IF('Bittrex Data'!C258="Limit_Sell",'Bittrex Data'!G258-'Bittrex Data'!F258,IF('Bittrex Data'!C258="Limit_Buy",'Bittrex Data'!G258+'Bittrex Data'!F258,"")))</f>
        <v/>
      </c>
      <c r="G258" t="str">
        <f>IF('Bittrex Data'!B258="","",'Bittrex Data'!D258)</f>
        <v/>
      </c>
      <c r="H258" t="str">
        <f>IF('Bittrex Data'!C258="","",IF(Bittrex!C258="Buy",Bittrex!D258,IF(Bittrex!C258="Sale",Bittrex!E258,IF(AND(Bittrex!C258="Trade",'Bittrex Data'!C258="Limit_Sell"),Bittrex!E258,IF(AND(Bittrex!C258="Trade",'Bittrex Data'!C258="Limit_Buy"),Bittrex!D258,"")))))</f>
        <v/>
      </c>
      <c r="I258" t="str">
        <f>IF('Bittrex Data'!C258="","",IF(Bittrex!C258="Buy",F258,IF(C258="Sale",Bittrex!G258,IF(AND(C258="Trade",'Bittrex Data'!C258="Limit_Sell"),Bittrex!G258,IF(AND(Bittrex!C258="Trade",'Bittrex Data'!C258="Limit_Buy"),F258,"")))))</f>
        <v/>
      </c>
      <c r="J258" t="str">
        <f>IF('Bittrex Data'!B258="","",IF('Bittrex Data'!B258="","",IF(Bittrex!H258=Bittrex!E258,D258,Bittrex!E258)))</f>
        <v/>
      </c>
      <c r="K258" t="str">
        <f>IF('Bittrex Data'!B258="","",IF(Bittrex!I258=Bittrex!G258,Bittrex!F258,Bittrex!G258))</f>
        <v/>
      </c>
    </row>
    <row r="259" spans="3:11" x14ac:dyDescent="0.2">
      <c r="C259" t="str">
        <f>IF('Bittrex Data'!A259="","",IF(AND('Bittrex Data'!C259="LIMIT_SELL",Bittrex!D259="USD"),"Sale",IF(AND('Bittrex Data'!C259="LIMIT_BUY",Bittrex!D259="USD"),"Buy","Trade")))</f>
        <v/>
      </c>
      <c r="D259" t="str">
        <f>IF('Bittrex Data'!B259="","",LEFT(LEFT('Bittrex Data'!B259,SEARCH("-",'Bittrex Data'!B259,1)),LEN(LEFT('Bittrex Data'!B259,SEARCH("-",'Bittrex Data'!B259,1)))-1))</f>
        <v/>
      </c>
      <c r="E259" t="str">
        <f>IF('Bittrex Data'!B259="","",RIGHT(RIGHT('Bittrex Data'!B259,LEN('Bittrex Data'!B259)-SEARCH("-",'Bittrex Data'!B259,1)+1),LEN(RIGHT('Bittrex Data'!B259,LEN('Bittrex Data'!B259)-SEARCH("-",'Bittrex Data'!B259,1)+1))-1))</f>
        <v/>
      </c>
      <c r="F259" t="str">
        <f>IF('Bittrex Data'!C259="","",IF('Bittrex Data'!C259="Limit_Sell",'Bittrex Data'!G259-'Bittrex Data'!F259,IF('Bittrex Data'!C259="Limit_Buy",'Bittrex Data'!G259+'Bittrex Data'!F259,"")))</f>
        <v/>
      </c>
      <c r="G259" t="str">
        <f>IF('Bittrex Data'!B259="","",'Bittrex Data'!D259)</f>
        <v/>
      </c>
      <c r="H259" t="str">
        <f>IF('Bittrex Data'!C259="","",IF(Bittrex!C259="Buy",Bittrex!D259,IF(Bittrex!C259="Sale",Bittrex!E259,IF(AND(Bittrex!C259="Trade",'Bittrex Data'!C259="Limit_Sell"),Bittrex!E259,IF(AND(Bittrex!C259="Trade",'Bittrex Data'!C259="Limit_Buy"),Bittrex!D259,"")))))</f>
        <v/>
      </c>
      <c r="I259" t="str">
        <f>IF('Bittrex Data'!C259="","",IF(Bittrex!C259="Buy",F259,IF(C259="Sale",Bittrex!G259,IF(AND(C259="Trade",'Bittrex Data'!C259="Limit_Sell"),Bittrex!G259,IF(AND(Bittrex!C259="Trade",'Bittrex Data'!C259="Limit_Buy"),F259,"")))))</f>
        <v/>
      </c>
      <c r="J259" t="str">
        <f>IF('Bittrex Data'!B259="","",IF('Bittrex Data'!B259="","",IF(Bittrex!H259=Bittrex!E259,D259,Bittrex!E259)))</f>
        <v/>
      </c>
      <c r="K259" t="str">
        <f>IF('Bittrex Data'!B259="","",IF(Bittrex!I259=Bittrex!G259,Bittrex!F259,Bittrex!G259))</f>
        <v/>
      </c>
    </row>
    <row r="260" spans="3:11" x14ac:dyDescent="0.2">
      <c r="C260" t="str">
        <f>IF('Bittrex Data'!A260="","",IF(AND('Bittrex Data'!C260="LIMIT_SELL",Bittrex!D260="USD"),"Sale",IF(AND('Bittrex Data'!C260="LIMIT_BUY",Bittrex!D260="USD"),"Buy","Trade")))</f>
        <v/>
      </c>
      <c r="D260" t="str">
        <f>IF('Bittrex Data'!B260="","",LEFT(LEFT('Bittrex Data'!B260,SEARCH("-",'Bittrex Data'!B260,1)),LEN(LEFT('Bittrex Data'!B260,SEARCH("-",'Bittrex Data'!B260,1)))-1))</f>
        <v/>
      </c>
      <c r="E260" t="str">
        <f>IF('Bittrex Data'!B260="","",RIGHT(RIGHT('Bittrex Data'!B260,LEN('Bittrex Data'!B260)-SEARCH("-",'Bittrex Data'!B260,1)+1),LEN(RIGHT('Bittrex Data'!B260,LEN('Bittrex Data'!B260)-SEARCH("-",'Bittrex Data'!B260,1)+1))-1))</f>
        <v/>
      </c>
      <c r="F260" t="str">
        <f>IF('Bittrex Data'!C260="","",IF('Bittrex Data'!C260="Limit_Sell",'Bittrex Data'!G260-'Bittrex Data'!F260,IF('Bittrex Data'!C260="Limit_Buy",'Bittrex Data'!G260+'Bittrex Data'!F260,"")))</f>
        <v/>
      </c>
      <c r="G260" t="str">
        <f>IF('Bittrex Data'!B260="","",'Bittrex Data'!D260)</f>
        <v/>
      </c>
      <c r="H260" t="str">
        <f>IF('Bittrex Data'!C260="","",IF(Bittrex!C260="Buy",Bittrex!D260,IF(Bittrex!C260="Sale",Bittrex!E260,IF(AND(Bittrex!C260="Trade",'Bittrex Data'!C260="Limit_Sell"),Bittrex!E260,IF(AND(Bittrex!C260="Trade",'Bittrex Data'!C260="Limit_Buy"),Bittrex!D260,"")))))</f>
        <v/>
      </c>
      <c r="I260" t="str">
        <f>IF('Bittrex Data'!C260="","",IF(Bittrex!C260="Buy",F260,IF(C260="Sale",Bittrex!G260,IF(AND(C260="Trade",'Bittrex Data'!C260="Limit_Sell"),Bittrex!G260,IF(AND(Bittrex!C260="Trade",'Bittrex Data'!C260="Limit_Buy"),F260,"")))))</f>
        <v/>
      </c>
      <c r="J260" t="str">
        <f>IF('Bittrex Data'!B260="","",IF('Bittrex Data'!B260="","",IF(Bittrex!H260=Bittrex!E260,D260,Bittrex!E260)))</f>
        <v/>
      </c>
      <c r="K260" t="str">
        <f>IF('Bittrex Data'!B260="","",IF(Bittrex!I260=Bittrex!G260,Bittrex!F260,Bittrex!G260))</f>
        <v/>
      </c>
    </row>
    <row r="261" spans="3:11" x14ac:dyDescent="0.2">
      <c r="C261" t="str">
        <f>IF('Bittrex Data'!A261="","",IF(AND('Bittrex Data'!C261="LIMIT_SELL",Bittrex!D261="USD"),"Sale",IF(AND('Bittrex Data'!C261="LIMIT_BUY",Bittrex!D261="USD"),"Buy","Trade")))</f>
        <v/>
      </c>
      <c r="D261" t="str">
        <f>IF('Bittrex Data'!B261="","",LEFT(LEFT('Bittrex Data'!B261,SEARCH("-",'Bittrex Data'!B261,1)),LEN(LEFT('Bittrex Data'!B261,SEARCH("-",'Bittrex Data'!B261,1)))-1))</f>
        <v/>
      </c>
      <c r="E261" t="str">
        <f>IF('Bittrex Data'!B261="","",RIGHT(RIGHT('Bittrex Data'!B261,LEN('Bittrex Data'!B261)-SEARCH("-",'Bittrex Data'!B261,1)+1),LEN(RIGHT('Bittrex Data'!B261,LEN('Bittrex Data'!B261)-SEARCH("-",'Bittrex Data'!B261,1)+1))-1))</f>
        <v/>
      </c>
      <c r="F261" t="str">
        <f>IF('Bittrex Data'!C261="","",IF('Bittrex Data'!C261="Limit_Sell",'Bittrex Data'!G261-'Bittrex Data'!F261,IF('Bittrex Data'!C261="Limit_Buy",'Bittrex Data'!G261+'Bittrex Data'!F261,"")))</f>
        <v/>
      </c>
      <c r="G261" t="str">
        <f>IF('Bittrex Data'!B261="","",'Bittrex Data'!D261)</f>
        <v/>
      </c>
      <c r="H261" t="str">
        <f>IF('Bittrex Data'!C261="","",IF(Bittrex!C261="Buy",Bittrex!D261,IF(Bittrex!C261="Sale",Bittrex!E261,IF(AND(Bittrex!C261="Trade",'Bittrex Data'!C261="Limit_Sell"),Bittrex!E261,IF(AND(Bittrex!C261="Trade",'Bittrex Data'!C261="Limit_Buy"),Bittrex!D261,"")))))</f>
        <v/>
      </c>
      <c r="I261" t="str">
        <f>IF('Bittrex Data'!C261="","",IF(Bittrex!C261="Buy",F261,IF(C261="Sale",Bittrex!G261,IF(AND(C261="Trade",'Bittrex Data'!C261="Limit_Sell"),Bittrex!G261,IF(AND(Bittrex!C261="Trade",'Bittrex Data'!C261="Limit_Buy"),F261,"")))))</f>
        <v/>
      </c>
      <c r="J261" t="str">
        <f>IF('Bittrex Data'!B261="","",IF('Bittrex Data'!B261="","",IF(Bittrex!H261=Bittrex!E261,D261,Bittrex!E261)))</f>
        <v/>
      </c>
      <c r="K261" t="str">
        <f>IF('Bittrex Data'!B261="","",IF(Bittrex!I261=Bittrex!G261,Bittrex!F261,Bittrex!G261))</f>
        <v/>
      </c>
    </row>
    <row r="262" spans="3:11" x14ac:dyDescent="0.2">
      <c r="C262" t="str">
        <f>IF('Bittrex Data'!A262="","",IF(AND('Bittrex Data'!C262="LIMIT_SELL",Bittrex!D262="USD"),"Sale",IF(AND('Bittrex Data'!C262="LIMIT_BUY",Bittrex!D262="USD"),"Buy","Trade")))</f>
        <v/>
      </c>
      <c r="D262" t="str">
        <f>IF('Bittrex Data'!B262="","",LEFT(LEFT('Bittrex Data'!B262,SEARCH("-",'Bittrex Data'!B262,1)),LEN(LEFT('Bittrex Data'!B262,SEARCH("-",'Bittrex Data'!B262,1)))-1))</f>
        <v/>
      </c>
      <c r="E262" t="str">
        <f>IF('Bittrex Data'!B262="","",RIGHT(RIGHT('Bittrex Data'!B262,LEN('Bittrex Data'!B262)-SEARCH("-",'Bittrex Data'!B262,1)+1),LEN(RIGHT('Bittrex Data'!B262,LEN('Bittrex Data'!B262)-SEARCH("-",'Bittrex Data'!B262,1)+1))-1))</f>
        <v/>
      </c>
      <c r="F262" t="str">
        <f>IF('Bittrex Data'!C262="","",IF('Bittrex Data'!C262="Limit_Sell",'Bittrex Data'!G262-'Bittrex Data'!F262,IF('Bittrex Data'!C262="Limit_Buy",'Bittrex Data'!G262+'Bittrex Data'!F262,"")))</f>
        <v/>
      </c>
      <c r="G262" t="str">
        <f>IF('Bittrex Data'!B262="","",'Bittrex Data'!D262)</f>
        <v/>
      </c>
      <c r="H262" t="str">
        <f>IF('Bittrex Data'!C262="","",IF(Bittrex!C262="Buy",Bittrex!D262,IF(Bittrex!C262="Sale",Bittrex!E262,IF(AND(Bittrex!C262="Trade",'Bittrex Data'!C262="Limit_Sell"),Bittrex!E262,IF(AND(Bittrex!C262="Trade",'Bittrex Data'!C262="Limit_Buy"),Bittrex!D262,"")))))</f>
        <v/>
      </c>
      <c r="I262" t="str">
        <f>IF('Bittrex Data'!C262="","",IF(Bittrex!C262="Buy",F262,IF(C262="Sale",Bittrex!G262,IF(AND(C262="Trade",'Bittrex Data'!C262="Limit_Sell"),Bittrex!G262,IF(AND(Bittrex!C262="Trade",'Bittrex Data'!C262="Limit_Buy"),F262,"")))))</f>
        <v/>
      </c>
      <c r="J262" t="str">
        <f>IF('Bittrex Data'!B262="","",IF('Bittrex Data'!B262="","",IF(Bittrex!H262=Bittrex!E262,D262,Bittrex!E262)))</f>
        <v/>
      </c>
      <c r="K262" t="str">
        <f>IF('Bittrex Data'!B262="","",IF(Bittrex!I262=Bittrex!G262,Bittrex!F262,Bittrex!G262))</f>
        <v/>
      </c>
    </row>
    <row r="263" spans="3:11" x14ac:dyDescent="0.2">
      <c r="C263" t="str">
        <f>IF('Bittrex Data'!A263="","",IF(AND('Bittrex Data'!C263="LIMIT_SELL",Bittrex!D263="USD"),"Sale",IF(AND('Bittrex Data'!C263="LIMIT_BUY",Bittrex!D263="USD"),"Buy","Trade")))</f>
        <v/>
      </c>
      <c r="D263" t="str">
        <f>IF('Bittrex Data'!B263="","",LEFT(LEFT('Bittrex Data'!B263,SEARCH("-",'Bittrex Data'!B263,1)),LEN(LEFT('Bittrex Data'!B263,SEARCH("-",'Bittrex Data'!B263,1)))-1))</f>
        <v/>
      </c>
      <c r="E263" t="str">
        <f>IF('Bittrex Data'!B263="","",RIGHT(RIGHT('Bittrex Data'!B263,LEN('Bittrex Data'!B263)-SEARCH("-",'Bittrex Data'!B263,1)+1),LEN(RIGHT('Bittrex Data'!B263,LEN('Bittrex Data'!B263)-SEARCH("-",'Bittrex Data'!B263,1)+1))-1))</f>
        <v/>
      </c>
      <c r="F263" t="str">
        <f>IF('Bittrex Data'!C263="","",IF('Bittrex Data'!C263="Limit_Sell",'Bittrex Data'!G263-'Bittrex Data'!F263,IF('Bittrex Data'!C263="Limit_Buy",'Bittrex Data'!G263+'Bittrex Data'!F263,"")))</f>
        <v/>
      </c>
      <c r="G263" t="str">
        <f>IF('Bittrex Data'!B263="","",'Bittrex Data'!D263)</f>
        <v/>
      </c>
      <c r="H263" t="str">
        <f>IF('Bittrex Data'!C263="","",IF(Bittrex!C263="Buy",Bittrex!D263,IF(Bittrex!C263="Sale",Bittrex!E263,IF(AND(Bittrex!C263="Trade",'Bittrex Data'!C263="Limit_Sell"),Bittrex!E263,IF(AND(Bittrex!C263="Trade",'Bittrex Data'!C263="Limit_Buy"),Bittrex!D263,"")))))</f>
        <v/>
      </c>
      <c r="I263" t="str">
        <f>IF('Bittrex Data'!C263="","",IF(Bittrex!C263="Buy",F263,IF(C263="Sale",Bittrex!G263,IF(AND(C263="Trade",'Bittrex Data'!C263="Limit_Sell"),Bittrex!G263,IF(AND(Bittrex!C263="Trade",'Bittrex Data'!C263="Limit_Buy"),F263,"")))))</f>
        <v/>
      </c>
      <c r="J263" t="str">
        <f>IF('Bittrex Data'!B263="","",IF('Bittrex Data'!B263="","",IF(Bittrex!H263=Bittrex!E263,D263,Bittrex!E263)))</f>
        <v/>
      </c>
      <c r="K263" t="str">
        <f>IF('Bittrex Data'!B263="","",IF(Bittrex!I263=Bittrex!G263,Bittrex!F263,Bittrex!G263))</f>
        <v/>
      </c>
    </row>
    <row r="264" spans="3:11" x14ac:dyDescent="0.2">
      <c r="C264" t="str">
        <f>IF('Bittrex Data'!A264="","",IF(AND('Bittrex Data'!C264="LIMIT_SELL",Bittrex!D264="USD"),"Sale",IF(AND('Bittrex Data'!C264="LIMIT_BUY",Bittrex!D264="USD"),"Buy","Trade")))</f>
        <v/>
      </c>
      <c r="D264" t="str">
        <f>IF('Bittrex Data'!B264="","",LEFT(LEFT('Bittrex Data'!B264,SEARCH("-",'Bittrex Data'!B264,1)),LEN(LEFT('Bittrex Data'!B264,SEARCH("-",'Bittrex Data'!B264,1)))-1))</f>
        <v/>
      </c>
      <c r="E264" t="str">
        <f>IF('Bittrex Data'!B264="","",RIGHT(RIGHT('Bittrex Data'!B264,LEN('Bittrex Data'!B264)-SEARCH("-",'Bittrex Data'!B264,1)+1),LEN(RIGHT('Bittrex Data'!B264,LEN('Bittrex Data'!B264)-SEARCH("-",'Bittrex Data'!B264,1)+1))-1))</f>
        <v/>
      </c>
      <c r="F264" t="str">
        <f>IF('Bittrex Data'!C264="","",IF('Bittrex Data'!C264="Limit_Sell",'Bittrex Data'!G264-'Bittrex Data'!F264,IF('Bittrex Data'!C264="Limit_Buy",'Bittrex Data'!G264+'Bittrex Data'!F264,"")))</f>
        <v/>
      </c>
      <c r="G264" t="str">
        <f>IF('Bittrex Data'!B264="","",'Bittrex Data'!D264)</f>
        <v/>
      </c>
      <c r="H264" t="str">
        <f>IF('Bittrex Data'!C264="","",IF(Bittrex!C264="Buy",Bittrex!D264,IF(Bittrex!C264="Sale",Bittrex!E264,IF(AND(Bittrex!C264="Trade",'Bittrex Data'!C264="Limit_Sell"),Bittrex!E264,IF(AND(Bittrex!C264="Trade",'Bittrex Data'!C264="Limit_Buy"),Bittrex!D264,"")))))</f>
        <v/>
      </c>
      <c r="I264" t="str">
        <f>IF('Bittrex Data'!C264="","",IF(Bittrex!C264="Buy",F264,IF(C264="Sale",Bittrex!G264,IF(AND(C264="Trade",'Bittrex Data'!C264="Limit_Sell"),Bittrex!G264,IF(AND(Bittrex!C264="Trade",'Bittrex Data'!C264="Limit_Buy"),F264,"")))))</f>
        <v/>
      </c>
      <c r="J264" t="str">
        <f>IF('Bittrex Data'!B264="","",IF('Bittrex Data'!B264="","",IF(Bittrex!H264=Bittrex!E264,D264,Bittrex!E264)))</f>
        <v/>
      </c>
      <c r="K264" t="str">
        <f>IF('Bittrex Data'!B264="","",IF(Bittrex!I264=Bittrex!G264,Bittrex!F264,Bittrex!G264))</f>
        <v/>
      </c>
    </row>
    <row r="265" spans="3:11" x14ac:dyDescent="0.2">
      <c r="C265" t="str">
        <f>IF('Bittrex Data'!A265="","",IF(AND('Bittrex Data'!C265="LIMIT_SELL",Bittrex!D265="USD"),"Sale",IF(AND('Bittrex Data'!C265="LIMIT_BUY",Bittrex!D265="USD"),"Buy","Trade")))</f>
        <v/>
      </c>
      <c r="D265" t="str">
        <f>IF('Bittrex Data'!B265="","",LEFT(LEFT('Bittrex Data'!B265,SEARCH("-",'Bittrex Data'!B265,1)),LEN(LEFT('Bittrex Data'!B265,SEARCH("-",'Bittrex Data'!B265,1)))-1))</f>
        <v/>
      </c>
      <c r="E265" t="str">
        <f>IF('Bittrex Data'!B265="","",RIGHT(RIGHT('Bittrex Data'!B265,LEN('Bittrex Data'!B265)-SEARCH("-",'Bittrex Data'!B265,1)+1),LEN(RIGHT('Bittrex Data'!B265,LEN('Bittrex Data'!B265)-SEARCH("-",'Bittrex Data'!B265,1)+1))-1))</f>
        <v/>
      </c>
      <c r="F265" t="str">
        <f>IF('Bittrex Data'!C265="","",IF('Bittrex Data'!C265="Limit_Sell",'Bittrex Data'!G265-'Bittrex Data'!F265,IF('Bittrex Data'!C265="Limit_Buy",'Bittrex Data'!G265+'Bittrex Data'!F265,"")))</f>
        <v/>
      </c>
      <c r="G265" t="str">
        <f>IF('Bittrex Data'!B265="","",'Bittrex Data'!D265)</f>
        <v/>
      </c>
      <c r="H265" t="str">
        <f>IF('Bittrex Data'!C265="","",IF(Bittrex!C265="Buy",Bittrex!D265,IF(Bittrex!C265="Sale",Bittrex!E265,IF(AND(Bittrex!C265="Trade",'Bittrex Data'!C265="Limit_Sell"),Bittrex!E265,IF(AND(Bittrex!C265="Trade",'Bittrex Data'!C265="Limit_Buy"),Bittrex!D265,"")))))</f>
        <v/>
      </c>
      <c r="I265" t="str">
        <f>IF('Bittrex Data'!C265="","",IF(Bittrex!C265="Buy",F265,IF(C265="Sale",Bittrex!G265,IF(AND(C265="Trade",'Bittrex Data'!C265="Limit_Sell"),Bittrex!G265,IF(AND(Bittrex!C265="Trade",'Bittrex Data'!C265="Limit_Buy"),F265,"")))))</f>
        <v/>
      </c>
      <c r="J265" t="str">
        <f>IF('Bittrex Data'!B265="","",IF('Bittrex Data'!B265="","",IF(Bittrex!H265=Bittrex!E265,D265,Bittrex!E265)))</f>
        <v/>
      </c>
      <c r="K265" t="str">
        <f>IF('Bittrex Data'!B265="","",IF(Bittrex!I265=Bittrex!G265,Bittrex!F265,Bittrex!G265))</f>
        <v/>
      </c>
    </row>
    <row r="266" spans="3:11" x14ac:dyDescent="0.2">
      <c r="C266" t="str">
        <f>IF('Bittrex Data'!A266="","",IF(AND('Bittrex Data'!C266="LIMIT_SELL",Bittrex!D266="USD"),"Sale",IF(AND('Bittrex Data'!C266="LIMIT_BUY",Bittrex!D266="USD"),"Buy","Trade")))</f>
        <v/>
      </c>
      <c r="D266" t="str">
        <f>IF('Bittrex Data'!B266="","",LEFT(LEFT('Bittrex Data'!B266,SEARCH("-",'Bittrex Data'!B266,1)),LEN(LEFT('Bittrex Data'!B266,SEARCH("-",'Bittrex Data'!B266,1)))-1))</f>
        <v/>
      </c>
      <c r="E266" t="str">
        <f>IF('Bittrex Data'!B266="","",RIGHT(RIGHT('Bittrex Data'!B266,LEN('Bittrex Data'!B266)-SEARCH("-",'Bittrex Data'!B266,1)+1),LEN(RIGHT('Bittrex Data'!B266,LEN('Bittrex Data'!B266)-SEARCH("-",'Bittrex Data'!B266,1)+1))-1))</f>
        <v/>
      </c>
      <c r="F266" t="str">
        <f>IF('Bittrex Data'!C266="","",IF('Bittrex Data'!C266="Limit_Sell",'Bittrex Data'!G266-'Bittrex Data'!F266,IF('Bittrex Data'!C266="Limit_Buy",'Bittrex Data'!G266+'Bittrex Data'!F266,"")))</f>
        <v/>
      </c>
      <c r="G266" t="str">
        <f>IF('Bittrex Data'!B266="","",'Bittrex Data'!D266)</f>
        <v/>
      </c>
      <c r="H266" t="str">
        <f>IF('Bittrex Data'!C266="","",IF(Bittrex!C266="Buy",Bittrex!D266,IF(Bittrex!C266="Sale",Bittrex!E266,IF(AND(Bittrex!C266="Trade",'Bittrex Data'!C266="Limit_Sell"),Bittrex!E266,IF(AND(Bittrex!C266="Trade",'Bittrex Data'!C266="Limit_Buy"),Bittrex!D266,"")))))</f>
        <v/>
      </c>
      <c r="I266" t="str">
        <f>IF('Bittrex Data'!C266="","",IF(Bittrex!C266="Buy",F266,IF(C266="Sale",Bittrex!G266,IF(AND(C266="Trade",'Bittrex Data'!C266="Limit_Sell"),Bittrex!G266,IF(AND(Bittrex!C266="Trade",'Bittrex Data'!C266="Limit_Buy"),F266,"")))))</f>
        <v/>
      </c>
      <c r="J266" t="str">
        <f>IF('Bittrex Data'!B266="","",IF('Bittrex Data'!B266="","",IF(Bittrex!H266=Bittrex!E266,D266,Bittrex!E266)))</f>
        <v/>
      </c>
      <c r="K266" t="str">
        <f>IF('Bittrex Data'!B266="","",IF(Bittrex!I266=Bittrex!G266,Bittrex!F266,Bittrex!G266))</f>
        <v/>
      </c>
    </row>
    <row r="267" spans="3:11" x14ac:dyDescent="0.2">
      <c r="C267" t="str">
        <f>IF('Bittrex Data'!A267="","",IF(AND('Bittrex Data'!C267="LIMIT_SELL",Bittrex!D267="USD"),"Sale",IF(AND('Bittrex Data'!C267="LIMIT_BUY",Bittrex!D267="USD"),"Buy","Trade")))</f>
        <v/>
      </c>
      <c r="D267" t="str">
        <f>IF('Bittrex Data'!B267="","",LEFT(LEFT('Bittrex Data'!B267,SEARCH("-",'Bittrex Data'!B267,1)),LEN(LEFT('Bittrex Data'!B267,SEARCH("-",'Bittrex Data'!B267,1)))-1))</f>
        <v/>
      </c>
      <c r="E267" t="str">
        <f>IF('Bittrex Data'!B267="","",RIGHT(RIGHT('Bittrex Data'!B267,LEN('Bittrex Data'!B267)-SEARCH("-",'Bittrex Data'!B267,1)+1),LEN(RIGHT('Bittrex Data'!B267,LEN('Bittrex Data'!B267)-SEARCH("-",'Bittrex Data'!B267,1)+1))-1))</f>
        <v/>
      </c>
      <c r="F267" t="str">
        <f>IF('Bittrex Data'!C267="","",IF('Bittrex Data'!C267="Limit_Sell",'Bittrex Data'!G267-'Bittrex Data'!F267,IF('Bittrex Data'!C267="Limit_Buy",'Bittrex Data'!G267+'Bittrex Data'!F267,"")))</f>
        <v/>
      </c>
      <c r="G267" t="str">
        <f>IF('Bittrex Data'!B267="","",'Bittrex Data'!D267)</f>
        <v/>
      </c>
      <c r="H267" t="str">
        <f>IF('Bittrex Data'!C267="","",IF(Bittrex!C267="Buy",Bittrex!D267,IF(Bittrex!C267="Sale",Bittrex!E267,IF(AND(Bittrex!C267="Trade",'Bittrex Data'!C267="Limit_Sell"),Bittrex!E267,IF(AND(Bittrex!C267="Trade",'Bittrex Data'!C267="Limit_Buy"),Bittrex!D267,"")))))</f>
        <v/>
      </c>
      <c r="I267" t="str">
        <f>IF('Bittrex Data'!C267="","",IF(Bittrex!C267="Buy",F267,IF(C267="Sale",Bittrex!G267,IF(AND(C267="Trade",'Bittrex Data'!C267="Limit_Sell"),Bittrex!G267,IF(AND(Bittrex!C267="Trade",'Bittrex Data'!C267="Limit_Buy"),F267,"")))))</f>
        <v/>
      </c>
      <c r="J267" t="str">
        <f>IF('Bittrex Data'!B267="","",IF('Bittrex Data'!B267="","",IF(Bittrex!H267=Bittrex!E267,D267,Bittrex!E267)))</f>
        <v/>
      </c>
      <c r="K267" t="str">
        <f>IF('Bittrex Data'!B267="","",IF(Bittrex!I267=Bittrex!G267,Bittrex!F267,Bittrex!G267))</f>
        <v/>
      </c>
    </row>
    <row r="268" spans="3:11" x14ac:dyDescent="0.2">
      <c r="C268" t="str">
        <f>IF('Bittrex Data'!A268="","",IF(AND('Bittrex Data'!C268="LIMIT_SELL",Bittrex!D268="USD"),"Sale",IF(AND('Bittrex Data'!C268="LIMIT_BUY",Bittrex!D268="USD"),"Buy","Trade")))</f>
        <v/>
      </c>
      <c r="D268" t="str">
        <f>IF('Bittrex Data'!B268="","",LEFT(LEFT('Bittrex Data'!B268,SEARCH("-",'Bittrex Data'!B268,1)),LEN(LEFT('Bittrex Data'!B268,SEARCH("-",'Bittrex Data'!B268,1)))-1))</f>
        <v/>
      </c>
      <c r="E268" t="str">
        <f>IF('Bittrex Data'!B268="","",RIGHT(RIGHT('Bittrex Data'!B268,LEN('Bittrex Data'!B268)-SEARCH("-",'Bittrex Data'!B268,1)+1),LEN(RIGHT('Bittrex Data'!B268,LEN('Bittrex Data'!B268)-SEARCH("-",'Bittrex Data'!B268,1)+1))-1))</f>
        <v/>
      </c>
      <c r="F268" t="str">
        <f>IF('Bittrex Data'!C268="","",IF('Bittrex Data'!C268="Limit_Sell",'Bittrex Data'!G268-'Bittrex Data'!F268,IF('Bittrex Data'!C268="Limit_Buy",'Bittrex Data'!G268+'Bittrex Data'!F268,"")))</f>
        <v/>
      </c>
      <c r="G268" t="str">
        <f>IF('Bittrex Data'!B268="","",'Bittrex Data'!D268)</f>
        <v/>
      </c>
      <c r="H268" t="str">
        <f>IF('Bittrex Data'!C268="","",IF(Bittrex!C268="Buy",Bittrex!D268,IF(Bittrex!C268="Sale",Bittrex!E268,IF(AND(Bittrex!C268="Trade",'Bittrex Data'!C268="Limit_Sell"),Bittrex!E268,IF(AND(Bittrex!C268="Trade",'Bittrex Data'!C268="Limit_Buy"),Bittrex!D268,"")))))</f>
        <v/>
      </c>
      <c r="I268" t="str">
        <f>IF('Bittrex Data'!C268="","",IF(Bittrex!C268="Buy",F268,IF(C268="Sale",Bittrex!G268,IF(AND(C268="Trade",'Bittrex Data'!C268="Limit_Sell"),Bittrex!G268,IF(AND(Bittrex!C268="Trade",'Bittrex Data'!C268="Limit_Buy"),F268,"")))))</f>
        <v/>
      </c>
      <c r="J268" t="str">
        <f>IF('Bittrex Data'!B268="","",IF('Bittrex Data'!B268="","",IF(Bittrex!H268=Bittrex!E268,D268,Bittrex!E268)))</f>
        <v/>
      </c>
      <c r="K268" t="str">
        <f>IF('Bittrex Data'!B268="","",IF(Bittrex!I268=Bittrex!G268,Bittrex!F268,Bittrex!G268))</f>
        <v/>
      </c>
    </row>
    <row r="269" spans="3:11" x14ac:dyDescent="0.2">
      <c r="C269" t="str">
        <f>IF('Bittrex Data'!A269="","",IF(AND('Bittrex Data'!C269="LIMIT_SELL",Bittrex!D269="USD"),"Sale",IF(AND('Bittrex Data'!C269="LIMIT_BUY",Bittrex!D269="USD"),"Buy","Trade")))</f>
        <v/>
      </c>
      <c r="D269" t="str">
        <f>IF('Bittrex Data'!B269="","",LEFT(LEFT('Bittrex Data'!B269,SEARCH("-",'Bittrex Data'!B269,1)),LEN(LEFT('Bittrex Data'!B269,SEARCH("-",'Bittrex Data'!B269,1)))-1))</f>
        <v/>
      </c>
      <c r="E269" t="str">
        <f>IF('Bittrex Data'!B269="","",RIGHT(RIGHT('Bittrex Data'!B269,LEN('Bittrex Data'!B269)-SEARCH("-",'Bittrex Data'!B269,1)+1),LEN(RIGHT('Bittrex Data'!B269,LEN('Bittrex Data'!B269)-SEARCH("-",'Bittrex Data'!B269,1)+1))-1))</f>
        <v/>
      </c>
      <c r="F269" t="str">
        <f>IF('Bittrex Data'!C269="","",IF('Bittrex Data'!C269="Limit_Sell",'Bittrex Data'!G269-'Bittrex Data'!F269,IF('Bittrex Data'!C269="Limit_Buy",'Bittrex Data'!G269+'Bittrex Data'!F269,"")))</f>
        <v/>
      </c>
      <c r="G269" t="str">
        <f>IF('Bittrex Data'!B269="","",'Bittrex Data'!D269)</f>
        <v/>
      </c>
      <c r="H269" t="str">
        <f>IF('Bittrex Data'!C269="","",IF(Bittrex!C269="Buy",Bittrex!D269,IF(Bittrex!C269="Sale",Bittrex!E269,IF(AND(Bittrex!C269="Trade",'Bittrex Data'!C269="Limit_Sell"),Bittrex!E269,IF(AND(Bittrex!C269="Trade",'Bittrex Data'!C269="Limit_Buy"),Bittrex!D269,"")))))</f>
        <v/>
      </c>
      <c r="I269" t="str">
        <f>IF('Bittrex Data'!C269="","",IF(Bittrex!C269="Buy",F269,IF(C269="Sale",Bittrex!G269,IF(AND(C269="Trade",'Bittrex Data'!C269="Limit_Sell"),Bittrex!G269,IF(AND(Bittrex!C269="Trade",'Bittrex Data'!C269="Limit_Buy"),F269,"")))))</f>
        <v/>
      </c>
      <c r="J269" t="str">
        <f>IF('Bittrex Data'!B269="","",IF('Bittrex Data'!B269="","",IF(Bittrex!H269=Bittrex!E269,D269,Bittrex!E269)))</f>
        <v/>
      </c>
      <c r="K269" t="str">
        <f>IF('Bittrex Data'!B269="","",IF(Bittrex!I269=Bittrex!G269,Bittrex!F269,Bittrex!G269))</f>
        <v/>
      </c>
    </row>
    <row r="270" spans="3:11" x14ac:dyDescent="0.2">
      <c r="C270" t="str">
        <f>IF('Bittrex Data'!A270="","",IF(AND('Bittrex Data'!C270="LIMIT_SELL",Bittrex!D270="USD"),"Sale",IF(AND('Bittrex Data'!C270="LIMIT_BUY",Bittrex!D270="USD"),"Buy","Trade")))</f>
        <v/>
      </c>
      <c r="D270" t="str">
        <f>IF('Bittrex Data'!B270="","",LEFT(LEFT('Bittrex Data'!B270,SEARCH("-",'Bittrex Data'!B270,1)),LEN(LEFT('Bittrex Data'!B270,SEARCH("-",'Bittrex Data'!B270,1)))-1))</f>
        <v/>
      </c>
      <c r="E270" t="str">
        <f>IF('Bittrex Data'!B270="","",RIGHT(RIGHT('Bittrex Data'!B270,LEN('Bittrex Data'!B270)-SEARCH("-",'Bittrex Data'!B270,1)+1),LEN(RIGHT('Bittrex Data'!B270,LEN('Bittrex Data'!B270)-SEARCH("-",'Bittrex Data'!B270,1)+1))-1))</f>
        <v/>
      </c>
      <c r="F270" t="str">
        <f>IF('Bittrex Data'!C270="","",IF('Bittrex Data'!C270="Limit_Sell",'Bittrex Data'!G270-'Bittrex Data'!F270,IF('Bittrex Data'!C270="Limit_Buy",'Bittrex Data'!G270+'Bittrex Data'!F270,"")))</f>
        <v/>
      </c>
      <c r="G270" t="str">
        <f>IF('Bittrex Data'!B270="","",'Bittrex Data'!D270)</f>
        <v/>
      </c>
      <c r="H270" t="str">
        <f>IF('Bittrex Data'!C270="","",IF(Bittrex!C270="Buy",Bittrex!D270,IF(Bittrex!C270="Sale",Bittrex!E270,IF(AND(Bittrex!C270="Trade",'Bittrex Data'!C270="Limit_Sell"),Bittrex!E270,IF(AND(Bittrex!C270="Trade",'Bittrex Data'!C270="Limit_Buy"),Bittrex!D270,"")))))</f>
        <v/>
      </c>
      <c r="I270" t="str">
        <f>IF('Bittrex Data'!C270="","",IF(Bittrex!C270="Buy",F270,IF(C270="Sale",Bittrex!G270,IF(AND(C270="Trade",'Bittrex Data'!C270="Limit_Sell"),Bittrex!G270,IF(AND(Bittrex!C270="Trade",'Bittrex Data'!C270="Limit_Buy"),F270,"")))))</f>
        <v/>
      </c>
      <c r="J270" t="str">
        <f>IF('Bittrex Data'!B270="","",IF('Bittrex Data'!B270="","",IF(Bittrex!H270=Bittrex!E270,D270,Bittrex!E270)))</f>
        <v/>
      </c>
      <c r="K270" t="str">
        <f>IF('Bittrex Data'!B270="","",IF(Bittrex!I270=Bittrex!G270,Bittrex!F270,Bittrex!G270))</f>
        <v/>
      </c>
    </row>
    <row r="271" spans="3:11" x14ac:dyDescent="0.2">
      <c r="C271" t="str">
        <f>IF('Bittrex Data'!A271="","",IF(AND('Bittrex Data'!C271="LIMIT_SELL",Bittrex!D271="USD"),"Sale",IF(AND('Bittrex Data'!C271="LIMIT_BUY",Bittrex!D271="USD"),"Buy","Trade")))</f>
        <v/>
      </c>
      <c r="D271" t="str">
        <f>IF('Bittrex Data'!B271="","",LEFT(LEFT('Bittrex Data'!B271,SEARCH("-",'Bittrex Data'!B271,1)),LEN(LEFT('Bittrex Data'!B271,SEARCH("-",'Bittrex Data'!B271,1)))-1))</f>
        <v/>
      </c>
      <c r="E271" t="str">
        <f>IF('Bittrex Data'!B271="","",RIGHT(RIGHT('Bittrex Data'!B271,LEN('Bittrex Data'!B271)-SEARCH("-",'Bittrex Data'!B271,1)+1),LEN(RIGHT('Bittrex Data'!B271,LEN('Bittrex Data'!B271)-SEARCH("-",'Bittrex Data'!B271,1)+1))-1))</f>
        <v/>
      </c>
      <c r="F271" t="str">
        <f>IF('Bittrex Data'!C271="","",IF('Bittrex Data'!C271="Limit_Sell",'Bittrex Data'!G271-'Bittrex Data'!F271,IF('Bittrex Data'!C271="Limit_Buy",'Bittrex Data'!G271+'Bittrex Data'!F271,"")))</f>
        <v/>
      </c>
      <c r="G271" t="str">
        <f>IF('Bittrex Data'!B271="","",'Bittrex Data'!D271)</f>
        <v/>
      </c>
      <c r="H271" t="str">
        <f>IF('Bittrex Data'!C271="","",IF(Bittrex!C271="Buy",Bittrex!D271,IF(Bittrex!C271="Sale",Bittrex!E271,IF(AND(Bittrex!C271="Trade",'Bittrex Data'!C271="Limit_Sell"),Bittrex!E271,IF(AND(Bittrex!C271="Trade",'Bittrex Data'!C271="Limit_Buy"),Bittrex!D271,"")))))</f>
        <v/>
      </c>
      <c r="I271" t="str">
        <f>IF('Bittrex Data'!C271="","",IF(Bittrex!C271="Buy",F271,IF(C271="Sale",Bittrex!G271,IF(AND(C271="Trade",'Bittrex Data'!C271="Limit_Sell"),Bittrex!G271,IF(AND(Bittrex!C271="Trade",'Bittrex Data'!C271="Limit_Buy"),F271,"")))))</f>
        <v/>
      </c>
      <c r="J271" t="str">
        <f>IF('Bittrex Data'!B271="","",IF('Bittrex Data'!B271="","",IF(Bittrex!H271=Bittrex!E271,D271,Bittrex!E271)))</f>
        <v/>
      </c>
      <c r="K271" t="str">
        <f>IF('Bittrex Data'!B271="","",IF(Bittrex!I271=Bittrex!G271,Bittrex!F271,Bittrex!G271))</f>
        <v/>
      </c>
    </row>
    <row r="272" spans="3:11" x14ac:dyDescent="0.2">
      <c r="C272" t="str">
        <f>IF('Bittrex Data'!A272="","",IF(AND('Bittrex Data'!C272="LIMIT_SELL",Bittrex!D272="USD"),"Sale",IF(AND('Bittrex Data'!C272="LIMIT_BUY",Bittrex!D272="USD"),"Buy","Trade")))</f>
        <v/>
      </c>
      <c r="D272" t="str">
        <f>IF('Bittrex Data'!B272="","",LEFT(LEFT('Bittrex Data'!B272,SEARCH("-",'Bittrex Data'!B272,1)),LEN(LEFT('Bittrex Data'!B272,SEARCH("-",'Bittrex Data'!B272,1)))-1))</f>
        <v/>
      </c>
      <c r="E272" t="str">
        <f>IF('Bittrex Data'!B272="","",RIGHT(RIGHT('Bittrex Data'!B272,LEN('Bittrex Data'!B272)-SEARCH("-",'Bittrex Data'!B272,1)+1),LEN(RIGHT('Bittrex Data'!B272,LEN('Bittrex Data'!B272)-SEARCH("-",'Bittrex Data'!B272,1)+1))-1))</f>
        <v/>
      </c>
      <c r="F272" t="str">
        <f>IF('Bittrex Data'!C272="","",IF('Bittrex Data'!C272="Limit_Sell",'Bittrex Data'!G272-'Bittrex Data'!F272,IF('Bittrex Data'!C272="Limit_Buy",'Bittrex Data'!G272+'Bittrex Data'!F272,"")))</f>
        <v/>
      </c>
      <c r="G272" t="str">
        <f>IF('Bittrex Data'!B272="","",'Bittrex Data'!D272)</f>
        <v/>
      </c>
      <c r="H272" t="str">
        <f>IF('Bittrex Data'!C272="","",IF(Bittrex!C272="Buy",Bittrex!D272,IF(Bittrex!C272="Sale",Bittrex!E272,IF(AND(Bittrex!C272="Trade",'Bittrex Data'!C272="Limit_Sell"),Bittrex!E272,IF(AND(Bittrex!C272="Trade",'Bittrex Data'!C272="Limit_Buy"),Bittrex!D272,"")))))</f>
        <v/>
      </c>
      <c r="I272" t="str">
        <f>IF('Bittrex Data'!C272="","",IF(Bittrex!C272="Buy",F272,IF(C272="Sale",Bittrex!G272,IF(AND(C272="Trade",'Bittrex Data'!C272="Limit_Sell"),Bittrex!G272,IF(AND(Bittrex!C272="Trade",'Bittrex Data'!C272="Limit_Buy"),F272,"")))))</f>
        <v/>
      </c>
      <c r="J272" t="str">
        <f>IF('Bittrex Data'!B272="","",IF('Bittrex Data'!B272="","",IF(Bittrex!H272=Bittrex!E272,D272,Bittrex!E272)))</f>
        <v/>
      </c>
      <c r="K272" t="str">
        <f>IF('Bittrex Data'!B272="","",IF(Bittrex!I272=Bittrex!G272,Bittrex!F272,Bittrex!G272))</f>
        <v/>
      </c>
    </row>
    <row r="273" spans="3:11" x14ac:dyDescent="0.2">
      <c r="C273" t="str">
        <f>IF('Bittrex Data'!A273="","",IF(AND('Bittrex Data'!C273="LIMIT_SELL",Bittrex!D273="USD"),"Sale",IF(AND('Bittrex Data'!C273="LIMIT_BUY",Bittrex!D273="USD"),"Buy","Trade")))</f>
        <v/>
      </c>
      <c r="D273" t="str">
        <f>IF('Bittrex Data'!B273="","",LEFT(LEFT('Bittrex Data'!B273,SEARCH("-",'Bittrex Data'!B273,1)),LEN(LEFT('Bittrex Data'!B273,SEARCH("-",'Bittrex Data'!B273,1)))-1))</f>
        <v/>
      </c>
      <c r="E273" t="str">
        <f>IF('Bittrex Data'!B273="","",RIGHT(RIGHT('Bittrex Data'!B273,LEN('Bittrex Data'!B273)-SEARCH("-",'Bittrex Data'!B273,1)+1),LEN(RIGHT('Bittrex Data'!B273,LEN('Bittrex Data'!B273)-SEARCH("-",'Bittrex Data'!B273,1)+1))-1))</f>
        <v/>
      </c>
      <c r="F273" t="str">
        <f>IF('Bittrex Data'!C273="","",IF('Bittrex Data'!C273="Limit_Sell",'Bittrex Data'!G273-'Bittrex Data'!F273,IF('Bittrex Data'!C273="Limit_Buy",'Bittrex Data'!G273+'Bittrex Data'!F273,"")))</f>
        <v/>
      </c>
      <c r="G273" t="str">
        <f>IF('Bittrex Data'!B273="","",'Bittrex Data'!D273)</f>
        <v/>
      </c>
      <c r="H273" t="str">
        <f>IF('Bittrex Data'!C273="","",IF(Bittrex!C273="Buy",Bittrex!D273,IF(Bittrex!C273="Sale",Bittrex!E273,IF(AND(Bittrex!C273="Trade",'Bittrex Data'!C273="Limit_Sell"),Bittrex!E273,IF(AND(Bittrex!C273="Trade",'Bittrex Data'!C273="Limit_Buy"),Bittrex!D273,"")))))</f>
        <v/>
      </c>
      <c r="I273" t="str">
        <f>IF('Bittrex Data'!C273="","",IF(Bittrex!C273="Buy",F273,IF(C273="Sale",Bittrex!G273,IF(AND(C273="Trade",'Bittrex Data'!C273="Limit_Sell"),Bittrex!G273,IF(AND(Bittrex!C273="Trade",'Bittrex Data'!C273="Limit_Buy"),F273,"")))))</f>
        <v/>
      </c>
      <c r="J273" t="str">
        <f>IF('Bittrex Data'!B273="","",IF('Bittrex Data'!B273="","",IF(Bittrex!H273=Bittrex!E273,D273,Bittrex!E273)))</f>
        <v/>
      </c>
      <c r="K273" t="str">
        <f>IF('Bittrex Data'!B273="","",IF(Bittrex!I273=Bittrex!G273,Bittrex!F273,Bittrex!G273))</f>
        <v/>
      </c>
    </row>
    <row r="274" spans="3:11" x14ac:dyDescent="0.2">
      <c r="C274" t="str">
        <f>IF('Bittrex Data'!A274="","",IF(AND('Bittrex Data'!C274="LIMIT_SELL",Bittrex!D274="USD"),"Sale",IF(AND('Bittrex Data'!C274="LIMIT_BUY",Bittrex!D274="USD"),"Buy","Trade")))</f>
        <v/>
      </c>
      <c r="D274" t="str">
        <f>IF('Bittrex Data'!B274="","",LEFT(LEFT('Bittrex Data'!B274,SEARCH("-",'Bittrex Data'!B274,1)),LEN(LEFT('Bittrex Data'!B274,SEARCH("-",'Bittrex Data'!B274,1)))-1))</f>
        <v/>
      </c>
      <c r="E274" t="str">
        <f>IF('Bittrex Data'!B274="","",RIGHT(RIGHT('Bittrex Data'!B274,LEN('Bittrex Data'!B274)-SEARCH("-",'Bittrex Data'!B274,1)+1),LEN(RIGHT('Bittrex Data'!B274,LEN('Bittrex Data'!B274)-SEARCH("-",'Bittrex Data'!B274,1)+1))-1))</f>
        <v/>
      </c>
      <c r="F274" t="str">
        <f>IF('Bittrex Data'!C274="","",IF('Bittrex Data'!C274="Limit_Sell",'Bittrex Data'!G274-'Bittrex Data'!F274,IF('Bittrex Data'!C274="Limit_Buy",'Bittrex Data'!G274+'Bittrex Data'!F274,"")))</f>
        <v/>
      </c>
      <c r="G274" t="str">
        <f>IF('Bittrex Data'!B274="","",'Bittrex Data'!D274)</f>
        <v/>
      </c>
      <c r="H274" t="str">
        <f>IF('Bittrex Data'!C274="","",IF(Bittrex!C274="Buy",Bittrex!D274,IF(Bittrex!C274="Sale",Bittrex!E274,IF(AND(Bittrex!C274="Trade",'Bittrex Data'!C274="Limit_Sell"),Bittrex!E274,IF(AND(Bittrex!C274="Trade",'Bittrex Data'!C274="Limit_Buy"),Bittrex!D274,"")))))</f>
        <v/>
      </c>
      <c r="I274" t="str">
        <f>IF('Bittrex Data'!C274="","",IF(Bittrex!C274="Buy",F274,IF(C274="Sale",Bittrex!G274,IF(AND(C274="Trade",'Bittrex Data'!C274="Limit_Sell"),Bittrex!G274,IF(AND(Bittrex!C274="Trade",'Bittrex Data'!C274="Limit_Buy"),F274,"")))))</f>
        <v/>
      </c>
      <c r="J274" t="str">
        <f>IF('Bittrex Data'!B274="","",IF('Bittrex Data'!B274="","",IF(Bittrex!H274=Bittrex!E274,D274,Bittrex!E274)))</f>
        <v/>
      </c>
      <c r="K274" t="str">
        <f>IF('Bittrex Data'!B274="","",IF(Bittrex!I274=Bittrex!G274,Bittrex!F274,Bittrex!G274))</f>
        <v/>
      </c>
    </row>
    <row r="275" spans="3:11" x14ac:dyDescent="0.2">
      <c r="C275" t="str">
        <f>IF('Bittrex Data'!A275="","",IF(AND('Bittrex Data'!C275="LIMIT_SELL",Bittrex!D275="USD"),"Sale",IF(AND('Bittrex Data'!C275="LIMIT_BUY",Bittrex!D275="USD"),"Buy","Trade")))</f>
        <v/>
      </c>
      <c r="D275" t="str">
        <f>IF('Bittrex Data'!B275="","",LEFT(LEFT('Bittrex Data'!B275,SEARCH("-",'Bittrex Data'!B275,1)),LEN(LEFT('Bittrex Data'!B275,SEARCH("-",'Bittrex Data'!B275,1)))-1))</f>
        <v/>
      </c>
      <c r="E275" t="str">
        <f>IF('Bittrex Data'!B275="","",RIGHT(RIGHT('Bittrex Data'!B275,LEN('Bittrex Data'!B275)-SEARCH("-",'Bittrex Data'!B275,1)+1),LEN(RIGHT('Bittrex Data'!B275,LEN('Bittrex Data'!B275)-SEARCH("-",'Bittrex Data'!B275,1)+1))-1))</f>
        <v/>
      </c>
      <c r="F275" t="str">
        <f>IF('Bittrex Data'!C275="","",IF('Bittrex Data'!C275="Limit_Sell",'Bittrex Data'!G275-'Bittrex Data'!F275,IF('Bittrex Data'!C275="Limit_Buy",'Bittrex Data'!G275+'Bittrex Data'!F275,"")))</f>
        <v/>
      </c>
      <c r="G275" t="str">
        <f>IF('Bittrex Data'!B275="","",'Bittrex Data'!D275)</f>
        <v/>
      </c>
      <c r="H275" t="str">
        <f>IF('Bittrex Data'!C275="","",IF(Bittrex!C275="Buy",Bittrex!D275,IF(Bittrex!C275="Sale",Bittrex!E275,IF(AND(Bittrex!C275="Trade",'Bittrex Data'!C275="Limit_Sell"),Bittrex!E275,IF(AND(Bittrex!C275="Trade",'Bittrex Data'!C275="Limit_Buy"),Bittrex!D275,"")))))</f>
        <v/>
      </c>
      <c r="I275" t="str">
        <f>IF('Bittrex Data'!C275="","",IF(Bittrex!C275="Buy",F275,IF(C275="Sale",Bittrex!G275,IF(AND(C275="Trade",'Bittrex Data'!C275="Limit_Sell"),Bittrex!G275,IF(AND(Bittrex!C275="Trade",'Bittrex Data'!C275="Limit_Buy"),F275,"")))))</f>
        <v/>
      </c>
      <c r="J275" t="str">
        <f>IF('Bittrex Data'!B275="","",IF('Bittrex Data'!B275="","",IF(Bittrex!H275=Bittrex!E275,D275,Bittrex!E275)))</f>
        <v/>
      </c>
      <c r="K275" t="str">
        <f>IF('Bittrex Data'!B275="","",IF(Bittrex!I275=Bittrex!G275,Bittrex!F275,Bittrex!G275))</f>
        <v/>
      </c>
    </row>
    <row r="276" spans="3:11" x14ac:dyDescent="0.2">
      <c r="C276" t="str">
        <f>IF('Bittrex Data'!A276="","",IF(AND('Bittrex Data'!C276="LIMIT_SELL",Bittrex!D276="USD"),"Sale",IF(AND('Bittrex Data'!C276="LIMIT_BUY",Bittrex!D276="USD"),"Buy","Trade")))</f>
        <v/>
      </c>
      <c r="D276" t="str">
        <f>IF('Bittrex Data'!B276="","",LEFT(LEFT('Bittrex Data'!B276,SEARCH("-",'Bittrex Data'!B276,1)),LEN(LEFT('Bittrex Data'!B276,SEARCH("-",'Bittrex Data'!B276,1)))-1))</f>
        <v/>
      </c>
      <c r="E276" t="str">
        <f>IF('Bittrex Data'!B276="","",RIGHT(RIGHT('Bittrex Data'!B276,LEN('Bittrex Data'!B276)-SEARCH("-",'Bittrex Data'!B276,1)+1),LEN(RIGHT('Bittrex Data'!B276,LEN('Bittrex Data'!B276)-SEARCH("-",'Bittrex Data'!B276,1)+1))-1))</f>
        <v/>
      </c>
      <c r="F276" t="str">
        <f>IF('Bittrex Data'!C276="","",IF('Bittrex Data'!C276="Limit_Sell",'Bittrex Data'!G276-'Bittrex Data'!F276,IF('Bittrex Data'!C276="Limit_Buy",'Bittrex Data'!G276+'Bittrex Data'!F276,"")))</f>
        <v/>
      </c>
      <c r="G276" t="str">
        <f>IF('Bittrex Data'!B276="","",'Bittrex Data'!D276)</f>
        <v/>
      </c>
      <c r="H276" t="str">
        <f>IF('Bittrex Data'!C276="","",IF(Bittrex!C276="Buy",Bittrex!D276,IF(Bittrex!C276="Sale",Bittrex!E276,IF(AND(Bittrex!C276="Trade",'Bittrex Data'!C276="Limit_Sell"),Bittrex!E276,IF(AND(Bittrex!C276="Trade",'Bittrex Data'!C276="Limit_Buy"),Bittrex!D276,"")))))</f>
        <v/>
      </c>
      <c r="I276" t="str">
        <f>IF('Bittrex Data'!C276="","",IF(Bittrex!C276="Buy",F276,IF(C276="Sale",Bittrex!G276,IF(AND(C276="Trade",'Bittrex Data'!C276="Limit_Sell"),Bittrex!G276,IF(AND(Bittrex!C276="Trade",'Bittrex Data'!C276="Limit_Buy"),F276,"")))))</f>
        <v/>
      </c>
      <c r="J276" t="str">
        <f>IF('Bittrex Data'!B276="","",IF('Bittrex Data'!B276="","",IF(Bittrex!H276=Bittrex!E276,D276,Bittrex!E276)))</f>
        <v/>
      </c>
      <c r="K276" t="str">
        <f>IF('Bittrex Data'!B276="","",IF(Bittrex!I276=Bittrex!G276,Bittrex!F276,Bittrex!G276))</f>
        <v/>
      </c>
    </row>
    <row r="277" spans="3:11" x14ac:dyDescent="0.2">
      <c r="C277" t="str">
        <f>IF('Bittrex Data'!A277="","",IF(AND('Bittrex Data'!C277="LIMIT_SELL",Bittrex!D277="USD"),"Sale",IF(AND('Bittrex Data'!C277="LIMIT_BUY",Bittrex!D277="USD"),"Buy","Trade")))</f>
        <v/>
      </c>
      <c r="D277" t="str">
        <f>IF('Bittrex Data'!B277="","",LEFT(LEFT('Bittrex Data'!B277,SEARCH("-",'Bittrex Data'!B277,1)),LEN(LEFT('Bittrex Data'!B277,SEARCH("-",'Bittrex Data'!B277,1)))-1))</f>
        <v/>
      </c>
      <c r="E277" t="str">
        <f>IF('Bittrex Data'!B277="","",RIGHT(RIGHT('Bittrex Data'!B277,LEN('Bittrex Data'!B277)-SEARCH("-",'Bittrex Data'!B277,1)+1),LEN(RIGHT('Bittrex Data'!B277,LEN('Bittrex Data'!B277)-SEARCH("-",'Bittrex Data'!B277,1)+1))-1))</f>
        <v/>
      </c>
      <c r="F277" t="str">
        <f>IF('Bittrex Data'!C277="","",IF('Bittrex Data'!C277="Limit_Sell",'Bittrex Data'!G277-'Bittrex Data'!F277,IF('Bittrex Data'!C277="Limit_Buy",'Bittrex Data'!G277+'Bittrex Data'!F277,"")))</f>
        <v/>
      </c>
      <c r="G277" t="str">
        <f>IF('Bittrex Data'!B277="","",'Bittrex Data'!D277)</f>
        <v/>
      </c>
      <c r="H277" t="str">
        <f>IF('Bittrex Data'!C277="","",IF(Bittrex!C277="Buy",Bittrex!D277,IF(Bittrex!C277="Sale",Bittrex!E277,IF(AND(Bittrex!C277="Trade",'Bittrex Data'!C277="Limit_Sell"),Bittrex!E277,IF(AND(Bittrex!C277="Trade",'Bittrex Data'!C277="Limit_Buy"),Bittrex!D277,"")))))</f>
        <v/>
      </c>
      <c r="I277" t="str">
        <f>IF('Bittrex Data'!C277="","",IF(Bittrex!C277="Buy",F277,IF(C277="Sale",Bittrex!G277,IF(AND(C277="Trade",'Bittrex Data'!C277="Limit_Sell"),Bittrex!G277,IF(AND(Bittrex!C277="Trade",'Bittrex Data'!C277="Limit_Buy"),F277,"")))))</f>
        <v/>
      </c>
      <c r="J277" t="str">
        <f>IF('Bittrex Data'!B277="","",IF('Bittrex Data'!B277="","",IF(Bittrex!H277=Bittrex!E277,D277,Bittrex!E277)))</f>
        <v/>
      </c>
      <c r="K277" t="str">
        <f>IF('Bittrex Data'!B277="","",IF(Bittrex!I277=Bittrex!G277,Bittrex!F277,Bittrex!G277))</f>
        <v/>
      </c>
    </row>
    <row r="278" spans="3:11" x14ac:dyDescent="0.2">
      <c r="C278" t="str">
        <f>IF('Bittrex Data'!A278="","",IF(AND('Bittrex Data'!C278="LIMIT_SELL",Bittrex!D278="USD"),"Sale",IF(AND('Bittrex Data'!C278="LIMIT_BUY",Bittrex!D278="USD"),"Buy","Trade")))</f>
        <v/>
      </c>
      <c r="D278" t="str">
        <f>IF('Bittrex Data'!B278="","",LEFT(LEFT('Bittrex Data'!B278,SEARCH("-",'Bittrex Data'!B278,1)),LEN(LEFT('Bittrex Data'!B278,SEARCH("-",'Bittrex Data'!B278,1)))-1))</f>
        <v/>
      </c>
      <c r="E278" t="str">
        <f>IF('Bittrex Data'!B278="","",RIGHT(RIGHT('Bittrex Data'!B278,LEN('Bittrex Data'!B278)-SEARCH("-",'Bittrex Data'!B278,1)+1),LEN(RIGHT('Bittrex Data'!B278,LEN('Bittrex Data'!B278)-SEARCH("-",'Bittrex Data'!B278,1)+1))-1))</f>
        <v/>
      </c>
      <c r="F278" t="str">
        <f>IF('Bittrex Data'!C278="","",IF('Bittrex Data'!C278="Limit_Sell",'Bittrex Data'!G278-'Bittrex Data'!F278,IF('Bittrex Data'!C278="Limit_Buy",'Bittrex Data'!G278+'Bittrex Data'!F278,"")))</f>
        <v/>
      </c>
      <c r="G278" t="str">
        <f>IF('Bittrex Data'!B278="","",'Bittrex Data'!D278)</f>
        <v/>
      </c>
      <c r="H278" t="str">
        <f>IF('Bittrex Data'!C278="","",IF(Bittrex!C278="Buy",Bittrex!D278,IF(Bittrex!C278="Sale",Bittrex!E278,IF(AND(Bittrex!C278="Trade",'Bittrex Data'!C278="Limit_Sell"),Bittrex!E278,IF(AND(Bittrex!C278="Trade",'Bittrex Data'!C278="Limit_Buy"),Bittrex!D278,"")))))</f>
        <v/>
      </c>
      <c r="I278" t="str">
        <f>IF('Bittrex Data'!C278="","",IF(Bittrex!C278="Buy",F278,IF(C278="Sale",Bittrex!G278,IF(AND(C278="Trade",'Bittrex Data'!C278="Limit_Sell"),Bittrex!G278,IF(AND(Bittrex!C278="Trade",'Bittrex Data'!C278="Limit_Buy"),F278,"")))))</f>
        <v/>
      </c>
      <c r="J278" t="str">
        <f>IF('Bittrex Data'!B278="","",IF('Bittrex Data'!B278="","",IF(Bittrex!H278=Bittrex!E278,D278,Bittrex!E278)))</f>
        <v/>
      </c>
      <c r="K278" t="str">
        <f>IF('Bittrex Data'!B278="","",IF(Bittrex!I278=Bittrex!G278,Bittrex!F278,Bittrex!G278))</f>
        <v/>
      </c>
    </row>
    <row r="279" spans="3:11" x14ac:dyDescent="0.2">
      <c r="C279" t="str">
        <f>IF('Bittrex Data'!A279="","",IF(AND('Bittrex Data'!C279="LIMIT_SELL",Bittrex!D279="USD"),"Sale",IF(AND('Bittrex Data'!C279="LIMIT_BUY",Bittrex!D279="USD"),"Buy","Trade")))</f>
        <v/>
      </c>
      <c r="D279" t="str">
        <f>IF('Bittrex Data'!B279="","",LEFT(LEFT('Bittrex Data'!B279,SEARCH("-",'Bittrex Data'!B279,1)),LEN(LEFT('Bittrex Data'!B279,SEARCH("-",'Bittrex Data'!B279,1)))-1))</f>
        <v/>
      </c>
      <c r="E279" t="str">
        <f>IF('Bittrex Data'!B279="","",RIGHT(RIGHT('Bittrex Data'!B279,LEN('Bittrex Data'!B279)-SEARCH("-",'Bittrex Data'!B279,1)+1),LEN(RIGHT('Bittrex Data'!B279,LEN('Bittrex Data'!B279)-SEARCH("-",'Bittrex Data'!B279,1)+1))-1))</f>
        <v/>
      </c>
      <c r="F279" t="str">
        <f>IF('Bittrex Data'!C279="","",IF('Bittrex Data'!C279="Limit_Sell",'Bittrex Data'!G279-'Bittrex Data'!F279,IF('Bittrex Data'!C279="Limit_Buy",'Bittrex Data'!G279+'Bittrex Data'!F279,"")))</f>
        <v/>
      </c>
      <c r="G279" t="str">
        <f>IF('Bittrex Data'!B279="","",'Bittrex Data'!D279)</f>
        <v/>
      </c>
      <c r="H279" t="str">
        <f>IF('Bittrex Data'!C279="","",IF(Bittrex!C279="Buy",Bittrex!D279,IF(Bittrex!C279="Sale",Bittrex!E279,IF(AND(Bittrex!C279="Trade",'Bittrex Data'!C279="Limit_Sell"),Bittrex!E279,IF(AND(Bittrex!C279="Trade",'Bittrex Data'!C279="Limit_Buy"),Bittrex!D279,"")))))</f>
        <v/>
      </c>
      <c r="I279" t="str">
        <f>IF('Bittrex Data'!C279="","",IF(Bittrex!C279="Buy",F279,IF(C279="Sale",Bittrex!G279,IF(AND(C279="Trade",'Bittrex Data'!C279="Limit_Sell"),Bittrex!G279,IF(AND(Bittrex!C279="Trade",'Bittrex Data'!C279="Limit_Buy"),F279,"")))))</f>
        <v/>
      </c>
      <c r="J279" t="str">
        <f>IF('Bittrex Data'!B279="","",IF('Bittrex Data'!B279="","",IF(Bittrex!H279=Bittrex!E279,D279,Bittrex!E279)))</f>
        <v/>
      </c>
      <c r="K279" t="str">
        <f>IF('Bittrex Data'!B279="","",IF(Bittrex!I279=Bittrex!G279,Bittrex!F279,Bittrex!G279))</f>
        <v/>
      </c>
    </row>
    <row r="280" spans="3:11" x14ac:dyDescent="0.2">
      <c r="C280" t="str">
        <f>IF('Bittrex Data'!A280="","",IF(AND('Bittrex Data'!C280="LIMIT_SELL",Bittrex!D280="USD"),"Sale",IF(AND('Bittrex Data'!C280="LIMIT_BUY",Bittrex!D280="USD"),"Buy","Trade")))</f>
        <v/>
      </c>
      <c r="D280" t="str">
        <f>IF('Bittrex Data'!B280="","",LEFT(LEFT('Bittrex Data'!B280,SEARCH("-",'Bittrex Data'!B280,1)),LEN(LEFT('Bittrex Data'!B280,SEARCH("-",'Bittrex Data'!B280,1)))-1))</f>
        <v/>
      </c>
      <c r="E280" t="str">
        <f>IF('Bittrex Data'!B280="","",RIGHT(RIGHT('Bittrex Data'!B280,LEN('Bittrex Data'!B280)-SEARCH("-",'Bittrex Data'!B280,1)+1),LEN(RIGHT('Bittrex Data'!B280,LEN('Bittrex Data'!B280)-SEARCH("-",'Bittrex Data'!B280,1)+1))-1))</f>
        <v/>
      </c>
      <c r="F280" t="str">
        <f>IF('Bittrex Data'!C280="","",IF('Bittrex Data'!C280="Limit_Sell",'Bittrex Data'!G280-'Bittrex Data'!F280,IF('Bittrex Data'!C280="Limit_Buy",'Bittrex Data'!G280+'Bittrex Data'!F280,"")))</f>
        <v/>
      </c>
      <c r="G280" t="str">
        <f>IF('Bittrex Data'!B280="","",'Bittrex Data'!D280)</f>
        <v/>
      </c>
      <c r="H280" t="str">
        <f>IF('Bittrex Data'!C280="","",IF(Bittrex!C280="Buy",Bittrex!D280,IF(Bittrex!C280="Sale",Bittrex!E280,IF(AND(Bittrex!C280="Trade",'Bittrex Data'!C280="Limit_Sell"),Bittrex!E280,IF(AND(Bittrex!C280="Trade",'Bittrex Data'!C280="Limit_Buy"),Bittrex!D280,"")))))</f>
        <v/>
      </c>
      <c r="I280" t="str">
        <f>IF('Bittrex Data'!C280="","",IF(Bittrex!C280="Buy",F280,IF(C280="Sale",Bittrex!G280,IF(AND(C280="Trade",'Bittrex Data'!C280="Limit_Sell"),Bittrex!G280,IF(AND(Bittrex!C280="Trade",'Bittrex Data'!C280="Limit_Buy"),F280,"")))))</f>
        <v/>
      </c>
      <c r="J280" t="str">
        <f>IF('Bittrex Data'!B280="","",IF('Bittrex Data'!B280="","",IF(Bittrex!H280=Bittrex!E280,D280,Bittrex!E280)))</f>
        <v/>
      </c>
      <c r="K280" t="str">
        <f>IF('Bittrex Data'!B280="","",IF(Bittrex!I280=Bittrex!G280,Bittrex!F280,Bittrex!G280))</f>
        <v/>
      </c>
    </row>
    <row r="281" spans="3:11" x14ac:dyDescent="0.2">
      <c r="C281" t="str">
        <f>IF('Bittrex Data'!A281="","",IF(AND('Bittrex Data'!C281="LIMIT_SELL",Bittrex!D281="USD"),"Sale",IF(AND('Bittrex Data'!C281="LIMIT_BUY",Bittrex!D281="USD"),"Buy","Trade")))</f>
        <v/>
      </c>
      <c r="D281" t="str">
        <f>IF('Bittrex Data'!B281="","",LEFT(LEFT('Bittrex Data'!B281,SEARCH("-",'Bittrex Data'!B281,1)),LEN(LEFT('Bittrex Data'!B281,SEARCH("-",'Bittrex Data'!B281,1)))-1))</f>
        <v/>
      </c>
      <c r="E281" t="str">
        <f>IF('Bittrex Data'!B281="","",RIGHT(RIGHT('Bittrex Data'!B281,LEN('Bittrex Data'!B281)-SEARCH("-",'Bittrex Data'!B281,1)+1),LEN(RIGHT('Bittrex Data'!B281,LEN('Bittrex Data'!B281)-SEARCH("-",'Bittrex Data'!B281,1)+1))-1))</f>
        <v/>
      </c>
      <c r="F281" t="str">
        <f>IF('Bittrex Data'!C281="","",IF('Bittrex Data'!C281="Limit_Sell",'Bittrex Data'!G281-'Bittrex Data'!F281,IF('Bittrex Data'!C281="Limit_Buy",'Bittrex Data'!G281+'Bittrex Data'!F281,"")))</f>
        <v/>
      </c>
      <c r="G281" t="str">
        <f>IF('Bittrex Data'!B281="","",'Bittrex Data'!D281)</f>
        <v/>
      </c>
      <c r="H281" t="str">
        <f>IF('Bittrex Data'!C281="","",IF(Bittrex!C281="Buy",Bittrex!D281,IF(Bittrex!C281="Sale",Bittrex!E281,IF(AND(Bittrex!C281="Trade",'Bittrex Data'!C281="Limit_Sell"),Bittrex!E281,IF(AND(Bittrex!C281="Trade",'Bittrex Data'!C281="Limit_Buy"),Bittrex!D281,"")))))</f>
        <v/>
      </c>
      <c r="I281" t="str">
        <f>IF('Bittrex Data'!C281="","",IF(Bittrex!C281="Buy",F281,IF(C281="Sale",Bittrex!G281,IF(AND(C281="Trade",'Bittrex Data'!C281="Limit_Sell"),Bittrex!G281,IF(AND(Bittrex!C281="Trade",'Bittrex Data'!C281="Limit_Buy"),F281,"")))))</f>
        <v/>
      </c>
      <c r="J281" t="str">
        <f>IF('Bittrex Data'!B281="","",IF('Bittrex Data'!B281="","",IF(Bittrex!H281=Bittrex!E281,D281,Bittrex!E281)))</f>
        <v/>
      </c>
      <c r="K281" t="str">
        <f>IF('Bittrex Data'!B281="","",IF(Bittrex!I281=Bittrex!G281,Bittrex!F281,Bittrex!G281))</f>
        <v/>
      </c>
    </row>
    <row r="282" spans="3:11" x14ac:dyDescent="0.2">
      <c r="C282" t="str">
        <f>IF('Bittrex Data'!A282="","",IF(AND('Bittrex Data'!C282="LIMIT_SELL",Bittrex!D282="USD"),"Sale",IF(AND('Bittrex Data'!C282="LIMIT_BUY",Bittrex!D282="USD"),"Buy","Trade")))</f>
        <v/>
      </c>
      <c r="D282" t="str">
        <f>IF('Bittrex Data'!B282="","",LEFT(LEFT('Bittrex Data'!B282,SEARCH("-",'Bittrex Data'!B282,1)),LEN(LEFT('Bittrex Data'!B282,SEARCH("-",'Bittrex Data'!B282,1)))-1))</f>
        <v/>
      </c>
      <c r="E282" t="str">
        <f>IF('Bittrex Data'!B282="","",RIGHT(RIGHT('Bittrex Data'!B282,LEN('Bittrex Data'!B282)-SEARCH("-",'Bittrex Data'!B282,1)+1),LEN(RIGHT('Bittrex Data'!B282,LEN('Bittrex Data'!B282)-SEARCH("-",'Bittrex Data'!B282,1)+1))-1))</f>
        <v/>
      </c>
      <c r="F282" t="str">
        <f>IF('Bittrex Data'!C282="","",IF('Bittrex Data'!C282="Limit_Sell",'Bittrex Data'!G282-'Bittrex Data'!F282,IF('Bittrex Data'!C282="Limit_Buy",'Bittrex Data'!G282+'Bittrex Data'!F282,"")))</f>
        <v/>
      </c>
      <c r="G282" t="str">
        <f>IF('Bittrex Data'!B282="","",'Bittrex Data'!D282)</f>
        <v/>
      </c>
      <c r="H282" t="str">
        <f>IF('Bittrex Data'!C282="","",IF(Bittrex!C282="Buy",Bittrex!D282,IF(Bittrex!C282="Sale",Bittrex!E282,IF(AND(Bittrex!C282="Trade",'Bittrex Data'!C282="Limit_Sell"),Bittrex!E282,IF(AND(Bittrex!C282="Trade",'Bittrex Data'!C282="Limit_Buy"),Bittrex!D282,"")))))</f>
        <v/>
      </c>
      <c r="I282" t="str">
        <f>IF('Bittrex Data'!C282="","",IF(Bittrex!C282="Buy",F282,IF(C282="Sale",Bittrex!G282,IF(AND(C282="Trade",'Bittrex Data'!C282="Limit_Sell"),Bittrex!G282,IF(AND(Bittrex!C282="Trade",'Bittrex Data'!C282="Limit_Buy"),F282,"")))))</f>
        <v/>
      </c>
      <c r="J282" t="str">
        <f>IF('Bittrex Data'!B282="","",IF('Bittrex Data'!B282="","",IF(Bittrex!H282=Bittrex!E282,D282,Bittrex!E282)))</f>
        <v/>
      </c>
      <c r="K282" t="str">
        <f>IF('Bittrex Data'!B282="","",IF(Bittrex!I282=Bittrex!G282,Bittrex!F282,Bittrex!G282))</f>
        <v/>
      </c>
    </row>
    <row r="283" spans="3:11" x14ac:dyDescent="0.2">
      <c r="C283" t="str">
        <f>IF('Bittrex Data'!A283="","",IF(AND('Bittrex Data'!C283="LIMIT_SELL",Bittrex!D283="USD"),"Sale",IF(AND('Bittrex Data'!C283="LIMIT_BUY",Bittrex!D283="USD"),"Buy","Trade")))</f>
        <v/>
      </c>
      <c r="D283" t="str">
        <f>IF('Bittrex Data'!B283="","",LEFT(LEFT('Bittrex Data'!B283,SEARCH("-",'Bittrex Data'!B283,1)),LEN(LEFT('Bittrex Data'!B283,SEARCH("-",'Bittrex Data'!B283,1)))-1))</f>
        <v/>
      </c>
      <c r="E283" t="str">
        <f>IF('Bittrex Data'!B283="","",RIGHT(RIGHT('Bittrex Data'!B283,LEN('Bittrex Data'!B283)-SEARCH("-",'Bittrex Data'!B283,1)+1),LEN(RIGHT('Bittrex Data'!B283,LEN('Bittrex Data'!B283)-SEARCH("-",'Bittrex Data'!B283,1)+1))-1))</f>
        <v/>
      </c>
      <c r="F283" t="str">
        <f>IF('Bittrex Data'!C283="","",IF('Bittrex Data'!C283="Limit_Sell",'Bittrex Data'!G283-'Bittrex Data'!F283,IF('Bittrex Data'!C283="Limit_Buy",'Bittrex Data'!G283+'Bittrex Data'!F283,"")))</f>
        <v/>
      </c>
      <c r="G283" t="str">
        <f>IF('Bittrex Data'!B283="","",'Bittrex Data'!D283)</f>
        <v/>
      </c>
      <c r="H283" t="str">
        <f>IF('Bittrex Data'!C283="","",IF(Bittrex!C283="Buy",Bittrex!D283,IF(Bittrex!C283="Sale",Bittrex!E283,IF(AND(Bittrex!C283="Trade",'Bittrex Data'!C283="Limit_Sell"),Bittrex!E283,IF(AND(Bittrex!C283="Trade",'Bittrex Data'!C283="Limit_Buy"),Bittrex!D283,"")))))</f>
        <v/>
      </c>
      <c r="I283" t="str">
        <f>IF('Bittrex Data'!C283="","",IF(Bittrex!C283="Buy",F283,IF(C283="Sale",Bittrex!G283,IF(AND(C283="Trade",'Bittrex Data'!C283="Limit_Sell"),Bittrex!G283,IF(AND(Bittrex!C283="Trade",'Bittrex Data'!C283="Limit_Buy"),F283,"")))))</f>
        <v/>
      </c>
      <c r="J283" t="str">
        <f>IF('Bittrex Data'!B283="","",IF('Bittrex Data'!B283="","",IF(Bittrex!H283=Bittrex!E283,D283,Bittrex!E283)))</f>
        <v/>
      </c>
      <c r="K283" t="str">
        <f>IF('Bittrex Data'!B283="","",IF(Bittrex!I283=Bittrex!G283,Bittrex!F283,Bittrex!G283))</f>
        <v/>
      </c>
    </row>
    <row r="284" spans="3:11" x14ac:dyDescent="0.2">
      <c r="C284" t="str">
        <f>IF('Bittrex Data'!A284="","",IF(AND('Bittrex Data'!C284="LIMIT_SELL",Bittrex!D284="USD"),"Sale",IF(AND('Bittrex Data'!C284="LIMIT_BUY",Bittrex!D284="USD"),"Buy","Trade")))</f>
        <v/>
      </c>
      <c r="D284" t="str">
        <f>IF('Bittrex Data'!B284="","",LEFT(LEFT('Bittrex Data'!B284,SEARCH("-",'Bittrex Data'!B284,1)),LEN(LEFT('Bittrex Data'!B284,SEARCH("-",'Bittrex Data'!B284,1)))-1))</f>
        <v/>
      </c>
      <c r="E284" t="str">
        <f>IF('Bittrex Data'!B284="","",RIGHT(RIGHT('Bittrex Data'!B284,LEN('Bittrex Data'!B284)-SEARCH("-",'Bittrex Data'!B284,1)+1),LEN(RIGHT('Bittrex Data'!B284,LEN('Bittrex Data'!B284)-SEARCH("-",'Bittrex Data'!B284,1)+1))-1))</f>
        <v/>
      </c>
      <c r="F284" t="str">
        <f>IF('Bittrex Data'!C284="","",IF('Bittrex Data'!C284="Limit_Sell",'Bittrex Data'!G284-'Bittrex Data'!F284,IF('Bittrex Data'!C284="Limit_Buy",'Bittrex Data'!G284+'Bittrex Data'!F284,"")))</f>
        <v/>
      </c>
      <c r="G284" t="str">
        <f>IF('Bittrex Data'!B284="","",'Bittrex Data'!D284)</f>
        <v/>
      </c>
      <c r="H284" t="str">
        <f>IF('Bittrex Data'!C284="","",IF(Bittrex!C284="Buy",Bittrex!D284,IF(Bittrex!C284="Sale",Bittrex!E284,IF(AND(Bittrex!C284="Trade",'Bittrex Data'!C284="Limit_Sell"),Bittrex!E284,IF(AND(Bittrex!C284="Trade",'Bittrex Data'!C284="Limit_Buy"),Bittrex!D284,"")))))</f>
        <v/>
      </c>
      <c r="I284" t="str">
        <f>IF('Bittrex Data'!C284="","",IF(Bittrex!C284="Buy",F284,IF(C284="Sale",Bittrex!G284,IF(AND(C284="Trade",'Bittrex Data'!C284="Limit_Sell"),Bittrex!G284,IF(AND(Bittrex!C284="Trade",'Bittrex Data'!C284="Limit_Buy"),F284,"")))))</f>
        <v/>
      </c>
      <c r="J284" t="str">
        <f>IF('Bittrex Data'!B284="","",IF('Bittrex Data'!B284="","",IF(Bittrex!H284=Bittrex!E284,D284,Bittrex!E284)))</f>
        <v/>
      </c>
      <c r="K284" t="str">
        <f>IF('Bittrex Data'!B284="","",IF(Bittrex!I284=Bittrex!G284,Bittrex!F284,Bittrex!G284))</f>
        <v/>
      </c>
    </row>
    <row r="285" spans="3:11" x14ac:dyDescent="0.2">
      <c r="C285" t="str">
        <f>IF('Bittrex Data'!A285="","",IF(AND('Bittrex Data'!C285="LIMIT_SELL",Bittrex!D285="USD"),"Sale",IF(AND('Bittrex Data'!C285="LIMIT_BUY",Bittrex!D285="USD"),"Buy","Trade")))</f>
        <v/>
      </c>
      <c r="D285" t="str">
        <f>IF('Bittrex Data'!B285="","",LEFT(LEFT('Bittrex Data'!B285,SEARCH("-",'Bittrex Data'!B285,1)),LEN(LEFT('Bittrex Data'!B285,SEARCH("-",'Bittrex Data'!B285,1)))-1))</f>
        <v/>
      </c>
      <c r="E285" t="str">
        <f>IF('Bittrex Data'!B285="","",RIGHT(RIGHT('Bittrex Data'!B285,LEN('Bittrex Data'!B285)-SEARCH("-",'Bittrex Data'!B285,1)+1),LEN(RIGHT('Bittrex Data'!B285,LEN('Bittrex Data'!B285)-SEARCH("-",'Bittrex Data'!B285,1)+1))-1))</f>
        <v/>
      </c>
      <c r="F285" t="str">
        <f>IF('Bittrex Data'!C285="","",IF('Bittrex Data'!C285="Limit_Sell",'Bittrex Data'!G285-'Bittrex Data'!F285,IF('Bittrex Data'!C285="Limit_Buy",'Bittrex Data'!G285+'Bittrex Data'!F285,"")))</f>
        <v/>
      </c>
      <c r="G285" t="str">
        <f>IF('Bittrex Data'!B285="","",'Bittrex Data'!D285)</f>
        <v/>
      </c>
      <c r="H285" t="str">
        <f>IF('Bittrex Data'!C285="","",IF(Bittrex!C285="Buy",Bittrex!D285,IF(Bittrex!C285="Sale",Bittrex!E285,IF(AND(Bittrex!C285="Trade",'Bittrex Data'!C285="Limit_Sell"),Bittrex!E285,IF(AND(Bittrex!C285="Trade",'Bittrex Data'!C285="Limit_Buy"),Bittrex!D285,"")))))</f>
        <v/>
      </c>
      <c r="I285" t="str">
        <f>IF('Bittrex Data'!C285="","",IF(Bittrex!C285="Buy",F285,IF(C285="Sale",Bittrex!G285,IF(AND(C285="Trade",'Bittrex Data'!C285="Limit_Sell"),Bittrex!G285,IF(AND(Bittrex!C285="Trade",'Bittrex Data'!C285="Limit_Buy"),F285,"")))))</f>
        <v/>
      </c>
      <c r="J285" t="str">
        <f>IF('Bittrex Data'!B285="","",IF('Bittrex Data'!B285="","",IF(Bittrex!H285=Bittrex!E285,D285,Bittrex!E285)))</f>
        <v/>
      </c>
      <c r="K285" t="str">
        <f>IF('Bittrex Data'!B285="","",IF(Bittrex!I285=Bittrex!G285,Bittrex!F285,Bittrex!G285))</f>
        <v/>
      </c>
    </row>
    <row r="286" spans="3:11" x14ac:dyDescent="0.2">
      <c r="C286" t="str">
        <f>IF('Bittrex Data'!A286="","",IF(AND('Bittrex Data'!C286="LIMIT_SELL",Bittrex!D286="USD"),"Sale",IF(AND('Bittrex Data'!C286="LIMIT_BUY",Bittrex!D286="USD"),"Buy","Trade")))</f>
        <v/>
      </c>
      <c r="D286" t="str">
        <f>IF('Bittrex Data'!B286="","",LEFT(LEFT('Bittrex Data'!B286,SEARCH("-",'Bittrex Data'!B286,1)),LEN(LEFT('Bittrex Data'!B286,SEARCH("-",'Bittrex Data'!B286,1)))-1))</f>
        <v/>
      </c>
      <c r="E286" t="str">
        <f>IF('Bittrex Data'!B286="","",RIGHT(RIGHT('Bittrex Data'!B286,LEN('Bittrex Data'!B286)-SEARCH("-",'Bittrex Data'!B286,1)+1),LEN(RIGHT('Bittrex Data'!B286,LEN('Bittrex Data'!B286)-SEARCH("-",'Bittrex Data'!B286,1)+1))-1))</f>
        <v/>
      </c>
      <c r="F286" t="str">
        <f>IF('Bittrex Data'!C286="","",IF('Bittrex Data'!C286="Limit_Sell",'Bittrex Data'!G286-'Bittrex Data'!F286,IF('Bittrex Data'!C286="Limit_Buy",'Bittrex Data'!G286+'Bittrex Data'!F286,"")))</f>
        <v/>
      </c>
      <c r="G286" t="str">
        <f>IF('Bittrex Data'!B286="","",'Bittrex Data'!D286)</f>
        <v/>
      </c>
      <c r="H286" t="str">
        <f>IF('Bittrex Data'!C286="","",IF(Bittrex!C286="Buy",Bittrex!D286,IF(Bittrex!C286="Sale",Bittrex!E286,IF(AND(Bittrex!C286="Trade",'Bittrex Data'!C286="Limit_Sell"),Bittrex!E286,IF(AND(Bittrex!C286="Trade",'Bittrex Data'!C286="Limit_Buy"),Bittrex!D286,"")))))</f>
        <v/>
      </c>
      <c r="I286" t="str">
        <f>IF('Bittrex Data'!C286="","",IF(Bittrex!C286="Buy",F286,IF(C286="Sale",Bittrex!G286,IF(AND(C286="Trade",'Bittrex Data'!C286="Limit_Sell"),Bittrex!G286,IF(AND(Bittrex!C286="Trade",'Bittrex Data'!C286="Limit_Buy"),F286,"")))))</f>
        <v/>
      </c>
      <c r="J286" t="str">
        <f>IF('Bittrex Data'!B286="","",IF('Bittrex Data'!B286="","",IF(Bittrex!H286=Bittrex!E286,D286,Bittrex!E286)))</f>
        <v/>
      </c>
      <c r="K286" t="str">
        <f>IF('Bittrex Data'!B286="","",IF(Bittrex!I286=Bittrex!G286,Bittrex!F286,Bittrex!G286))</f>
        <v/>
      </c>
    </row>
    <row r="287" spans="3:11" x14ac:dyDescent="0.2">
      <c r="C287" t="str">
        <f>IF('Bittrex Data'!A287="","",IF(AND('Bittrex Data'!C287="LIMIT_SELL",Bittrex!D287="USD"),"Sale",IF(AND('Bittrex Data'!C287="LIMIT_BUY",Bittrex!D287="USD"),"Buy","Trade")))</f>
        <v/>
      </c>
      <c r="D287" t="str">
        <f>IF('Bittrex Data'!B287="","",LEFT(LEFT('Bittrex Data'!B287,SEARCH("-",'Bittrex Data'!B287,1)),LEN(LEFT('Bittrex Data'!B287,SEARCH("-",'Bittrex Data'!B287,1)))-1))</f>
        <v/>
      </c>
      <c r="E287" t="str">
        <f>IF('Bittrex Data'!B287="","",RIGHT(RIGHT('Bittrex Data'!B287,LEN('Bittrex Data'!B287)-SEARCH("-",'Bittrex Data'!B287,1)+1),LEN(RIGHT('Bittrex Data'!B287,LEN('Bittrex Data'!B287)-SEARCH("-",'Bittrex Data'!B287,1)+1))-1))</f>
        <v/>
      </c>
      <c r="F287" t="str">
        <f>IF('Bittrex Data'!C287="","",IF('Bittrex Data'!C287="Limit_Sell",'Bittrex Data'!G287-'Bittrex Data'!F287,IF('Bittrex Data'!C287="Limit_Buy",'Bittrex Data'!G287+'Bittrex Data'!F287,"")))</f>
        <v/>
      </c>
      <c r="G287" t="str">
        <f>IF('Bittrex Data'!B287="","",'Bittrex Data'!D287)</f>
        <v/>
      </c>
      <c r="H287" t="str">
        <f>IF('Bittrex Data'!C287="","",IF(Bittrex!C287="Buy",Bittrex!D287,IF(Bittrex!C287="Sale",Bittrex!E287,IF(AND(Bittrex!C287="Trade",'Bittrex Data'!C287="Limit_Sell"),Bittrex!E287,IF(AND(Bittrex!C287="Trade",'Bittrex Data'!C287="Limit_Buy"),Bittrex!D287,"")))))</f>
        <v/>
      </c>
      <c r="I287" t="str">
        <f>IF('Bittrex Data'!C287="","",IF(Bittrex!C287="Buy",F287,IF(C287="Sale",Bittrex!G287,IF(AND(C287="Trade",'Bittrex Data'!C287="Limit_Sell"),Bittrex!G287,IF(AND(Bittrex!C287="Trade",'Bittrex Data'!C287="Limit_Buy"),F287,"")))))</f>
        <v/>
      </c>
      <c r="J287" t="str">
        <f>IF('Bittrex Data'!B287="","",IF('Bittrex Data'!B287="","",IF(Bittrex!H287=Bittrex!E287,D287,Bittrex!E287)))</f>
        <v/>
      </c>
      <c r="K287" t="str">
        <f>IF('Bittrex Data'!B287="","",IF(Bittrex!I287=Bittrex!G287,Bittrex!F287,Bittrex!G287))</f>
        <v/>
      </c>
    </row>
    <row r="288" spans="3:11" x14ac:dyDescent="0.2">
      <c r="C288" t="str">
        <f>IF('Bittrex Data'!A288="","",IF(AND('Bittrex Data'!C288="LIMIT_SELL",Bittrex!D288="USD"),"Sale",IF(AND('Bittrex Data'!C288="LIMIT_BUY",Bittrex!D288="USD"),"Buy","Trade")))</f>
        <v/>
      </c>
      <c r="D288" t="str">
        <f>IF('Bittrex Data'!B288="","",LEFT(LEFT('Bittrex Data'!B288,SEARCH("-",'Bittrex Data'!B288,1)),LEN(LEFT('Bittrex Data'!B288,SEARCH("-",'Bittrex Data'!B288,1)))-1))</f>
        <v/>
      </c>
      <c r="E288" t="str">
        <f>IF('Bittrex Data'!B288="","",RIGHT(RIGHT('Bittrex Data'!B288,LEN('Bittrex Data'!B288)-SEARCH("-",'Bittrex Data'!B288,1)+1),LEN(RIGHT('Bittrex Data'!B288,LEN('Bittrex Data'!B288)-SEARCH("-",'Bittrex Data'!B288,1)+1))-1))</f>
        <v/>
      </c>
      <c r="F288" t="str">
        <f>IF('Bittrex Data'!C288="","",IF('Bittrex Data'!C288="Limit_Sell",'Bittrex Data'!G288-'Bittrex Data'!F288,IF('Bittrex Data'!C288="Limit_Buy",'Bittrex Data'!G288+'Bittrex Data'!F288,"")))</f>
        <v/>
      </c>
      <c r="G288" t="str">
        <f>IF('Bittrex Data'!B288="","",'Bittrex Data'!D288)</f>
        <v/>
      </c>
      <c r="H288" t="str">
        <f>IF('Bittrex Data'!C288="","",IF(Bittrex!C288="Buy",Bittrex!D288,IF(Bittrex!C288="Sale",Bittrex!E288,IF(AND(Bittrex!C288="Trade",'Bittrex Data'!C288="Limit_Sell"),Bittrex!E288,IF(AND(Bittrex!C288="Trade",'Bittrex Data'!C288="Limit_Buy"),Bittrex!D288,"")))))</f>
        <v/>
      </c>
      <c r="I288" t="str">
        <f>IF('Bittrex Data'!C288="","",IF(Bittrex!C288="Buy",F288,IF(C288="Sale",Bittrex!G288,IF(AND(C288="Trade",'Bittrex Data'!C288="Limit_Sell"),Bittrex!G288,IF(AND(Bittrex!C288="Trade",'Bittrex Data'!C288="Limit_Buy"),F288,"")))))</f>
        <v/>
      </c>
      <c r="J288" t="str">
        <f>IF('Bittrex Data'!B288="","",IF('Bittrex Data'!B288="","",IF(Bittrex!H288=Bittrex!E288,D288,Bittrex!E288)))</f>
        <v/>
      </c>
      <c r="K288" t="str">
        <f>IF('Bittrex Data'!B288="","",IF(Bittrex!I288=Bittrex!G288,Bittrex!F288,Bittrex!G288))</f>
        <v/>
      </c>
    </row>
    <row r="289" spans="3:11" x14ac:dyDescent="0.2">
      <c r="C289" t="str">
        <f>IF('Bittrex Data'!A289="","",IF(AND('Bittrex Data'!C289="LIMIT_SELL",Bittrex!D289="USD"),"Sale",IF(AND('Bittrex Data'!C289="LIMIT_BUY",Bittrex!D289="USD"),"Buy","Trade")))</f>
        <v/>
      </c>
      <c r="D289" t="str">
        <f>IF('Bittrex Data'!B289="","",LEFT(LEFT('Bittrex Data'!B289,SEARCH("-",'Bittrex Data'!B289,1)),LEN(LEFT('Bittrex Data'!B289,SEARCH("-",'Bittrex Data'!B289,1)))-1))</f>
        <v/>
      </c>
      <c r="E289" t="str">
        <f>IF('Bittrex Data'!B289="","",RIGHT(RIGHT('Bittrex Data'!B289,LEN('Bittrex Data'!B289)-SEARCH("-",'Bittrex Data'!B289,1)+1),LEN(RIGHT('Bittrex Data'!B289,LEN('Bittrex Data'!B289)-SEARCH("-",'Bittrex Data'!B289,1)+1))-1))</f>
        <v/>
      </c>
      <c r="F289" t="str">
        <f>IF('Bittrex Data'!C289="","",IF('Bittrex Data'!C289="Limit_Sell",'Bittrex Data'!G289-'Bittrex Data'!F289,IF('Bittrex Data'!C289="Limit_Buy",'Bittrex Data'!G289+'Bittrex Data'!F289,"")))</f>
        <v/>
      </c>
      <c r="G289" t="str">
        <f>IF('Bittrex Data'!B289="","",'Bittrex Data'!D289)</f>
        <v/>
      </c>
      <c r="H289" t="str">
        <f>IF('Bittrex Data'!C289="","",IF(Bittrex!C289="Buy",Bittrex!D289,IF(Bittrex!C289="Sale",Bittrex!E289,IF(AND(Bittrex!C289="Trade",'Bittrex Data'!C289="Limit_Sell"),Bittrex!E289,IF(AND(Bittrex!C289="Trade",'Bittrex Data'!C289="Limit_Buy"),Bittrex!D289,"")))))</f>
        <v/>
      </c>
      <c r="I289" t="str">
        <f>IF('Bittrex Data'!C289="","",IF(Bittrex!C289="Buy",F289,IF(C289="Sale",Bittrex!G289,IF(AND(C289="Trade",'Bittrex Data'!C289="Limit_Sell"),Bittrex!G289,IF(AND(Bittrex!C289="Trade",'Bittrex Data'!C289="Limit_Buy"),F289,"")))))</f>
        <v/>
      </c>
      <c r="J289" t="str">
        <f>IF('Bittrex Data'!B289="","",IF('Bittrex Data'!B289="","",IF(Bittrex!H289=Bittrex!E289,D289,Bittrex!E289)))</f>
        <v/>
      </c>
      <c r="K289" t="str">
        <f>IF('Bittrex Data'!B289="","",IF(Bittrex!I289=Bittrex!G289,Bittrex!F289,Bittrex!G289))</f>
        <v/>
      </c>
    </row>
    <row r="290" spans="3:11" x14ac:dyDescent="0.2">
      <c r="C290" t="str">
        <f>IF('Bittrex Data'!A290="","",IF(AND('Bittrex Data'!C290="LIMIT_SELL",Bittrex!D290="USD"),"Sale",IF(AND('Bittrex Data'!C290="LIMIT_BUY",Bittrex!D290="USD"),"Buy","Trade")))</f>
        <v/>
      </c>
      <c r="D290" t="str">
        <f>IF('Bittrex Data'!B290="","",LEFT(LEFT('Bittrex Data'!B290,SEARCH("-",'Bittrex Data'!B290,1)),LEN(LEFT('Bittrex Data'!B290,SEARCH("-",'Bittrex Data'!B290,1)))-1))</f>
        <v/>
      </c>
      <c r="E290" t="str">
        <f>IF('Bittrex Data'!B290="","",RIGHT(RIGHT('Bittrex Data'!B290,LEN('Bittrex Data'!B290)-SEARCH("-",'Bittrex Data'!B290,1)+1),LEN(RIGHT('Bittrex Data'!B290,LEN('Bittrex Data'!B290)-SEARCH("-",'Bittrex Data'!B290,1)+1))-1))</f>
        <v/>
      </c>
      <c r="F290" t="str">
        <f>IF('Bittrex Data'!C290="","",IF('Bittrex Data'!C290="Limit_Sell",'Bittrex Data'!G290-'Bittrex Data'!F290,IF('Bittrex Data'!C290="Limit_Buy",'Bittrex Data'!G290+'Bittrex Data'!F290,"")))</f>
        <v/>
      </c>
      <c r="G290" t="str">
        <f>IF('Bittrex Data'!B290="","",'Bittrex Data'!D290)</f>
        <v/>
      </c>
      <c r="H290" t="str">
        <f>IF('Bittrex Data'!C290="","",IF(Bittrex!C290="Buy",Bittrex!D290,IF(Bittrex!C290="Sale",Bittrex!E290,IF(AND(Bittrex!C290="Trade",'Bittrex Data'!C290="Limit_Sell"),Bittrex!E290,IF(AND(Bittrex!C290="Trade",'Bittrex Data'!C290="Limit_Buy"),Bittrex!D290,"")))))</f>
        <v/>
      </c>
      <c r="I290" t="str">
        <f>IF('Bittrex Data'!C290="","",IF(Bittrex!C290="Buy",F290,IF(C290="Sale",Bittrex!G290,IF(AND(C290="Trade",'Bittrex Data'!C290="Limit_Sell"),Bittrex!G290,IF(AND(Bittrex!C290="Trade",'Bittrex Data'!C290="Limit_Buy"),F290,"")))))</f>
        <v/>
      </c>
      <c r="J290" t="str">
        <f>IF('Bittrex Data'!B290="","",IF('Bittrex Data'!B290="","",IF(Bittrex!H290=Bittrex!E290,D290,Bittrex!E290)))</f>
        <v/>
      </c>
      <c r="K290" t="str">
        <f>IF('Bittrex Data'!B290="","",IF(Bittrex!I290=Bittrex!G290,Bittrex!F290,Bittrex!G290))</f>
        <v/>
      </c>
    </row>
    <row r="291" spans="3:11" x14ac:dyDescent="0.2">
      <c r="C291" t="str">
        <f>IF('Bittrex Data'!A291="","",IF(AND('Bittrex Data'!C291="LIMIT_SELL",Bittrex!D291="USD"),"Sale",IF(AND('Bittrex Data'!C291="LIMIT_BUY",Bittrex!D291="USD"),"Buy","Trade")))</f>
        <v/>
      </c>
      <c r="D291" t="str">
        <f>IF('Bittrex Data'!B291="","",LEFT(LEFT('Bittrex Data'!B291,SEARCH("-",'Bittrex Data'!B291,1)),LEN(LEFT('Bittrex Data'!B291,SEARCH("-",'Bittrex Data'!B291,1)))-1))</f>
        <v/>
      </c>
      <c r="E291" t="str">
        <f>IF('Bittrex Data'!B291="","",RIGHT(RIGHT('Bittrex Data'!B291,LEN('Bittrex Data'!B291)-SEARCH("-",'Bittrex Data'!B291,1)+1),LEN(RIGHT('Bittrex Data'!B291,LEN('Bittrex Data'!B291)-SEARCH("-",'Bittrex Data'!B291,1)+1))-1))</f>
        <v/>
      </c>
      <c r="F291" t="str">
        <f>IF('Bittrex Data'!C291="","",IF('Bittrex Data'!C291="Limit_Sell",'Bittrex Data'!G291-'Bittrex Data'!F291,IF('Bittrex Data'!C291="Limit_Buy",'Bittrex Data'!G291+'Bittrex Data'!F291,"")))</f>
        <v/>
      </c>
      <c r="G291" t="str">
        <f>IF('Bittrex Data'!B291="","",'Bittrex Data'!D291)</f>
        <v/>
      </c>
      <c r="H291" t="str">
        <f>IF('Bittrex Data'!C291="","",IF(Bittrex!C291="Buy",Bittrex!D291,IF(Bittrex!C291="Sale",Bittrex!E291,IF(AND(Bittrex!C291="Trade",'Bittrex Data'!C291="Limit_Sell"),Bittrex!E291,IF(AND(Bittrex!C291="Trade",'Bittrex Data'!C291="Limit_Buy"),Bittrex!D291,"")))))</f>
        <v/>
      </c>
      <c r="I291" t="str">
        <f>IF('Bittrex Data'!C291="","",IF(Bittrex!C291="Buy",F291,IF(C291="Sale",Bittrex!G291,IF(AND(C291="Trade",'Bittrex Data'!C291="Limit_Sell"),Bittrex!G291,IF(AND(Bittrex!C291="Trade",'Bittrex Data'!C291="Limit_Buy"),F291,"")))))</f>
        <v/>
      </c>
      <c r="J291" t="str">
        <f>IF('Bittrex Data'!B291="","",IF('Bittrex Data'!B291="","",IF(Bittrex!H291=Bittrex!E291,D291,Bittrex!E291)))</f>
        <v/>
      </c>
      <c r="K291" t="str">
        <f>IF('Bittrex Data'!B291="","",IF(Bittrex!I291=Bittrex!G291,Bittrex!F291,Bittrex!G291))</f>
        <v/>
      </c>
    </row>
    <row r="292" spans="3:11" x14ac:dyDescent="0.2">
      <c r="C292" t="str">
        <f>IF('Bittrex Data'!A292="","",IF(AND('Bittrex Data'!C292="LIMIT_SELL",Bittrex!D292="USD"),"Sale",IF(AND('Bittrex Data'!C292="LIMIT_BUY",Bittrex!D292="USD"),"Buy","Trade")))</f>
        <v/>
      </c>
      <c r="D292" t="str">
        <f>IF('Bittrex Data'!B292="","",LEFT(LEFT('Bittrex Data'!B292,SEARCH("-",'Bittrex Data'!B292,1)),LEN(LEFT('Bittrex Data'!B292,SEARCH("-",'Bittrex Data'!B292,1)))-1))</f>
        <v/>
      </c>
      <c r="E292" t="str">
        <f>IF('Bittrex Data'!B292="","",RIGHT(RIGHT('Bittrex Data'!B292,LEN('Bittrex Data'!B292)-SEARCH("-",'Bittrex Data'!B292,1)+1),LEN(RIGHT('Bittrex Data'!B292,LEN('Bittrex Data'!B292)-SEARCH("-",'Bittrex Data'!B292,1)+1))-1))</f>
        <v/>
      </c>
      <c r="F292" t="str">
        <f>IF('Bittrex Data'!C292="","",IF('Bittrex Data'!C292="Limit_Sell",'Bittrex Data'!G292-'Bittrex Data'!F292,IF('Bittrex Data'!C292="Limit_Buy",'Bittrex Data'!G292+'Bittrex Data'!F292,"")))</f>
        <v/>
      </c>
      <c r="G292" t="str">
        <f>IF('Bittrex Data'!B292="","",'Bittrex Data'!D292)</f>
        <v/>
      </c>
      <c r="H292" t="str">
        <f>IF('Bittrex Data'!C292="","",IF(Bittrex!C292="Buy",Bittrex!D292,IF(Bittrex!C292="Sale",Bittrex!E292,IF(AND(Bittrex!C292="Trade",'Bittrex Data'!C292="Limit_Sell"),Bittrex!E292,IF(AND(Bittrex!C292="Trade",'Bittrex Data'!C292="Limit_Buy"),Bittrex!D292,"")))))</f>
        <v/>
      </c>
      <c r="I292" t="str">
        <f>IF('Bittrex Data'!C292="","",IF(Bittrex!C292="Buy",F292,IF(C292="Sale",Bittrex!G292,IF(AND(C292="Trade",'Bittrex Data'!C292="Limit_Sell"),Bittrex!G292,IF(AND(Bittrex!C292="Trade",'Bittrex Data'!C292="Limit_Buy"),F292,"")))))</f>
        <v/>
      </c>
      <c r="J292" t="str">
        <f>IF('Bittrex Data'!B292="","",IF('Bittrex Data'!B292="","",IF(Bittrex!H292=Bittrex!E292,D292,Bittrex!E292)))</f>
        <v/>
      </c>
      <c r="K292" t="str">
        <f>IF('Bittrex Data'!B292="","",IF(Bittrex!I292=Bittrex!G292,Bittrex!F292,Bittrex!G292))</f>
        <v/>
      </c>
    </row>
    <row r="293" spans="3:11" x14ac:dyDescent="0.2">
      <c r="C293" t="str">
        <f>IF('Bittrex Data'!A293="","",IF(AND('Bittrex Data'!C293="LIMIT_SELL",Bittrex!D293="USD"),"Sale",IF(AND('Bittrex Data'!C293="LIMIT_BUY",Bittrex!D293="USD"),"Buy","Trade")))</f>
        <v/>
      </c>
      <c r="D293" t="str">
        <f>IF('Bittrex Data'!B293="","",LEFT(LEFT('Bittrex Data'!B293,SEARCH("-",'Bittrex Data'!B293,1)),LEN(LEFT('Bittrex Data'!B293,SEARCH("-",'Bittrex Data'!B293,1)))-1))</f>
        <v/>
      </c>
      <c r="E293" t="str">
        <f>IF('Bittrex Data'!B293="","",RIGHT(RIGHT('Bittrex Data'!B293,LEN('Bittrex Data'!B293)-SEARCH("-",'Bittrex Data'!B293,1)+1),LEN(RIGHT('Bittrex Data'!B293,LEN('Bittrex Data'!B293)-SEARCH("-",'Bittrex Data'!B293,1)+1))-1))</f>
        <v/>
      </c>
      <c r="F293" t="str">
        <f>IF('Bittrex Data'!C293="","",IF('Bittrex Data'!C293="Limit_Sell",'Bittrex Data'!G293-'Bittrex Data'!F293,IF('Bittrex Data'!C293="Limit_Buy",'Bittrex Data'!G293+'Bittrex Data'!F293,"")))</f>
        <v/>
      </c>
      <c r="G293" t="str">
        <f>IF('Bittrex Data'!B293="","",'Bittrex Data'!D293)</f>
        <v/>
      </c>
      <c r="H293" t="str">
        <f>IF('Bittrex Data'!C293="","",IF(Bittrex!C293="Buy",Bittrex!D293,IF(Bittrex!C293="Sale",Bittrex!E293,IF(AND(Bittrex!C293="Trade",'Bittrex Data'!C293="Limit_Sell"),Bittrex!E293,IF(AND(Bittrex!C293="Trade",'Bittrex Data'!C293="Limit_Buy"),Bittrex!D293,"")))))</f>
        <v/>
      </c>
      <c r="I293" t="str">
        <f>IF('Bittrex Data'!C293="","",IF(Bittrex!C293="Buy",F293,IF(C293="Sale",Bittrex!G293,IF(AND(C293="Trade",'Bittrex Data'!C293="Limit_Sell"),Bittrex!G293,IF(AND(Bittrex!C293="Trade",'Bittrex Data'!C293="Limit_Buy"),F293,"")))))</f>
        <v/>
      </c>
      <c r="J293" t="str">
        <f>IF('Bittrex Data'!B293="","",IF('Bittrex Data'!B293="","",IF(Bittrex!H293=Bittrex!E293,D293,Bittrex!E293)))</f>
        <v/>
      </c>
      <c r="K293" t="str">
        <f>IF('Bittrex Data'!B293="","",IF(Bittrex!I293=Bittrex!G293,Bittrex!F293,Bittrex!G293))</f>
        <v/>
      </c>
    </row>
    <row r="294" spans="3:11" x14ac:dyDescent="0.2">
      <c r="C294" t="str">
        <f>IF('Bittrex Data'!A294="","",IF(AND('Bittrex Data'!C294="LIMIT_SELL",Bittrex!D294="USD"),"Sale",IF(AND('Bittrex Data'!C294="LIMIT_BUY",Bittrex!D294="USD"),"Buy","Trade")))</f>
        <v/>
      </c>
      <c r="D294" t="str">
        <f>IF('Bittrex Data'!B294="","",LEFT(LEFT('Bittrex Data'!B294,SEARCH("-",'Bittrex Data'!B294,1)),LEN(LEFT('Bittrex Data'!B294,SEARCH("-",'Bittrex Data'!B294,1)))-1))</f>
        <v/>
      </c>
      <c r="E294" t="str">
        <f>IF('Bittrex Data'!B294="","",RIGHT(RIGHT('Bittrex Data'!B294,LEN('Bittrex Data'!B294)-SEARCH("-",'Bittrex Data'!B294,1)+1),LEN(RIGHT('Bittrex Data'!B294,LEN('Bittrex Data'!B294)-SEARCH("-",'Bittrex Data'!B294,1)+1))-1))</f>
        <v/>
      </c>
      <c r="F294" t="str">
        <f>IF('Bittrex Data'!C294="","",IF('Bittrex Data'!C294="Limit_Sell",'Bittrex Data'!G294-'Bittrex Data'!F294,IF('Bittrex Data'!C294="Limit_Buy",'Bittrex Data'!G294+'Bittrex Data'!F294,"")))</f>
        <v/>
      </c>
      <c r="G294" t="str">
        <f>IF('Bittrex Data'!B294="","",'Bittrex Data'!D294)</f>
        <v/>
      </c>
      <c r="H294" t="str">
        <f>IF('Bittrex Data'!C294="","",IF(Bittrex!C294="Buy",Bittrex!D294,IF(Bittrex!C294="Sale",Bittrex!E294,IF(AND(Bittrex!C294="Trade",'Bittrex Data'!C294="Limit_Sell"),Bittrex!E294,IF(AND(Bittrex!C294="Trade",'Bittrex Data'!C294="Limit_Buy"),Bittrex!D294,"")))))</f>
        <v/>
      </c>
      <c r="I294" t="str">
        <f>IF('Bittrex Data'!C294="","",IF(Bittrex!C294="Buy",F294,IF(C294="Sale",Bittrex!G294,IF(AND(C294="Trade",'Bittrex Data'!C294="Limit_Sell"),Bittrex!G294,IF(AND(Bittrex!C294="Trade",'Bittrex Data'!C294="Limit_Buy"),F294,"")))))</f>
        <v/>
      </c>
      <c r="J294" t="str">
        <f>IF('Bittrex Data'!B294="","",IF('Bittrex Data'!B294="","",IF(Bittrex!H294=Bittrex!E294,D294,Bittrex!E294)))</f>
        <v/>
      </c>
      <c r="K294" t="str">
        <f>IF('Bittrex Data'!B294="","",IF(Bittrex!I294=Bittrex!G294,Bittrex!F294,Bittrex!G294))</f>
        <v/>
      </c>
    </row>
    <row r="295" spans="3:11" x14ac:dyDescent="0.2">
      <c r="C295" t="str">
        <f>IF('Bittrex Data'!A295="","",IF(AND('Bittrex Data'!C295="LIMIT_SELL",Bittrex!D295="USD"),"Sale",IF(AND('Bittrex Data'!C295="LIMIT_BUY",Bittrex!D295="USD"),"Buy","Trade")))</f>
        <v/>
      </c>
      <c r="D295" t="str">
        <f>IF('Bittrex Data'!B295="","",LEFT(LEFT('Bittrex Data'!B295,SEARCH("-",'Bittrex Data'!B295,1)),LEN(LEFT('Bittrex Data'!B295,SEARCH("-",'Bittrex Data'!B295,1)))-1))</f>
        <v/>
      </c>
      <c r="E295" t="str">
        <f>IF('Bittrex Data'!B295="","",RIGHT(RIGHT('Bittrex Data'!B295,LEN('Bittrex Data'!B295)-SEARCH("-",'Bittrex Data'!B295,1)+1),LEN(RIGHT('Bittrex Data'!B295,LEN('Bittrex Data'!B295)-SEARCH("-",'Bittrex Data'!B295,1)+1))-1))</f>
        <v/>
      </c>
      <c r="F295" t="str">
        <f>IF('Bittrex Data'!C295="","",IF('Bittrex Data'!C295="Limit_Sell",'Bittrex Data'!G295-'Bittrex Data'!F295,IF('Bittrex Data'!C295="Limit_Buy",'Bittrex Data'!G295+'Bittrex Data'!F295,"")))</f>
        <v/>
      </c>
      <c r="G295" t="str">
        <f>IF('Bittrex Data'!B295="","",'Bittrex Data'!D295)</f>
        <v/>
      </c>
      <c r="H295" t="str">
        <f>IF('Bittrex Data'!C295="","",IF(Bittrex!C295="Buy",Bittrex!D295,IF(Bittrex!C295="Sale",Bittrex!E295,IF(AND(Bittrex!C295="Trade",'Bittrex Data'!C295="Limit_Sell"),Bittrex!E295,IF(AND(Bittrex!C295="Trade",'Bittrex Data'!C295="Limit_Buy"),Bittrex!D295,"")))))</f>
        <v/>
      </c>
      <c r="I295" t="str">
        <f>IF('Bittrex Data'!C295="","",IF(Bittrex!C295="Buy",F295,IF(C295="Sale",Bittrex!G295,IF(AND(C295="Trade",'Bittrex Data'!C295="Limit_Sell"),Bittrex!G295,IF(AND(Bittrex!C295="Trade",'Bittrex Data'!C295="Limit_Buy"),F295,"")))))</f>
        <v/>
      </c>
      <c r="J295" t="str">
        <f>IF('Bittrex Data'!B295="","",IF('Bittrex Data'!B295="","",IF(Bittrex!H295=Bittrex!E295,D295,Bittrex!E295)))</f>
        <v/>
      </c>
      <c r="K295" t="str">
        <f>IF('Bittrex Data'!B295="","",IF(Bittrex!I295=Bittrex!G295,Bittrex!F295,Bittrex!G295))</f>
        <v/>
      </c>
    </row>
    <row r="296" spans="3:11" x14ac:dyDescent="0.2">
      <c r="C296" t="str">
        <f>IF('Bittrex Data'!A296="","",IF(AND('Bittrex Data'!C296="LIMIT_SELL",Bittrex!D296="USD"),"Sale",IF(AND('Bittrex Data'!C296="LIMIT_BUY",Bittrex!D296="USD"),"Buy","Trade")))</f>
        <v/>
      </c>
      <c r="D296" t="str">
        <f>IF('Bittrex Data'!B296="","",LEFT(LEFT('Bittrex Data'!B296,SEARCH("-",'Bittrex Data'!B296,1)),LEN(LEFT('Bittrex Data'!B296,SEARCH("-",'Bittrex Data'!B296,1)))-1))</f>
        <v/>
      </c>
      <c r="E296" t="str">
        <f>IF('Bittrex Data'!B296="","",RIGHT(RIGHT('Bittrex Data'!B296,LEN('Bittrex Data'!B296)-SEARCH("-",'Bittrex Data'!B296,1)+1),LEN(RIGHT('Bittrex Data'!B296,LEN('Bittrex Data'!B296)-SEARCH("-",'Bittrex Data'!B296,1)+1))-1))</f>
        <v/>
      </c>
      <c r="F296" t="str">
        <f>IF('Bittrex Data'!C296="","",IF('Bittrex Data'!C296="Limit_Sell",'Bittrex Data'!G296-'Bittrex Data'!F296,IF('Bittrex Data'!C296="Limit_Buy",'Bittrex Data'!G296+'Bittrex Data'!F296,"")))</f>
        <v/>
      </c>
      <c r="G296" t="str">
        <f>IF('Bittrex Data'!B296="","",'Bittrex Data'!D296)</f>
        <v/>
      </c>
      <c r="H296" t="str">
        <f>IF('Bittrex Data'!C296="","",IF(Bittrex!C296="Buy",Bittrex!D296,IF(Bittrex!C296="Sale",Bittrex!E296,IF(AND(Bittrex!C296="Trade",'Bittrex Data'!C296="Limit_Sell"),Bittrex!E296,IF(AND(Bittrex!C296="Trade",'Bittrex Data'!C296="Limit_Buy"),Bittrex!D296,"")))))</f>
        <v/>
      </c>
      <c r="I296" t="str">
        <f>IF('Bittrex Data'!C296="","",IF(Bittrex!C296="Buy",F296,IF(C296="Sale",Bittrex!G296,IF(AND(C296="Trade",'Bittrex Data'!C296="Limit_Sell"),Bittrex!G296,IF(AND(Bittrex!C296="Trade",'Bittrex Data'!C296="Limit_Buy"),F296,"")))))</f>
        <v/>
      </c>
      <c r="J296" t="str">
        <f>IF('Bittrex Data'!B296="","",IF('Bittrex Data'!B296="","",IF(Bittrex!H296=Bittrex!E296,D296,Bittrex!E296)))</f>
        <v/>
      </c>
      <c r="K296" t="str">
        <f>IF('Bittrex Data'!B296="","",IF(Bittrex!I296=Bittrex!G296,Bittrex!F296,Bittrex!G296))</f>
        <v/>
      </c>
    </row>
    <row r="297" spans="3:11" x14ac:dyDescent="0.2">
      <c r="C297" t="str">
        <f>IF('Bittrex Data'!A297="","",IF(AND('Bittrex Data'!C297="LIMIT_SELL",Bittrex!D297="USD"),"Sale",IF(AND('Bittrex Data'!C297="LIMIT_BUY",Bittrex!D297="USD"),"Buy","Trade")))</f>
        <v/>
      </c>
      <c r="D297" t="str">
        <f>IF('Bittrex Data'!B297="","",LEFT(LEFT('Bittrex Data'!B297,SEARCH("-",'Bittrex Data'!B297,1)),LEN(LEFT('Bittrex Data'!B297,SEARCH("-",'Bittrex Data'!B297,1)))-1))</f>
        <v/>
      </c>
      <c r="E297" t="str">
        <f>IF('Bittrex Data'!B297="","",RIGHT(RIGHT('Bittrex Data'!B297,LEN('Bittrex Data'!B297)-SEARCH("-",'Bittrex Data'!B297,1)+1),LEN(RIGHT('Bittrex Data'!B297,LEN('Bittrex Data'!B297)-SEARCH("-",'Bittrex Data'!B297,1)+1))-1))</f>
        <v/>
      </c>
      <c r="F297" t="str">
        <f>IF('Bittrex Data'!C297="","",IF('Bittrex Data'!C297="Limit_Sell",'Bittrex Data'!G297-'Bittrex Data'!F297,IF('Bittrex Data'!C297="Limit_Buy",'Bittrex Data'!G297+'Bittrex Data'!F297,"")))</f>
        <v/>
      </c>
      <c r="G297" t="str">
        <f>IF('Bittrex Data'!B297="","",'Bittrex Data'!D297)</f>
        <v/>
      </c>
      <c r="H297" t="str">
        <f>IF('Bittrex Data'!C297="","",IF(Bittrex!C297="Buy",Bittrex!D297,IF(Bittrex!C297="Sale",Bittrex!E297,IF(AND(Bittrex!C297="Trade",'Bittrex Data'!C297="Limit_Sell"),Bittrex!E297,IF(AND(Bittrex!C297="Trade",'Bittrex Data'!C297="Limit_Buy"),Bittrex!D297,"")))))</f>
        <v/>
      </c>
      <c r="I297" t="str">
        <f>IF('Bittrex Data'!C297="","",IF(Bittrex!C297="Buy",F297,IF(C297="Sale",Bittrex!G297,IF(AND(C297="Trade",'Bittrex Data'!C297="Limit_Sell"),Bittrex!G297,IF(AND(Bittrex!C297="Trade",'Bittrex Data'!C297="Limit_Buy"),F297,"")))))</f>
        <v/>
      </c>
      <c r="J297" t="str">
        <f>IF('Bittrex Data'!B297="","",IF('Bittrex Data'!B297="","",IF(Bittrex!H297=Bittrex!E297,D297,Bittrex!E297)))</f>
        <v/>
      </c>
      <c r="K297" t="str">
        <f>IF('Bittrex Data'!B297="","",IF(Bittrex!I297=Bittrex!G297,Bittrex!F297,Bittrex!G297))</f>
        <v/>
      </c>
    </row>
    <row r="298" spans="3:11" x14ac:dyDescent="0.2">
      <c r="C298" t="str">
        <f>IF('Bittrex Data'!A298="","",IF(AND('Bittrex Data'!C298="LIMIT_SELL",Bittrex!D298="USD"),"Sale",IF(AND('Bittrex Data'!C298="LIMIT_BUY",Bittrex!D298="USD"),"Buy","Trade")))</f>
        <v/>
      </c>
      <c r="D298" t="str">
        <f>IF('Bittrex Data'!B298="","",LEFT(LEFT('Bittrex Data'!B298,SEARCH("-",'Bittrex Data'!B298,1)),LEN(LEFT('Bittrex Data'!B298,SEARCH("-",'Bittrex Data'!B298,1)))-1))</f>
        <v/>
      </c>
      <c r="E298" t="str">
        <f>IF('Bittrex Data'!B298="","",RIGHT(RIGHT('Bittrex Data'!B298,LEN('Bittrex Data'!B298)-SEARCH("-",'Bittrex Data'!B298,1)+1),LEN(RIGHT('Bittrex Data'!B298,LEN('Bittrex Data'!B298)-SEARCH("-",'Bittrex Data'!B298,1)+1))-1))</f>
        <v/>
      </c>
      <c r="F298" t="str">
        <f>IF('Bittrex Data'!C298="","",IF('Bittrex Data'!C298="Limit_Sell",'Bittrex Data'!G298-'Bittrex Data'!F298,IF('Bittrex Data'!C298="Limit_Buy",'Bittrex Data'!G298+'Bittrex Data'!F298,"")))</f>
        <v/>
      </c>
      <c r="G298" t="str">
        <f>IF('Bittrex Data'!B298="","",'Bittrex Data'!D298)</f>
        <v/>
      </c>
      <c r="H298" t="str">
        <f>IF('Bittrex Data'!C298="","",IF(Bittrex!C298="Buy",Bittrex!D298,IF(Bittrex!C298="Sale",Bittrex!E298,IF(AND(Bittrex!C298="Trade",'Bittrex Data'!C298="Limit_Sell"),Bittrex!E298,IF(AND(Bittrex!C298="Trade",'Bittrex Data'!C298="Limit_Buy"),Bittrex!D298,"")))))</f>
        <v/>
      </c>
      <c r="I298" t="str">
        <f>IF('Bittrex Data'!C298="","",IF(Bittrex!C298="Buy",F298,IF(C298="Sale",Bittrex!G298,IF(AND(C298="Trade",'Bittrex Data'!C298="Limit_Sell"),Bittrex!G298,IF(AND(Bittrex!C298="Trade",'Bittrex Data'!C298="Limit_Buy"),F298,"")))))</f>
        <v/>
      </c>
      <c r="J298" t="str">
        <f>IF('Bittrex Data'!B298="","",IF('Bittrex Data'!B298="","",IF(Bittrex!H298=Bittrex!E298,D298,Bittrex!E298)))</f>
        <v/>
      </c>
      <c r="K298" t="str">
        <f>IF('Bittrex Data'!B298="","",IF(Bittrex!I298=Bittrex!G298,Bittrex!F298,Bittrex!G298))</f>
        <v/>
      </c>
    </row>
    <row r="299" spans="3:11" x14ac:dyDescent="0.2">
      <c r="C299" t="str">
        <f>IF('Bittrex Data'!A299="","",IF(AND('Bittrex Data'!C299="LIMIT_SELL",Bittrex!D299="USD"),"Sale",IF(AND('Bittrex Data'!C299="LIMIT_BUY",Bittrex!D299="USD"),"Buy","Trade")))</f>
        <v/>
      </c>
      <c r="D299" t="str">
        <f>IF('Bittrex Data'!B299="","",LEFT(LEFT('Bittrex Data'!B299,SEARCH("-",'Bittrex Data'!B299,1)),LEN(LEFT('Bittrex Data'!B299,SEARCH("-",'Bittrex Data'!B299,1)))-1))</f>
        <v/>
      </c>
      <c r="E299" t="str">
        <f>IF('Bittrex Data'!B299="","",RIGHT(RIGHT('Bittrex Data'!B299,LEN('Bittrex Data'!B299)-SEARCH("-",'Bittrex Data'!B299,1)+1),LEN(RIGHT('Bittrex Data'!B299,LEN('Bittrex Data'!B299)-SEARCH("-",'Bittrex Data'!B299,1)+1))-1))</f>
        <v/>
      </c>
      <c r="F299" t="str">
        <f>IF('Bittrex Data'!C299="","",IF('Bittrex Data'!C299="Limit_Sell",'Bittrex Data'!G299-'Bittrex Data'!F299,IF('Bittrex Data'!C299="Limit_Buy",'Bittrex Data'!G299+'Bittrex Data'!F299,"")))</f>
        <v/>
      </c>
      <c r="G299" t="str">
        <f>IF('Bittrex Data'!B299="","",'Bittrex Data'!D299)</f>
        <v/>
      </c>
      <c r="H299" t="str">
        <f>IF('Bittrex Data'!C299="","",IF(Bittrex!C299="Buy",Bittrex!D299,IF(Bittrex!C299="Sale",Bittrex!E299,IF(AND(Bittrex!C299="Trade",'Bittrex Data'!C299="Limit_Sell"),Bittrex!E299,IF(AND(Bittrex!C299="Trade",'Bittrex Data'!C299="Limit_Buy"),Bittrex!D299,"")))))</f>
        <v/>
      </c>
      <c r="I299" t="str">
        <f>IF('Bittrex Data'!C299="","",IF(Bittrex!C299="Buy",F299,IF(C299="Sale",Bittrex!G299,IF(AND(C299="Trade",'Bittrex Data'!C299="Limit_Sell"),Bittrex!G299,IF(AND(Bittrex!C299="Trade",'Bittrex Data'!C299="Limit_Buy"),F299,"")))))</f>
        <v/>
      </c>
      <c r="J299" t="str">
        <f>IF('Bittrex Data'!B299="","",IF('Bittrex Data'!B299="","",IF(Bittrex!H299=Bittrex!E299,D299,Bittrex!E299)))</f>
        <v/>
      </c>
      <c r="K299" t="str">
        <f>IF('Bittrex Data'!B299="","",IF(Bittrex!I299=Bittrex!G299,Bittrex!F299,Bittrex!G299))</f>
        <v/>
      </c>
    </row>
    <row r="300" spans="3:11" x14ac:dyDescent="0.2">
      <c r="C300" t="str">
        <f>IF('Bittrex Data'!A300="","",IF(AND('Bittrex Data'!C300="LIMIT_SELL",Bittrex!D300="USD"),"Sale",IF(AND('Bittrex Data'!C300="LIMIT_BUY",Bittrex!D300="USD"),"Buy","Trade")))</f>
        <v/>
      </c>
      <c r="D300" t="str">
        <f>IF('Bittrex Data'!B300="","",LEFT(LEFT('Bittrex Data'!B300,SEARCH("-",'Bittrex Data'!B300,1)),LEN(LEFT('Bittrex Data'!B300,SEARCH("-",'Bittrex Data'!B300,1)))-1))</f>
        <v/>
      </c>
      <c r="E300" t="str">
        <f>IF('Bittrex Data'!B300="","",RIGHT(RIGHT('Bittrex Data'!B300,LEN('Bittrex Data'!B300)-SEARCH("-",'Bittrex Data'!B300,1)+1),LEN(RIGHT('Bittrex Data'!B300,LEN('Bittrex Data'!B300)-SEARCH("-",'Bittrex Data'!B300,1)+1))-1))</f>
        <v/>
      </c>
      <c r="F300" t="str">
        <f>IF('Bittrex Data'!C300="","",IF('Bittrex Data'!C300="Limit_Sell",'Bittrex Data'!G300-'Bittrex Data'!F300,IF('Bittrex Data'!C300="Limit_Buy",'Bittrex Data'!G300+'Bittrex Data'!F300,"")))</f>
        <v/>
      </c>
      <c r="G300" t="str">
        <f>IF('Bittrex Data'!B300="","",'Bittrex Data'!D300)</f>
        <v/>
      </c>
      <c r="H300" t="str">
        <f>IF('Bittrex Data'!C300="","",IF(Bittrex!C300="Buy",Bittrex!D300,IF(Bittrex!C300="Sale",Bittrex!E300,IF(AND(Bittrex!C300="Trade",'Bittrex Data'!C300="Limit_Sell"),Bittrex!E300,IF(AND(Bittrex!C300="Trade",'Bittrex Data'!C300="Limit_Buy"),Bittrex!D300,"")))))</f>
        <v/>
      </c>
      <c r="I300" t="str">
        <f>IF('Bittrex Data'!C300="","",IF(Bittrex!C300="Buy",F300,IF(C300="Sale",Bittrex!G300,IF(AND(C300="Trade",'Bittrex Data'!C300="Limit_Sell"),Bittrex!G300,IF(AND(Bittrex!C300="Trade",'Bittrex Data'!C300="Limit_Buy"),F300,"")))))</f>
        <v/>
      </c>
      <c r="J300" t="str">
        <f>IF('Bittrex Data'!B300="","",IF('Bittrex Data'!B300="","",IF(Bittrex!H300=Bittrex!E300,D300,Bittrex!E300)))</f>
        <v/>
      </c>
      <c r="K300" t="str">
        <f>IF('Bittrex Data'!B300="","",IF(Bittrex!I300=Bittrex!G300,Bittrex!F300,Bittrex!G300))</f>
        <v/>
      </c>
    </row>
    <row r="301" spans="3:11" x14ac:dyDescent="0.2">
      <c r="C301" t="str">
        <f>IF('Bittrex Data'!A301="","",IF(AND('Bittrex Data'!C301="LIMIT_SELL",Bittrex!D301="USD"),"Sale",IF(AND('Bittrex Data'!C301="LIMIT_BUY",Bittrex!D301="USD"),"Buy","Trade")))</f>
        <v/>
      </c>
      <c r="D301" t="str">
        <f>IF('Bittrex Data'!B301="","",LEFT(LEFT('Bittrex Data'!B301,SEARCH("-",'Bittrex Data'!B301,1)),LEN(LEFT('Bittrex Data'!B301,SEARCH("-",'Bittrex Data'!B301,1)))-1))</f>
        <v/>
      </c>
      <c r="E301" t="str">
        <f>IF('Bittrex Data'!B301="","",RIGHT(RIGHT('Bittrex Data'!B301,LEN('Bittrex Data'!B301)-SEARCH("-",'Bittrex Data'!B301,1)+1),LEN(RIGHT('Bittrex Data'!B301,LEN('Bittrex Data'!B301)-SEARCH("-",'Bittrex Data'!B301,1)+1))-1))</f>
        <v/>
      </c>
      <c r="F301" t="str">
        <f>IF('Bittrex Data'!C301="","",IF('Bittrex Data'!C301="Limit_Sell",'Bittrex Data'!G301-'Bittrex Data'!F301,IF('Bittrex Data'!C301="Limit_Buy",'Bittrex Data'!G301+'Bittrex Data'!F301,"")))</f>
        <v/>
      </c>
      <c r="G301" t="str">
        <f>IF('Bittrex Data'!B301="","",'Bittrex Data'!D301)</f>
        <v/>
      </c>
      <c r="H301" t="str">
        <f>IF('Bittrex Data'!C301="","",IF(Bittrex!C301="Buy",Bittrex!D301,IF(Bittrex!C301="Sale",Bittrex!E301,IF(AND(Bittrex!C301="Trade",'Bittrex Data'!C301="Limit_Sell"),Bittrex!E301,IF(AND(Bittrex!C301="Trade",'Bittrex Data'!C301="Limit_Buy"),Bittrex!D301,"")))))</f>
        <v/>
      </c>
      <c r="I301" t="str">
        <f>IF('Bittrex Data'!C301="","",IF(Bittrex!C301="Buy",F301,IF(C301="Sale",Bittrex!G301,IF(AND(C301="Trade",'Bittrex Data'!C301="Limit_Sell"),Bittrex!G301,IF(AND(Bittrex!C301="Trade",'Bittrex Data'!C301="Limit_Buy"),F301,"")))))</f>
        <v/>
      </c>
      <c r="J301" t="str">
        <f>IF('Bittrex Data'!B301="","",IF('Bittrex Data'!B301="","",IF(Bittrex!H301=Bittrex!E301,D301,Bittrex!E301)))</f>
        <v/>
      </c>
      <c r="K301" t="str">
        <f>IF('Bittrex Data'!B301="","",IF(Bittrex!I301=Bittrex!G301,Bittrex!F301,Bittrex!G301))</f>
        <v/>
      </c>
    </row>
    <row r="302" spans="3:11" x14ac:dyDescent="0.2">
      <c r="C302" t="str">
        <f>IF('Bittrex Data'!A302="","",IF(AND('Bittrex Data'!C302="LIMIT_SELL",Bittrex!D302="USD"),"Sale",IF(AND('Bittrex Data'!C302="LIMIT_BUY",Bittrex!D302="USD"),"Buy","Trade")))</f>
        <v/>
      </c>
      <c r="D302" t="str">
        <f>IF('Bittrex Data'!B302="","",LEFT(LEFT('Bittrex Data'!B302,SEARCH("-",'Bittrex Data'!B302,1)),LEN(LEFT('Bittrex Data'!B302,SEARCH("-",'Bittrex Data'!B302,1)))-1))</f>
        <v/>
      </c>
      <c r="E302" t="str">
        <f>IF('Bittrex Data'!B302="","",RIGHT(RIGHT('Bittrex Data'!B302,LEN('Bittrex Data'!B302)-SEARCH("-",'Bittrex Data'!B302,1)+1),LEN(RIGHT('Bittrex Data'!B302,LEN('Bittrex Data'!B302)-SEARCH("-",'Bittrex Data'!B302,1)+1))-1))</f>
        <v/>
      </c>
      <c r="F302" t="str">
        <f>IF('Bittrex Data'!C302="","",IF('Bittrex Data'!C302="Limit_Sell",'Bittrex Data'!G302-'Bittrex Data'!F302,IF('Bittrex Data'!C302="Limit_Buy",'Bittrex Data'!G302+'Bittrex Data'!F302,"")))</f>
        <v/>
      </c>
      <c r="G302" t="str">
        <f>IF('Bittrex Data'!B302="","",'Bittrex Data'!D302)</f>
        <v/>
      </c>
      <c r="H302" t="str">
        <f>IF('Bittrex Data'!C302="","",IF(Bittrex!C302="Buy",Bittrex!D302,IF(Bittrex!C302="Sale",Bittrex!E302,IF(AND(Bittrex!C302="Trade",'Bittrex Data'!C302="Limit_Sell"),Bittrex!E302,IF(AND(Bittrex!C302="Trade",'Bittrex Data'!C302="Limit_Buy"),Bittrex!D302,"")))))</f>
        <v/>
      </c>
      <c r="I302" t="str">
        <f>IF('Bittrex Data'!C302="","",IF(Bittrex!C302="Buy",F302,IF(C302="Sale",Bittrex!G302,IF(AND(C302="Trade",'Bittrex Data'!C302="Limit_Sell"),Bittrex!G302,IF(AND(Bittrex!C302="Trade",'Bittrex Data'!C302="Limit_Buy"),F302,"")))))</f>
        <v/>
      </c>
      <c r="J302" t="str">
        <f>IF('Bittrex Data'!B302="","",IF('Bittrex Data'!B302="","",IF(Bittrex!H302=Bittrex!E302,D302,Bittrex!E302)))</f>
        <v/>
      </c>
      <c r="K302" t="str">
        <f>IF('Bittrex Data'!B302="","",IF(Bittrex!I302=Bittrex!G302,Bittrex!F302,Bittrex!G302))</f>
        <v/>
      </c>
    </row>
    <row r="303" spans="3:11" x14ac:dyDescent="0.2">
      <c r="C303" t="str">
        <f>IF('Bittrex Data'!A303="","",IF(AND('Bittrex Data'!C303="LIMIT_SELL",Bittrex!D303="USD"),"Sale",IF(AND('Bittrex Data'!C303="LIMIT_BUY",Bittrex!D303="USD"),"Buy","Trade")))</f>
        <v/>
      </c>
      <c r="D303" t="str">
        <f>IF('Bittrex Data'!B303="","",LEFT(LEFT('Bittrex Data'!B303,SEARCH("-",'Bittrex Data'!B303,1)),LEN(LEFT('Bittrex Data'!B303,SEARCH("-",'Bittrex Data'!B303,1)))-1))</f>
        <v/>
      </c>
      <c r="E303" t="str">
        <f>IF('Bittrex Data'!B303="","",RIGHT(RIGHT('Bittrex Data'!B303,LEN('Bittrex Data'!B303)-SEARCH("-",'Bittrex Data'!B303,1)+1),LEN(RIGHT('Bittrex Data'!B303,LEN('Bittrex Data'!B303)-SEARCH("-",'Bittrex Data'!B303,1)+1))-1))</f>
        <v/>
      </c>
      <c r="F303" t="str">
        <f>IF('Bittrex Data'!C303="","",IF('Bittrex Data'!C303="Limit_Sell",'Bittrex Data'!G303-'Bittrex Data'!F303,IF('Bittrex Data'!C303="Limit_Buy",'Bittrex Data'!G303+'Bittrex Data'!F303,"")))</f>
        <v/>
      </c>
      <c r="G303" t="str">
        <f>IF('Bittrex Data'!B303="","",'Bittrex Data'!D303)</f>
        <v/>
      </c>
      <c r="H303" t="str">
        <f>IF('Bittrex Data'!C303="","",IF(Bittrex!C303="Buy",Bittrex!D303,IF(Bittrex!C303="Sale",Bittrex!E303,IF(AND(Bittrex!C303="Trade",'Bittrex Data'!C303="Limit_Sell"),Bittrex!E303,IF(AND(Bittrex!C303="Trade",'Bittrex Data'!C303="Limit_Buy"),Bittrex!D303,"")))))</f>
        <v/>
      </c>
      <c r="I303" t="str">
        <f>IF('Bittrex Data'!C303="","",IF(Bittrex!C303="Buy",F303,IF(C303="Sale",Bittrex!G303,IF(AND(C303="Trade",'Bittrex Data'!C303="Limit_Sell"),Bittrex!G303,IF(AND(Bittrex!C303="Trade",'Bittrex Data'!C303="Limit_Buy"),F303,"")))))</f>
        <v/>
      </c>
      <c r="J303" t="str">
        <f>IF('Bittrex Data'!B303="","",IF('Bittrex Data'!B303="","",IF(Bittrex!H303=Bittrex!E303,D303,Bittrex!E303)))</f>
        <v/>
      </c>
      <c r="K303" t="str">
        <f>IF('Bittrex Data'!B303="","",IF(Bittrex!I303=Bittrex!G303,Bittrex!F303,Bittrex!G303))</f>
        <v/>
      </c>
    </row>
    <row r="304" spans="3:11" x14ac:dyDescent="0.2">
      <c r="C304" t="str">
        <f>IF('Bittrex Data'!A304="","",IF(AND('Bittrex Data'!C304="LIMIT_SELL",Bittrex!D304="USD"),"Sale",IF(AND('Bittrex Data'!C304="LIMIT_BUY",Bittrex!D304="USD"),"Buy","Trade")))</f>
        <v/>
      </c>
      <c r="D304" t="str">
        <f>IF('Bittrex Data'!B304="","",LEFT(LEFT('Bittrex Data'!B304,SEARCH("-",'Bittrex Data'!B304,1)),LEN(LEFT('Bittrex Data'!B304,SEARCH("-",'Bittrex Data'!B304,1)))-1))</f>
        <v/>
      </c>
      <c r="E304" t="str">
        <f>IF('Bittrex Data'!B304="","",RIGHT(RIGHT('Bittrex Data'!B304,LEN('Bittrex Data'!B304)-SEARCH("-",'Bittrex Data'!B304,1)+1),LEN(RIGHT('Bittrex Data'!B304,LEN('Bittrex Data'!B304)-SEARCH("-",'Bittrex Data'!B304,1)+1))-1))</f>
        <v/>
      </c>
      <c r="F304" t="str">
        <f>IF('Bittrex Data'!C304="","",IF('Bittrex Data'!C304="Limit_Sell",'Bittrex Data'!G304-'Bittrex Data'!F304,IF('Bittrex Data'!C304="Limit_Buy",'Bittrex Data'!G304+'Bittrex Data'!F304,"")))</f>
        <v/>
      </c>
      <c r="G304" t="str">
        <f>IF('Bittrex Data'!B304="","",'Bittrex Data'!D304)</f>
        <v/>
      </c>
      <c r="H304" t="str">
        <f>IF('Bittrex Data'!C304="","",IF(Bittrex!C304="Buy",Bittrex!D304,IF(Bittrex!C304="Sale",Bittrex!E304,IF(AND(Bittrex!C304="Trade",'Bittrex Data'!C304="Limit_Sell"),Bittrex!E304,IF(AND(Bittrex!C304="Trade",'Bittrex Data'!C304="Limit_Buy"),Bittrex!D304,"")))))</f>
        <v/>
      </c>
      <c r="I304" t="str">
        <f>IF('Bittrex Data'!C304="","",IF(Bittrex!C304="Buy",F304,IF(C304="Sale",Bittrex!G304,IF(AND(C304="Trade",'Bittrex Data'!C304="Limit_Sell"),Bittrex!G304,IF(AND(Bittrex!C304="Trade",'Bittrex Data'!C304="Limit_Buy"),F304,"")))))</f>
        <v/>
      </c>
      <c r="J304" t="str">
        <f>IF('Bittrex Data'!B304="","",IF('Bittrex Data'!B304="","",IF(Bittrex!H304=Bittrex!E304,D304,Bittrex!E304)))</f>
        <v/>
      </c>
      <c r="K304" t="str">
        <f>IF('Bittrex Data'!B304="","",IF(Bittrex!I304=Bittrex!G304,Bittrex!F304,Bittrex!G304))</f>
        <v/>
      </c>
    </row>
    <row r="305" spans="3:11" x14ac:dyDescent="0.2">
      <c r="C305" t="str">
        <f>IF('Bittrex Data'!A305="","",IF(AND('Bittrex Data'!C305="LIMIT_SELL",Bittrex!D305="USD"),"Sale",IF(AND('Bittrex Data'!C305="LIMIT_BUY",Bittrex!D305="USD"),"Buy","Trade")))</f>
        <v/>
      </c>
      <c r="D305" t="str">
        <f>IF('Bittrex Data'!B305="","",LEFT(LEFT('Bittrex Data'!B305,SEARCH("-",'Bittrex Data'!B305,1)),LEN(LEFT('Bittrex Data'!B305,SEARCH("-",'Bittrex Data'!B305,1)))-1))</f>
        <v/>
      </c>
      <c r="E305" t="str">
        <f>IF('Bittrex Data'!B305="","",RIGHT(RIGHT('Bittrex Data'!B305,LEN('Bittrex Data'!B305)-SEARCH("-",'Bittrex Data'!B305,1)+1),LEN(RIGHT('Bittrex Data'!B305,LEN('Bittrex Data'!B305)-SEARCH("-",'Bittrex Data'!B305,1)+1))-1))</f>
        <v/>
      </c>
      <c r="F305" t="str">
        <f>IF('Bittrex Data'!C305="","",IF('Bittrex Data'!C305="Limit_Sell",'Bittrex Data'!G305-'Bittrex Data'!F305,IF('Bittrex Data'!C305="Limit_Buy",'Bittrex Data'!G305+'Bittrex Data'!F305,"")))</f>
        <v/>
      </c>
      <c r="G305" t="str">
        <f>IF('Bittrex Data'!B305="","",'Bittrex Data'!D305)</f>
        <v/>
      </c>
      <c r="H305" t="str">
        <f>IF('Bittrex Data'!C305="","",IF(Bittrex!C305="Buy",Bittrex!D305,IF(Bittrex!C305="Sale",Bittrex!E305,IF(AND(Bittrex!C305="Trade",'Bittrex Data'!C305="Limit_Sell"),Bittrex!E305,IF(AND(Bittrex!C305="Trade",'Bittrex Data'!C305="Limit_Buy"),Bittrex!D305,"")))))</f>
        <v/>
      </c>
      <c r="I305" t="str">
        <f>IF('Bittrex Data'!C305="","",IF(Bittrex!C305="Buy",F305,IF(C305="Sale",Bittrex!G305,IF(AND(C305="Trade",'Bittrex Data'!C305="Limit_Sell"),Bittrex!G305,IF(AND(Bittrex!C305="Trade",'Bittrex Data'!C305="Limit_Buy"),F305,"")))))</f>
        <v/>
      </c>
      <c r="J305" t="str">
        <f>IF('Bittrex Data'!B305="","",IF('Bittrex Data'!B305="","",IF(Bittrex!H305=Bittrex!E305,D305,Bittrex!E305)))</f>
        <v/>
      </c>
      <c r="K305" t="str">
        <f>IF('Bittrex Data'!B305="","",IF(Bittrex!I305=Bittrex!G305,Bittrex!F305,Bittrex!G305))</f>
        <v/>
      </c>
    </row>
    <row r="306" spans="3:11" x14ac:dyDescent="0.2">
      <c r="C306" t="str">
        <f>IF('Bittrex Data'!A306="","",IF(AND('Bittrex Data'!C306="LIMIT_SELL",Bittrex!D306="USD"),"Sale",IF(AND('Bittrex Data'!C306="LIMIT_BUY",Bittrex!D306="USD"),"Buy","Trade")))</f>
        <v/>
      </c>
      <c r="D306" t="str">
        <f>IF('Bittrex Data'!B306="","",LEFT(LEFT('Bittrex Data'!B306,SEARCH("-",'Bittrex Data'!B306,1)),LEN(LEFT('Bittrex Data'!B306,SEARCH("-",'Bittrex Data'!B306,1)))-1))</f>
        <v/>
      </c>
      <c r="E306" t="str">
        <f>IF('Bittrex Data'!B306="","",RIGHT(RIGHT('Bittrex Data'!B306,LEN('Bittrex Data'!B306)-SEARCH("-",'Bittrex Data'!B306,1)+1),LEN(RIGHT('Bittrex Data'!B306,LEN('Bittrex Data'!B306)-SEARCH("-",'Bittrex Data'!B306,1)+1))-1))</f>
        <v/>
      </c>
      <c r="F306" t="str">
        <f>IF('Bittrex Data'!C306="","",IF('Bittrex Data'!C306="Limit_Sell",'Bittrex Data'!G306-'Bittrex Data'!F306,IF('Bittrex Data'!C306="Limit_Buy",'Bittrex Data'!G306+'Bittrex Data'!F306,"")))</f>
        <v/>
      </c>
      <c r="G306" t="str">
        <f>IF('Bittrex Data'!B306="","",'Bittrex Data'!D306)</f>
        <v/>
      </c>
      <c r="H306" t="str">
        <f>IF('Bittrex Data'!C306="","",IF(Bittrex!C306="Buy",Bittrex!D306,IF(Bittrex!C306="Sale",Bittrex!E306,IF(AND(Bittrex!C306="Trade",'Bittrex Data'!C306="Limit_Sell"),Bittrex!E306,IF(AND(Bittrex!C306="Trade",'Bittrex Data'!C306="Limit_Buy"),Bittrex!D306,"")))))</f>
        <v/>
      </c>
      <c r="I306" t="str">
        <f>IF('Bittrex Data'!C306="","",IF(Bittrex!C306="Buy",F306,IF(C306="Sale",Bittrex!G306,IF(AND(C306="Trade",'Bittrex Data'!C306="Limit_Sell"),Bittrex!G306,IF(AND(Bittrex!C306="Trade",'Bittrex Data'!C306="Limit_Buy"),F306,"")))))</f>
        <v/>
      </c>
      <c r="J306" t="str">
        <f>IF('Bittrex Data'!B306="","",IF('Bittrex Data'!B306="","",IF(Bittrex!H306=Bittrex!E306,D306,Bittrex!E306)))</f>
        <v/>
      </c>
      <c r="K306" t="str">
        <f>IF('Bittrex Data'!B306="","",IF(Bittrex!I306=Bittrex!G306,Bittrex!F306,Bittrex!G306))</f>
        <v/>
      </c>
    </row>
    <row r="307" spans="3:11" x14ac:dyDescent="0.2">
      <c r="C307" t="str">
        <f>IF('Bittrex Data'!A307="","",IF(AND('Bittrex Data'!C307="LIMIT_SELL",Bittrex!D307="USD"),"Sale",IF(AND('Bittrex Data'!C307="LIMIT_BUY",Bittrex!D307="USD"),"Buy","Trade")))</f>
        <v/>
      </c>
      <c r="D307" t="str">
        <f>IF('Bittrex Data'!B307="","",LEFT(LEFT('Bittrex Data'!B307,SEARCH("-",'Bittrex Data'!B307,1)),LEN(LEFT('Bittrex Data'!B307,SEARCH("-",'Bittrex Data'!B307,1)))-1))</f>
        <v/>
      </c>
      <c r="E307" t="str">
        <f>IF('Bittrex Data'!B307="","",RIGHT(RIGHT('Bittrex Data'!B307,LEN('Bittrex Data'!B307)-SEARCH("-",'Bittrex Data'!B307,1)+1),LEN(RIGHT('Bittrex Data'!B307,LEN('Bittrex Data'!B307)-SEARCH("-",'Bittrex Data'!B307,1)+1))-1))</f>
        <v/>
      </c>
      <c r="F307" t="str">
        <f>IF('Bittrex Data'!C307="","",IF('Bittrex Data'!C307="Limit_Sell",'Bittrex Data'!G307-'Bittrex Data'!F307,IF('Bittrex Data'!C307="Limit_Buy",'Bittrex Data'!G307+'Bittrex Data'!F307,"")))</f>
        <v/>
      </c>
      <c r="G307" t="str">
        <f>IF('Bittrex Data'!B307="","",'Bittrex Data'!D307)</f>
        <v/>
      </c>
      <c r="H307" t="str">
        <f>IF('Bittrex Data'!C307="","",IF(Bittrex!C307="Buy",Bittrex!D307,IF(Bittrex!C307="Sale",Bittrex!E307,IF(AND(Bittrex!C307="Trade",'Bittrex Data'!C307="Limit_Sell"),Bittrex!E307,IF(AND(Bittrex!C307="Trade",'Bittrex Data'!C307="Limit_Buy"),Bittrex!D307,"")))))</f>
        <v/>
      </c>
      <c r="I307" t="str">
        <f>IF('Bittrex Data'!C307="","",IF(Bittrex!C307="Buy",F307,IF(C307="Sale",Bittrex!G307,IF(AND(C307="Trade",'Bittrex Data'!C307="Limit_Sell"),Bittrex!G307,IF(AND(Bittrex!C307="Trade",'Bittrex Data'!C307="Limit_Buy"),F307,"")))))</f>
        <v/>
      </c>
      <c r="J307" t="str">
        <f>IF('Bittrex Data'!B307="","",IF('Bittrex Data'!B307="","",IF(Bittrex!H307=Bittrex!E307,D307,Bittrex!E307)))</f>
        <v/>
      </c>
      <c r="K307" t="str">
        <f>IF('Bittrex Data'!B307="","",IF(Bittrex!I307=Bittrex!G307,Bittrex!F307,Bittrex!G307))</f>
        <v/>
      </c>
    </row>
    <row r="308" spans="3:11" x14ac:dyDescent="0.2">
      <c r="C308" t="str">
        <f>IF('Bittrex Data'!A308="","",IF(AND('Bittrex Data'!C308="LIMIT_SELL",Bittrex!D308="USD"),"Sale",IF(AND('Bittrex Data'!C308="LIMIT_BUY",Bittrex!D308="USD"),"Buy","Trade")))</f>
        <v/>
      </c>
      <c r="D308" t="str">
        <f>IF('Bittrex Data'!B308="","",LEFT(LEFT('Bittrex Data'!B308,SEARCH("-",'Bittrex Data'!B308,1)),LEN(LEFT('Bittrex Data'!B308,SEARCH("-",'Bittrex Data'!B308,1)))-1))</f>
        <v/>
      </c>
      <c r="E308" t="str">
        <f>IF('Bittrex Data'!B308="","",RIGHT(RIGHT('Bittrex Data'!B308,LEN('Bittrex Data'!B308)-SEARCH("-",'Bittrex Data'!B308,1)+1),LEN(RIGHT('Bittrex Data'!B308,LEN('Bittrex Data'!B308)-SEARCH("-",'Bittrex Data'!B308,1)+1))-1))</f>
        <v/>
      </c>
      <c r="F308" t="str">
        <f>IF('Bittrex Data'!C308="","",IF('Bittrex Data'!C308="Limit_Sell",'Bittrex Data'!G308-'Bittrex Data'!F308,IF('Bittrex Data'!C308="Limit_Buy",'Bittrex Data'!G308+'Bittrex Data'!F308,"")))</f>
        <v/>
      </c>
      <c r="G308" t="str">
        <f>IF('Bittrex Data'!B308="","",'Bittrex Data'!D308)</f>
        <v/>
      </c>
      <c r="H308" t="str">
        <f>IF('Bittrex Data'!C308="","",IF(Bittrex!C308="Buy",Bittrex!D308,IF(Bittrex!C308="Sale",Bittrex!E308,IF(AND(Bittrex!C308="Trade",'Bittrex Data'!C308="Limit_Sell"),Bittrex!E308,IF(AND(Bittrex!C308="Trade",'Bittrex Data'!C308="Limit_Buy"),Bittrex!D308,"")))))</f>
        <v/>
      </c>
      <c r="I308" t="str">
        <f>IF('Bittrex Data'!C308="","",IF(Bittrex!C308="Buy",F308,IF(C308="Sale",Bittrex!G308,IF(AND(C308="Trade",'Bittrex Data'!C308="Limit_Sell"),Bittrex!G308,IF(AND(Bittrex!C308="Trade",'Bittrex Data'!C308="Limit_Buy"),F308,"")))))</f>
        <v/>
      </c>
      <c r="J308" t="str">
        <f>IF('Bittrex Data'!B308="","",IF('Bittrex Data'!B308="","",IF(Bittrex!H308=Bittrex!E308,D308,Bittrex!E308)))</f>
        <v/>
      </c>
      <c r="K308" t="str">
        <f>IF('Bittrex Data'!B308="","",IF(Bittrex!I308=Bittrex!G308,Bittrex!F308,Bittrex!G308))</f>
        <v/>
      </c>
    </row>
    <row r="309" spans="3:11" x14ac:dyDescent="0.2">
      <c r="C309" t="str">
        <f>IF('Bittrex Data'!A309="","",IF(AND('Bittrex Data'!C309="LIMIT_SELL",Bittrex!D309="USD"),"Sale",IF(AND('Bittrex Data'!C309="LIMIT_BUY",Bittrex!D309="USD"),"Buy","Trade")))</f>
        <v/>
      </c>
      <c r="D309" t="str">
        <f>IF('Bittrex Data'!B309="","",LEFT(LEFT('Bittrex Data'!B309,SEARCH("-",'Bittrex Data'!B309,1)),LEN(LEFT('Bittrex Data'!B309,SEARCH("-",'Bittrex Data'!B309,1)))-1))</f>
        <v/>
      </c>
      <c r="E309" t="str">
        <f>IF('Bittrex Data'!B309="","",RIGHT(RIGHT('Bittrex Data'!B309,LEN('Bittrex Data'!B309)-SEARCH("-",'Bittrex Data'!B309,1)+1),LEN(RIGHT('Bittrex Data'!B309,LEN('Bittrex Data'!B309)-SEARCH("-",'Bittrex Data'!B309,1)+1))-1))</f>
        <v/>
      </c>
      <c r="F309" t="str">
        <f>IF('Bittrex Data'!C309="","",IF('Bittrex Data'!C309="Limit_Sell",'Bittrex Data'!G309-'Bittrex Data'!F309,IF('Bittrex Data'!C309="Limit_Buy",'Bittrex Data'!G309+'Bittrex Data'!F309,"")))</f>
        <v/>
      </c>
      <c r="G309" t="str">
        <f>IF('Bittrex Data'!B309="","",'Bittrex Data'!D309)</f>
        <v/>
      </c>
      <c r="H309" t="str">
        <f>IF('Bittrex Data'!C309="","",IF(Bittrex!C309="Buy",Bittrex!D309,IF(Bittrex!C309="Sale",Bittrex!E309,IF(AND(Bittrex!C309="Trade",'Bittrex Data'!C309="Limit_Sell"),Bittrex!E309,IF(AND(Bittrex!C309="Trade",'Bittrex Data'!C309="Limit_Buy"),Bittrex!D309,"")))))</f>
        <v/>
      </c>
      <c r="I309" t="str">
        <f>IF('Bittrex Data'!C309="","",IF(Bittrex!C309="Buy",F309,IF(C309="Sale",Bittrex!G309,IF(AND(C309="Trade",'Bittrex Data'!C309="Limit_Sell"),Bittrex!G309,IF(AND(Bittrex!C309="Trade",'Bittrex Data'!C309="Limit_Buy"),F309,"")))))</f>
        <v/>
      </c>
      <c r="J309" t="str">
        <f>IF('Bittrex Data'!B309="","",IF('Bittrex Data'!B309="","",IF(Bittrex!H309=Bittrex!E309,D309,Bittrex!E309)))</f>
        <v/>
      </c>
      <c r="K309" t="str">
        <f>IF('Bittrex Data'!B309="","",IF(Bittrex!I309=Bittrex!G309,Bittrex!F309,Bittrex!G309))</f>
        <v/>
      </c>
    </row>
    <row r="310" spans="3:11" x14ac:dyDescent="0.2">
      <c r="C310" t="str">
        <f>IF('Bittrex Data'!A310="","",IF(AND('Bittrex Data'!C310="LIMIT_SELL",Bittrex!D310="USD"),"Sale",IF(AND('Bittrex Data'!C310="LIMIT_BUY",Bittrex!D310="USD"),"Buy","Trade")))</f>
        <v/>
      </c>
      <c r="D310" t="str">
        <f>IF('Bittrex Data'!B310="","",LEFT(LEFT('Bittrex Data'!B310,SEARCH("-",'Bittrex Data'!B310,1)),LEN(LEFT('Bittrex Data'!B310,SEARCH("-",'Bittrex Data'!B310,1)))-1))</f>
        <v/>
      </c>
      <c r="E310" t="str">
        <f>IF('Bittrex Data'!B310="","",RIGHT(RIGHT('Bittrex Data'!B310,LEN('Bittrex Data'!B310)-SEARCH("-",'Bittrex Data'!B310,1)+1),LEN(RIGHT('Bittrex Data'!B310,LEN('Bittrex Data'!B310)-SEARCH("-",'Bittrex Data'!B310,1)+1))-1))</f>
        <v/>
      </c>
      <c r="F310" t="str">
        <f>IF('Bittrex Data'!C310="","",IF('Bittrex Data'!C310="Limit_Sell",'Bittrex Data'!G310-'Bittrex Data'!F310,IF('Bittrex Data'!C310="Limit_Buy",'Bittrex Data'!G310+'Bittrex Data'!F310,"")))</f>
        <v/>
      </c>
      <c r="G310" t="str">
        <f>IF('Bittrex Data'!B310="","",'Bittrex Data'!D310)</f>
        <v/>
      </c>
      <c r="H310" t="str">
        <f>IF('Bittrex Data'!C310="","",IF(Bittrex!C310="Buy",Bittrex!D310,IF(Bittrex!C310="Sale",Bittrex!E310,IF(AND(Bittrex!C310="Trade",'Bittrex Data'!C310="Limit_Sell"),Bittrex!E310,IF(AND(Bittrex!C310="Trade",'Bittrex Data'!C310="Limit_Buy"),Bittrex!D310,"")))))</f>
        <v/>
      </c>
      <c r="I310" t="str">
        <f>IF('Bittrex Data'!C310="","",IF(Bittrex!C310="Buy",F310,IF(C310="Sale",Bittrex!G310,IF(AND(C310="Trade",'Bittrex Data'!C310="Limit_Sell"),Bittrex!G310,IF(AND(Bittrex!C310="Trade",'Bittrex Data'!C310="Limit_Buy"),F310,"")))))</f>
        <v/>
      </c>
      <c r="J310" t="str">
        <f>IF('Bittrex Data'!B310="","",IF('Bittrex Data'!B310="","",IF(Bittrex!H310=Bittrex!E310,D310,Bittrex!E310)))</f>
        <v/>
      </c>
      <c r="K310" t="str">
        <f>IF('Bittrex Data'!B310="","",IF(Bittrex!I310=Bittrex!G310,Bittrex!F310,Bittrex!G310))</f>
        <v/>
      </c>
    </row>
    <row r="311" spans="3:11" x14ac:dyDescent="0.2">
      <c r="C311" t="str">
        <f>IF('Bittrex Data'!A311="","",IF(AND('Bittrex Data'!C311="LIMIT_SELL",Bittrex!D311="USD"),"Sale",IF(AND('Bittrex Data'!C311="LIMIT_BUY",Bittrex!D311="USD"),"Buy","Trade")))</f>
        <v/>
      </c>
      <c r="D311" t="str">
        <f>IF('Bittrex Data'!B311="","",LEFT(LEFT('Bittrex Data'!B311,SEARCH("-",'Bittrex Data'!B311,1)),LEN(LEFT('Bittrex Data'!B311,SEARCH("-",'Bittrex Data'!B311,1)))-1))</f>
        <v/>
      </c>
      <c r="E311" t="str">
        <f>IF('Bittrex Data'!B311="","",RIGHT(RIGHT('Bittrex Data'!B311,LEN('Bittrex Data'!B311)-SEARCH("-",'Bittrex Data'!B311,1)+1),LEN(RIGHT('Bittrex Data'!B311,LEN('Bittrex Data'!B311)-SEARCH("-",'Bittrex Data'!B311,1)+1))-1))</f>
        <v/>
      </c>
      <c r="F311" t="str">
        <f>IF('Bittrex Data'!C311="","",IF('Bittrex Data'!C311="Limit_Sell",'Bittrex Data'!G311-'Bittrex Data'!F311,IF('Bittrex Data'!C311="Limit_Buy",'Bittrex Data'!G311+'Bittrex Data'!F311,"")))</f>
        <v/>
      </c>
      <c r="G311" t="str">
        <f>IF('Bittrex Data'!B311="","",'Bittrex Data'!D311)</f>
        <v/>
      </c>
      <c r="H311" t="str">
        <f>IF('Bittrex Data'!C311="","",IF(Bittrex!C311="Buy",Bittrex!D311,IF(Bittrex!C311="Sale",Bittrex!E311,IF(AND(Bittrex!C311="Trade",'Bittrex Data'!C311="Limit_Sell"),Bittrex!E311,IF(AND(Bittrex!C311="Trade",'Bittrex Data'!C311="Limit_Buy"),Bittrex!D311,"")))))</f>
        <v/>
      </c>
      <c r="I311" t="str">
        <f>IF('Bittrex Data'!C311="","",IF(Bittrex!C311="Buy",F311,IF(C311="Sale",Bittrex!G311,IF(AND(C311="Trade",'Bittrex Data'!C311="Limit_Sell"),Bittrex!G311,IF(AND(Bittrex!C311="Trade",'Bittrex Data'!C311="Limit_Buy"),F311,"")))))</f>
        <v/>
      </c>
      <c r="J311" t="str">
        <f>IF('Bittrex Data'!B311="","",IF('Bittrex Data'!B311="","",IF(Bittrex!H311=Bittrex!E311,D311,Bittrex!E311)))</f>
        <v/>
      </c>
      <c r="K311" t="str">
        <f>IF('Bittrex Data'!B311="","",IF(Bittrex!I311=Bittrex!G311,Bittrex!F311,Bittrex!G311))</f>
        <v/>
      </c>
    </row>
    <row r="312" spans="3:11" x14ac:dyDescent="0.2">
      <c r="C312" t="str">
        <f>IF('Bittrex Data'!A312="","",IF(AND('Bittrex Data'!C312="LIMIT_SELL",Bittrex!D312="USD"),"Sale",IF(AND('Bittrex Data'!C312="LIMIT_BUY",Bittrex!D312="USD"),"Buy","Trade")))</f>
        <v/>
      </c>
      <c r="D312" t="str">
        <f>IF('Bittrex Data'!B312="","",LEFT(LEFT('Bittrex Data'!B312,SEARCH("-",'Bittrex Data'!B312,1)),LEN(LEFT('Bittrex Data'!B312,SEARCH("-",'Bittrex Data'!B312,1)))-1))</f>
        <v/>
      </c>
      <c r="E312" t="str">
        <f>IF('Bittrex Data'!B312="","",RIGHT(RIGHT('Bittrex Data'!B312,LEN('Bittrex Data'!B312)-SEARCH("-",'Bittrex Data'!B312,1)+1),LEN(RIGHT('Bittrex Data'!B312,LEN('Bittrex Data'!B312)-SEARCH("-",'Bittrex Data'!B312,1)+1))-1))</f>
        <v/>
      </c>
      <c r="F312" t="str">
        <f>IF('Bittrex Data'!C312="","",IF('Bittrex Data'!C312="Limit_Sell",'Bittrex Data'!G312-'Bittrex Data'!F312,IF('Bittrex Data'!C312="Limit_Buy",'Bittrex Data'!G312+'Bittrex Data'!F312,"")))</f>
        <v/>
      </c>
      <c r="G312" t="str">
        <f>IF('Bittrex Data'!B312="","",'Bittrex Data'!D312)</f>
        <v/>
      </c>
      <c r="H312" t="str">
        <f>IF('Bittrex Data'!C312="","",IF(Bittrex!C312="Buy",Bittrex!D312,IF(Bittrex!C312="Sale",Bittrex!E312,IF(AND(Bittrex!C312="Trade",'Bittrex Data'!C312="Limit_Sell"),Bittrex!E312,IF(AND(Bittrex!C312="Trade",'Bittrex Data'!C312="Limit_Buy"),Bittrex!D312,"")))))</f>
        <v/>
      </c>
      <c r="I312" t="str">
        <f>IF('Bittrex Data'!C312="","",IF(Bittrex!C312="Buy",F312,IF(C312="Sale",Bittrex!G312,IF(AND(C312="Trade",'Bittrex Data'!C312="Limit_Sell"),Bittrex!G312,IF(AND(Bittrex!C312="Trade",'Bittrex Data'!C312="Limit_Buy"),F312,"")))))</f>
        <v/>
      </c>
      <c r="J312" t="str">
        <f>IF('Bittrex Data'!B312="","",IF('Bittrex Data'!B312="","",IF(Bittrex!H312=Bittrex!E312,D312,Bittrex!E312)))</f>
        <v/>
      </c>
      <c r="K312" t="str">
        <f>IF('Bittrex Data'!B312="","",IF(Bittrex!I312=Bittrex!G312,Bittrex!F312,Bittrex!G312))</f>
        <v/>
      </c>
    </row>
    <row r="313" spans="3:11" x14ac:dyDescent="0.2">
      <c r="C313" t="str">
        <f>IF('Bittrex Data'!A313="","",IF(AND('Bittrex Data'!C313="LIMIT_SELL",Bittrex!D313="USD"),"Sale",IF(AND('Bittrex Data'!C313="LIMIT_BUY",Bittrex!D313="USD"),"Buy","Trade")))</f>
        <v/>
      </c>
      <c r="D313" t="str">
        <f>IF('Bittrex Data'!B313="","",LEFT(LEFT('Bittrex Data'!B313,SEARCH("-",'Bittrex Data'!B313,1)),LEN(LEFT('Bittrex Data'!B313,SEARCH("-",'Bittrex Data'!B313,1)))-1))</f>
        <v/>
      </c>
      <c r="E313" t="str">
        <f>IF('Bittrex Data'!B313="","",RIGHT(RIGHT('Bittrex Data'!B313,LEN('Bittrex Data'!B313)-SEARCH("-",'Bittrex Data'!B313,1)+1),LEN(RIGHT('Bittrex Data'!B313,LEN('Bittrex Data'!B313)-SEARCH("-",'Bittrex Data'!B313,1)+1))-1))</f>
        <v/>
      </c>
      <c r="F313" t="str">
        <f>IF('Bittrex Data'!C313="","",IF('Bittrex Data'!C313="Limit_Sell",'Bittrex Data'!G313-'Bittrex Data'!F313,IF('Bittrex Data'!C313="Limit_Buy",'Bittrex Data'!G313+'Bittrex Data'!F313,"")))</f>
        <v/>
      </c>
      <c r="G313" t="str">
        <f>IF('Bittrex Data'!B313="","",'Bittrex Data'!D313)</f>
        <v/>
      </c>
      <c r="H313" t="str">
        <f>IF('Bittrex Data'!C313="","",IF(Bittrex!C313="Buy",Bittrex!D313,IF(Bittrex!C313="Sale",Bittrex!E313,IF(AND(Bittrex!C313="Trade",'Bittrex Data'!C313="Limit_Sell"),Bittrex!E313,IF(AND(Bittrex!C313="Trade",'Bittrex Data'!C313="Limit_Buy"),Bittrex!D313,"")))))</f>
        <v/>
      </c>
      <c r="I313" t="str">
        <f>IF('Bittrex Data'!C313="","",IF(Bittrex!C313="Buy",F313,IF(C313="Sale",Bittrex!G313,IF(AND(C313="Trade",'Bittrex Data'!C313="Limit_Sell"),Bittrex!G313,IF(AND(Bittrex!C313="Trade",'Bittrex Data'!C313="Limit_Buy"),F313,"")))))</f>
        <v/>
      </c>
      <c r="J313" t="str">
        <f>IF('Bittrex Data'!B313="","",IF('Bittrex Data'!B313="","",IF(Bittrex!H313=Bittrex!E313,D313,Bittrex!E313)))</f>
        <v/>
      </c>
      <c r="K313" t="str">
        <f>IF('Bittrex Data'!B313="","",IF(Bittrex!I313=Bittrex!G313,Bittrex!F313,Bittrex!G313))</f>
        <v/>
      </c>
    </row>
    <row r="314" spans="3:11" x14ac:dyDescent="0.2">
      <c r="C314" t="str">
        <f>IF('Bittrex Data'!A314="","",IF(AND('Bittrex Data'!C314="LIMIT_SELL",Bittrex!D314="USD"),"Sale",IF(AND('Bittrex Data'!C314="LIMIT_BUY",Bittrex!D314="USD"),"Buy","Trade")))</f>
        <v/>
      </c>
      <c r="D314" t="str">
        <f>IF('Bittrex Data'!B314="","",LEFT(LEFT('Bittrex Data'!B314,SEARCH("-",'Bittrex Data'!B314,1)),LEN(LEFT('Bittrex Data'!B314,SEARCH("-",'Bittrex Data'!B314,1)))-1))</f>
        <v/>
      </c>
      <c r="E314" t="str">
        <f>IF('Bittrex Data'!B314="","",RIGHT(RIGHT('Bittrex Data'!B314,LEN('Bittrex Data'!B314)-SEARCH("-",'Bittrex Data'!B314,1)+1),LEN(RIGHT('Bittrex Data'!B314,LEN('Bittrex Data'!B314)-SEARCH("-",'Bittrex Data'!B314,1)+1))-1))</f>
        <v/>
      </c>
      <c r="F314" t="str">
        <f>IF('Bittrex Data'!C314="","",IF('Bittrex Data'!C314="Limit_Sell",'Bittrex Data'!G314-'Bittrex Data'!F314,IF('Bittrex Data'!C314="Limit_Buy",'Bittrex Data'!G314+'Bittrex Data'!F314,"")))</f>
        <v/>
      </c>
      <c r="G314" t="str">
        <f>IF('Bittrex Data'!B314="","",'Bittrex Data'!D314)</f>
        <v/>
      </c>
      <c r="H314" t="str">
        <f>IF('Bittrex Data'!C314="","",IF(Bittrex!C314="Buy",Bittrex!D314,IF(Bittrex!C314="Sale",Bittrex!E314,IF(AND(Bittrex!C314="Trade",'Bittrex Data'!C314="Limit_Sell"),Bittrex!E314,IF(AND(Bittrex!C314="Trade",'Bittrex Data'!C314="Limit_Buy"),Bittrex!D314,"")))))</f>
        <v/>
      </c>
      <c r="I314" t="str">
        <f>IF('Bittrex Data'!C314="","",IF(Bittrex!C314="Buy",F314,IF(C314="Sale",Bittrex!G314,IF(AND(C314="Trade",'Bittrex Data'!C314="Limit_Sell"),Bittrex!G314,IF(AND(Bittrex!C314="Trade",'Bittrex Data'!C314="Limit_Buy"),F314,"")))))</f>
        <v/>
      </c>
      <c r="J314" t="str">
        <f>IF('Bittrex Data'!B314="","",IF('Bittrex Data'!B314="","",IF(Bittrex!H314=Bittrex!E314,D314,Bittrex!E314)))</f>
        <v/>
      </c>
      <c r="K314" t="str">
        <f>IF('Bittrex Data'!B314="","",IF(Bittrex!I314=Bittrex!G314,Bittrex!F314,Bittrex!G314))</f>
        <v/>
      </c>
    </row>
    <row r="315" spans="3:11" x14ac:dyDescent="0.2">
      <c r="C315" t="str">
        <f>IF('Bittrex Data'!A315="","",IF(AND('Bittrex Data'!C315="LIMIT_SELL",Bittrex!D315="USD"),"Sale",IF(AND('Bittrex Data'!C315="LIMIT_BUY",Bittrex!D315="USD"),"Buy","Trade")))</f>
        <v/>
      </c>
      <c r="D315" t="str">
        <f>IF('Bittrex Data'!B315="","",LEFT(LEFT('Bittrex Data'!B315,SEARCH("-",'Bittrex Data'!B315,1)),LEN(LEFT('Bittrex Data'!B315,SEARCH("-",'Bittrex Data'!B315,1)))-1))</f>
        <v/>
      </c>
      <c r="E315" t="str">
        <f>IF('Bittrex Data'!B315="","",RIGHT(RIGHT('Bittrex Data'!B315,LEN('Bittrex Data'!B315)-SEARCH("-",'Bittrex Data'!B315,1)+1),LEN(RIGHT('Bittrex Data'!B315,LEN('Bittrex Data'!B315)-SEARCH("-",'Bittrex Data'!B315,1)+1))-1))</f>
        <v/>
      </c>
      <c r="F315" t="str">
        <f>IF('Bittrex Data'!C315="","",IF('Bittrex Data'!C315="Limit_Sell",'Bittrex Data'!G315-'Bittrex Data'!F315,IF('Bittrex Data'!C315="Limit_Buy",'Bittrex Data'!G315+'Bittrex Data'!F315,"")))</f>
        <v/>
      </c>
      <c r="G315" t="str">
        <f>IF('Bittrex Data'!B315="","",'Bittrex Data'!D315)</f>
        <v/>
      </c>
      <c r="H315" t="str">
        <f>IF('Bittrex Data'!C315="","",IF(Bittrex!C315="Buy",Bittrex!D315,IF(Bittrex!C315="Sale",Bittrex!E315,IF(AND(Bittrex!C315="Trade",'Bittrex Data'!C315="Limit_Sell"),Bittrex!E315,IF(AND(Bittrex!C315="Trade",'Bittrex Data'!C315="Limit_Buy"),Bittrex!D315,"")))))</f>
        <v/>
      </c>
      <c r="I315" t="str">
        <f>IF('Bittrex Data'!C315="","",IF(Bittrex!C315="Buy",F315,IF(C315="Sale",Bittrex!G315,IF(AND(C315="Trade",'Bittrex Data'!C315="Limit_Sell"),Bittrex!G315,IF(AND(Bittrex!C315="Trade",'Bittrex Data'!C315="Limit_Buy"),F315,"")))))</f>
        <v/>
      </c>
      <c r="J315" t="str">
        <f>IF('Bittrex Data'!B315="","",IF('Bittrex Data'!B315="","",IF(Bittrex!H315=Bittrex!E315,D315,Bittrex!E315)))</f>
        <v/>
      </c>
      <c r="K315" t="str">
        <f>IF('Bittrex Data'!B315="","",IF(Bittrex!I315=Bittrex!G315,Bittrex!F315,Bittrex!G315))</f>
        <v/>
      </c>
    </row>
    <row r="316" spans="3:11" x14ac:dyDescent="0.2">
      <c r="C316" t="str">
        <f>IF('Bittrex Data'!A316="","",IF(AND('Bittrex Data'!C316="LIMIT_SELL",Bittrex!D316="USD"),"Sale",IF(AND('Bittrex Data'!C316="LIMIT_BUY",Bittrex!D316="USD"),"Buy","Trade")))</f>
        <v/>
      </c>
      <c r="D316" t="str">
        <f>IF('Bittrex Data'!B316="","",LEFT(LEFT('Bittrex Data'!B316,SEARCH("-",'Bittrex Data'!B316,1)),LEN(LEFT('Bittrex Data'!B316,SEARCH("-",'Bittrex Data'!B316,1)))-1))</f>
        <v/>
      </c>
      <c r="E316" t="str">
        <f>IF('Bittrex Data'!B316="","",RIGHT(RIGHT('Bittrex Data'!B316,LEN('Bittrex Data'!B316)-SEARCH("-",'Bittrex Data'!B316,1)+1),LEN(RIGHT('Bittrex Data'!B316,LEN('Bittrex Data'!B316)-SEARCH("-",'Bittrex Data'!B316,1)+1))-1))</f>
        <v/>
      </c>
      <c r="F316" t="str">
        <f>IF('Bittrex Data'!C316="","",IF('Bittrex Data'!C316="Limit_Sell",'Bittrex Data'!G316-'Bittrex Data'!F316,IF('Bittrex Data'!C316="Limit_Buy",'Bittrex Data'!G316+'Bittrex Data'!F316,"")))</f>
        <v/>
      </c>
      <c r="G316" t="str">
        <f>IF('Bittrex Data'!B316="","",'Bittrex Data'!D316)</f>
        <v/>
      </c>
      <c r="H316" t="str">
        <f>IF('Bittrex Data'!C316="","",IF(Bittrex!C316="Buy",Bittrex!D316,IF(Bittrex!C316="Sale",Bittrex!E316,IF(AND(Bittrex!C316="Trade",'Bittrex Data'!C316="Limit_Sell"),Bittrex!E316,IF(AND(Bittrex!C316="Trade",'Bittrex Data'!C316="Limit_Buy"),Bittrex!D316,"")))))</f>
        <v/>
      </c>
      <c r="I316" t="str">
        <f>IF('Bittrex Data'!C316="","",IF(Bittrex!C316="Buy",F316,IF(C316="Sale",Bittrex!G316,IF(AND(C316="Trade",'Bittrex Data'!C316="Limit_Sell"),Bittrex!G316,IF(AND(Bittrex!C316="Trade",'Bittrex Data'!C316="Limit_Buy"),F316,"")))))</f>
        <v/>
      </c>
      <c r="J316" t="str">
        <f>IF('Bittrex Data'!B316="","",IF('Bittrex Data'!B316="","",IF(Bittrex!H316=Bittrex!E316,D316,Bittrex!E316)))</f>
        <v/>
      </c>
      <c r="K316" t="str">
        <f>IF('Bittrex Data'!B316="","",IF(Bittrex!I316=Bittrex!G316,Bittrex!F316,Bittrex!G316))</f>
        <v/>
      </c>
    </row>
    <row r="317" spans="3:11" x14ac:dyDescent="0.2">
      <c r="C317" t="str">
        <f>IF('Bittrex Data'!A317="","",IF(AND('Bittrex Data'!C317="LIMIT_SELL",Bittrex!D317="USD"),"Sale",IF(AND('Bittrex Data'!C317="LIMIT_BUY",Bittrex!D317="USD"),"Buy","Trade")))</f>
        <v/>
      </c>
      <c r="D317" t="str">
        <f>IF('Bittrex Data'!B317="","",LEFT(LEFT('Bittrex Data'!B317,SEARCH("-",'Bittrex Data'!B317,1)),LEN(LEFT('Bittrex Data'!B317,SEARCH("-",'Bittrex Data'!B317,1)))-1))</f>
        <v/>
      </c>
      <c r="E317" t="str">
        <f>IF('Bittrex Data'!B317="","",RIGHT(RIGHT('Bittrex Data'!B317,LEN('Bittrex Data'!B317)-SEARCH("-",'Bittrex Data'!B317,1)+1),LEN(RIGHT('Bittrex Data'!B317,LEN('Bittrex Data'!B317)-SEARCH("-",'Bittrex Data'!B317,1)+1))-1))</f>
        <v/>
      </c>
      <c r="F317" t="str">
        <f>IF('Bittrex Data'!C317="","",IF('Bittrex Data'!C317="Limit_Sell",'Bittrex Data'!G317-'Bittrex Data'!F317,IF('Bittrex Data'!C317="Limit_Buy",'Bittrex Data'!G317+'Bittrex Data'!F317,"")))</f>
        <v/>
      </c>
      <c r="G317" t="str">
        <f>IF('Bittrex Data'!B317="","",'Bittrex Data'!D317)</f>
        <v/>
      </c>
      <c r="H317" t="str">
        <f>IF('Bittrex Data'!C317="","",IF(Bittrex!C317="Buy",Bittrex!D317,IF(Bittrex!C317="Sale",Bittrex!E317,IF(AND(Bittrex!C317="Trade",'Bittrex Data'!C317="Limit_Sell"),Bittrex!E317,IF(AND(Bittrex!C317="Trade",'Bittrex Data'!C317="Limit_Buy"),Bittrex!D317,"")))))</f>
        <v/>
      </c>
      <c r="I317" t="str">
        <f>IF('Bittrex Data'!C317="","",IF(Bittrex!C317="Buy",F317,IF(C317="Sale",Bittrex!G317,IF(AND(C317="Trade",'Bittrex Data'!C317="Limit_Sell"),Bittrex!G317,IF(AND(Bittrex!C317="Trade",'Bittrex Data'!C317="Limit_Buy"),F317,"")))))</f>
        <v/>
      </c>
      <c r="J317" t="str">
        <f>IF('Bittrex Data'!B317="","",IF('Bittrex Data'!B317="","",IF(Bittrex!H317=Bittrex!E317,D317,Bittrex!E317)))</f>
        <v/>
      </c>
      <c r="K317" t="str">
        <f>IF('Bittrex Data'!B317="","",IF(Bittrex!I317=Bittrex!G317,Bittrex!F317,Bittrex!G317))</f>
        <v/>
      </c>
    </row>
    <row r="318" spans="3:11" x14ac:dyDescent="0.2">
      <c r="C318" t="str">
        <f>IF('Bittrex Data'!A318="","",IF(AND('Bittrex Data'!C318="LIMIT_SELL",Bittrex!D318="USD"),"Sale",IF(AND('Bittrex Data'!C318="LIMIT_BUY",Bittrex!D318="USD"),"Buy","Trade")))</f>
        <v/>
      </c>
      <c r="D318" t="str">
        <f>IF('Bittrex Data'!B318="","",LEFT(LEFT('Bittrex Data'!B318,SEARCH("-",'Bittrex Data'!B318,1)),LEN(LEFT('Bittrex Data'!B318,SEARCH("-",'Bittrex Data'!B318,1)))-1))</f>
        <v/>
      </c>
      <c r="E318" t="str">
        <f>IF('Bittrex Data'!B318="","",RIGHT(RIGHT('Bittrex Data'!B318,LEN('Bittrex Data'!B318)-SEARCH("-",'Bittrex Data'!B318,1)+1),LEN(RIGHT('Bittrex Data'!B318,LEN('Bittrex Data'!B318)-SEARCH("-",'Bittrex Data'!B318,1)+1))-1))</f>
        <v/>
      </c>
      <c r="F318" t="str">
        <f>IF('Bittrex Data'!C318="","",IF('Bittrex Data'!C318="Limit_Sell",'Bittrex Data'!G318-'Bittrex Data'!F318,IF('Bittrex Data'!C318="Limit_Buy",'Bittrex Data'!G318+'Bittrex Data'!F318,"")))</f>
        <v/>
      </c>
      <c r="G318" t="str">
        <f>IF('Bittrex Data'!B318="","",'Bittrex Data'!D318)</f>
        <v/>
      </c>
      <c r="H318" t="str">
        <f>IF('Bittrex Data'!C318="","",IF(Bittrex!C318="Buy",Bittrex!D318,IF(Bittrex!C318="Sale",Bittrex!E318,IF(AND(Bittrex!C318="Trade",'Bittrex Data'!C318="Limit_Sell"),Bittrex!E318,IF(AND(Bittrex!C318="Trade",'Bittrex Data'!C318="Limit_Buy"),Bittrex!D318,"")))))</f>
        <v/>
      </c>
      <c r="I318" t="str">
        <f>IF('Bittrex Data'!C318="","",IF(Bittrex!C318="Buy",F318,IF(C318="Sale",Bittrex!G318,IF(AND(C318="Trade",'Bittrex Data'!C318="Limit_Sell"),Bittrex!G318,IF(AND(Bittrex!C318="Trade",'Bittrex Data'!C318="Limit_Buy"),F318,"")))))</f>
        <v/>
      </c>
      <c r="J318" t="str">
        <f>IF('Bittrex Data'!B318="","",IF('Bittrex Data'!B318="","",IF(Bittrex!H318=Bittrex!E318,D318,Bittrex!E318)))</f>
        <v/>
      </c>
      <c r="K318" t="str">
        <f>IF('Bittrex Data'!B318="","",IF(Bittrex!I318=Bittrex!G318,Bittrex!F318,Bittrex!G318))</f>
        <v/>
      </c>
    </row>
    <row r="319" spans="3:11" x14ac:dyDescent="0.2">
      <c r="C319" t="str">
        <f>IF('Bittrex Data'!A319="","",IF(AND('Bittrex Data'!C319="LIMIT_SELL",Bittrex!D319="USD"),"Sale",IF(AND('Bittrex Data'!C319="LIMIT_BUY",Bittrex!D319="USD"),"Buy","Trade")))</f>
        <v/>
      </c>
      <c r="D319" t="str">
        <f>IF('Bittrex Data'!B319="","",LEFT(LEFT('Bittrex Data'!B319,SEARCH("-",'Bittrex Data'!B319,1)),LEN(LEFT('Bittrex Data'!B319,SEARCH("-",'Bittrex Data'!B319,1)))-1))</f>
        <v/>
      </c>
      <c r="E319" t="str">
        <f>IF('Bittrex Data'!B319="","",RIGHT(RIGHT('Bittrex Data'!B319,LEN('Bittrex Data'!B319)-SEARCH("-",'Bittrex Data'!B319,1)+1),LEN(RIGHT('Bittrex Data'!B319,LEN('Bittrex Data'!B319)-SEARCH("-",'Bittrex Data'!B319,1)+1))-1))</f>
        <v/>
      </c>
      <c r="F319" t="str">
        <f>IF('Bittrex Data'!C319="","",IF('Bittrex Data'!C319="Limit_Sell",'Bittrex Data'!G319-'Bittrex Data'!F319,IF('Bittrex Data'!C319="Limit_Buy",'Bittrex Data'!G319+'Bittrex Data'!F319,"")))</f>
        <v/>
      </c>
      <c r="G319" t="str">
        <f>IF('Bittrex Data'!B319="","",'Bittrex Data'!D319)</f>
        <v/>
      </c>
      <c r="H319" t="str">
        <f>IF('Bittrex Data'!C319="","",IF(Bittrex!C319="Buy",Bittrex!D319,IF(Bittrex!C319="Sale",Bittrex!E319,IF(AND(Bittrex!C319="Trade",'Bittrex Data'!C319="Limit_Sell"),Bittrex!E319,IF(AND(Bittrex!C319="Trade",'Bittrex Data'!C319="Limit_Buy"),Bittrex!D319,"")))))</f>
        <v/>
      </c>
      <c r="I319" t="str">
        <f>IF('Bittrex Data'!C319="","",IF(Bittrex!C319="Buy",F319,IF(C319="Sale",Bittrex!G319,IF(AND(C319="Trade",'Bittrex Data'!C319="Limit_Sell"),Bittrex!G319,IF(AND(Bittrex!C319="Trade",'Bittrex Data'!C319="Limit_Buy"),F319,"")))))</f>
        <v/>
      </c>
      <c r="J319" t="str">
        <f>IF('Bittrex Data'!B319="","",IF('Bittrex Data'!B319="","",IF(Bittrex!H319=Bittrex!E319,D319,Bittrex!E319)))</f>
        <v/>
      </c>
      <c r="K319" t="str">
        <f>IF('Bittrex Data'!B319="","",IF(Bittrex!I319=Bittrex!G319,Bittrex!F319,Bittrex!G319))</f>
        <v/>
      </c>
    </row>
    <row r="320" spans="3:11" x14ac:dyDescent="0.2">
      <c r="C320" t="str">
        <f>IF('Bittrex Data'!A320="","",IF(AND('Bittrex Data'!C320="LIMIT_SELL",Bittrex!D320="USD"),"Sale",IF(AND('Bittrex Data'!C320="LIMIT_BUY",Bittrex!D320="USD"),"Buy","Trade")))</f>
        <v/>
      </c>
      <c r="D320" t="str">
        <f>IF('Bittrex Data'!B320="","",LEFT(LEFT('Bittrex Data'!B320,SEARCH("-",'Bittrex Data'!B320,1)),LEN(LEFT('Bittrex Data'!B320,SEARCH("-",'Bittrex Data'!B320,1)))-1))</f>
        <v/>
      </c>
      <c r="E320" t="str">
        <f>IF('Bittrex Data'!B320="","",RIGHT(RIGHT('Bittrex Data'!B320,LEN('Bittrex Data'!B320)-SEARCH("-",'Bittrex Data'!B320,1)+1),LEN(RIGHT('Bittrex Data'!B320,LEN('Bittrex Data'!B320)-SEARCH("-",'Bittrex Data'!B320,1)+1))-1))</f>
        <v/>
      </c>
      <c r="F320" t="str">
        <f>IF('Bittrex Data'!C320="","",IF('Bittrex Data'!C320="Limit_Sell",'Bittrex Data'!G320-'Bittrex Data'!F320,IF('Bittrex Data'!C320="Limit_Buy",'Bittrex Data'!G320+'Bittrex Data'!F320,"")))</f>
        <v/>
      </c>
      <c r="G320" t="str">
        <f>IF('Bittrex Data'!B320="","",'Bittrex Data'!D320)</f>
        <v/>
      </c>
      <c r="H320" t="str">
        <f>IF('Bittrex Data'!C320="","",IF(Bittrex!C320="Buy",Bittrex!D320,IF(Bittrex!C320="Sale",Bittrex!E320,IF(AND(Bittrex!C320="Trade",'Bittrex Data'!C320="Limit_Sell"),Bittrex!E320,IF(AND(Bittrex!C320="Trade",'Bittrex Data'!C320="Limit_Buy"),Bittrex!D320,"")))))</f>
        <v/>
      </c>
      <c r="I320" t="str">
        <f>IF('Bittrex Data'!C320="","",IF(Bittrex!C320="Buy",F320,IF(C320="Sale",Bittrex!G320,IF(AND(C320="Trade",'Bittrex Data'!C320="Limit_Sell"),Bittrex!G320,IF(AND(Bittrex!C320="Trade",'Bittrex Data'!C320="Limit_Buy"),F320,"")))))</f>
        <v/>
      </c>
      <c r="J320" t="str">
        <f>IF('Bittrex Data'!B320="","",IF('Bittrex Data'!B320="","",IF(Bittrex!H320=Bittrex!E320,D320,Bittrex!E320)))</f>
        <v/>
      </c>
      <c r="K320" t="str">
        <f>IF('Bittrex Data'!B320="","",IF(Bittrex!I320=Bittrex!G320,Bittrex!F320,Bittrex!G320))</f>
        <v/>
      </c>
    </row>
    <row r="321" spans="3:11" x14ac:dyDescent="0.2">
      <c r="C321" t="str">
        <f>IF('Bittrex Data'!A321="","",IF(AND('Bittrex Data'!C321="LIMIT_SELL",Bittrex!D321="USD"),"Sale",IF(AND('Bittrex Data'!C321="LIMIT_BUY",Bittrex!D321="USD"),"Buy","Trade")))</f>
        <v/>
      </c>
      <c r="D321" t="str">
        <f>IF('Bittrex Data'!B321="","",LEFT(LEFT('Bittrex Data'!B321,SEARCH("-",'Bittrex Data'!B321,1)),LEN(LEFT('Bittrex Data'!B321,SEARCH("-",'Bittrex Data'!B321,1)))-1))</f>
        <v/>
      </c>
      <c r="E321" t="str">
        <f>IF('Bittrex Data'!B321="","",RIGHT(RIGHT('Bittrex Data'!B321,LEN('Bittrex Data'!B321)-SEARCH("-",'Bittrex Data'!B321,1)+1),LEN(RIGHT('Bittrex Data'!B321,LEN('Bittrex Data'!B321)-SEARCH("-",'Bittrex Data'!B321,1)+1))-1))</f>
        <v/>
      </c>
      <c r="F321" t="str">
        <f>IF('Bittrex Data'!C321="","",IF('Bittrex Data'!C321="Limit_Sell",'Bittrex Data'!G321-'Bittrex Data'!F321,IF('Bittrex Data'!C321="Limit_Buy",'Bittrex Data'!G321+'Bittrex Data'!F321,"")))</f>
        <v/>
      </c>
      <c r="G321" t="str">
        <f>IF('Bittrex Data'!B321="","",'Bittrex Data'!D321)</f>
        <v/>
      </c>
      <c r="H321" t="str">
        <f>IF('Bittrex Data'!C321="","",IF(Bittrex!C321="Buy",Bittrex!D321,IF(Bittrex!C321="Sale",Bittrex!E321,IF(AND(Bittrex!C321="Trade",'Bittrex Data'!C321="Limit_Sell"),Bittrex!E321,IF(AND(Bittrex!C321="Trade",'Bittrex Data'!C321="Limit_Buy"),Bittrex!D321,"")))))</f>
        <v/>
      </c>
      <c r="I321" t="str">
        <f>IF('Bittrex Data'!C321="","",IF(Bittrex!C321="Buy",F321,IF(C321="Sale",Bittrex!G321,IF(AND(C321="Trade",'Bittrex Data'!C321="Limit_Sell"),Bittrex!G321,IF(AND(Bittrex!C321="Trade",'Bittrex Data'!C321="Limit_Buy"),F321,"")))))</f>
        <v/>
      </c>
      <c r="J321" t="str">
        <f>IF('Bittrex Data'!B321="","",IF('Bittrex Data'!B321="","",IF(Bittrex!H321=Bittrex!E321,D321,Bittrex!E321)))</f>
        <v/>
      </c>
      <c r="K321" t="str">
        <f>IF('Bittrex Data'!B321="","",IF(Bittrex!I321=Bittrex!G321,Bittrex!F321,Bittrex!G321))</f>
        <v/>
      </c>
    </row>
    <row r="322" spans="3:11" x14ac:dyDescent="0.2">
      <c r="C322" t="str">
        <f>IF('Bittrex Data'!A322="","",IF(AND('Bittrex Data'!C322="LIMIT_SELL",Bittrex!D322="USD"),"Sale",IF(AND('Bittrex Data'!C322="LIMIT_BUY",Bittrex!D322="USD"),"Buy","Trade")))</f>
        <v/>
      </c>
      <c r="D322" t="str">
        <f>IF('Bittrex Data'!B322="","",LEFT(LEFT('Bittrex Data'!B322,SEARCH("-",'Bittrex Data'!B322,1)),LEN(LEFT('Bittrex Data'!B322,SEARCH("-",'Bittrex Data'!B322,1)))-1))</f>
        <v/>
      </c>
      <c r="E322" t="str">
        <f>IF('Bittrex Data'!B322="","",RIGHT(RIGHT('Bittrex Data'!B322,LEN('Bittrex Data'!B322)-SEARCH("-",'Bittrex Data'!B322,1)+1),LEN(RIGHT('Bittrex Data'!B322,LEN('Bittrex Data'!B322)-SEARCH("-",'Bittrex Data'!B322,1)+1))-1))</f>
        <v/>
      </c>
      <c r="F322" t="str">
        <f>IF('Bittrex Data'!C322="","",IF('Bittrex Data'!C322="Limit_Sell",'Bittrex Data'!G322-'Bittrex Data'!F322,IF('Bittrex Data'!C322="Limit_Buy",'Bittrex Data'!G322+'Bittrex Data'!F322,"")))</f>
        <v/>
      </c>
      <c r="G322" t="str">
        <f>IF('Bittrex Data'!B322="","",'Bittrex Data'!D322)</f>
        <v/>
      </c>
      <c r="H322" t="str">
        <f>IF('Bittrex Data'!C322="","",IF(Bittrex!C322="Buy",Bittrex!D322,IF(Bittrex!C322="Sale",Bittrex!E322,IF(AND(Bittrex!C322="Trade",'Bittrex Data'!C322="Limit_Sell"),Bittrex!E322,IF(AND(Bittrex!C322="Trade",'Bittrex Data'!C322="Limit_Buy"),Bittrex!D322,"")))))</f>
        <v/>
      </c>
      <c r="I322" t="str">
        <f>IF('Bittrex Data'!C322="","",IF(Bittrex!C322="Buy",F322,IF(C322="Sale",Bittrex!G322,IF(AND(C322="Trade",'Bittrex Data'!C322="Limit_Sell"),Bittrex!G322,IF(AND(Bittrex!C322="Trade",'Bittrex Data'!C322="Limit_Buy"),F322,"")))))</f>
        <v/>
      </c>
      <c r="J322" t="str">
        <f>IF('Bittrex Data'!B322="","",IF('Bittrex Data'!B322="","",IF(Bittrex!H322=Bittrex!E322,D322,Bittrex!E322)))</f>
        <v/>
      </c>
      <c r="K322" t="str">
        <f>IF('Bittrex Data'!B322="","",IF(Bittrex!I322=Bittrex!G322,Bittrex!F322,Bittrex!G322))</f>
        <v/>
      </c>
    </row>
    <row r="323" spans="3:11" x14ac:dyDescent="0.2">
      <c r="C323" t="str">
        <f>IF('Bittrex Data'!A323="","",IF(AND('Bittrex Data'!C323="LIMIT_SELL",Bittrex!D323="USD"),"Sale",IF(AND('Bittrex Data'!C323="LIMIT_BUY",Bittrex!D323="USD"),"Buy","Trade")))</f>
        <v/>
      </c>
      <c r="D323" t="str">
        <f>IF('Bittrex Data'!B323="","",LEFT(LEFT('Bittrex Data'!B323,SEARCH("-",'Bittrex Data'!B323,1)),LEN(LEFT('Bittrex Data'!B323,SEARCH("-",'Bittrex Data'!B323,1)))-1))</f>
        <v/>
      </c>
      <c r="E323" t="str">
        <f>IF('Bittrex Data'!B323="","",RIGHT(RIGHT('Bittrex Data'!B323,LEN('Bittrex Data'!B323)-SEARCH("-",'Bittrex Data'!B323,1)+1),LEN(RIGHT('Bittrex Data'!B323,LEN('Bittrex Data'!B323)-SEARCH("-",'Bittrex Data'!B323,1)+1))-1))</f>
        <v/>
      </c>
      <c r="F323" t="str">
        <f>IF('Bittrex Data'!C323="","",IF('Bittrex Data'!C323="Limit_Sell",'Bittrex Data'!G323-'Bittrex Data'!F323,IF('Bittrex Data'!C323="Limit_Buy",'Bittrex Data'!G323+'Bittrex Data'!F323,"")))</f>
        <v/>
      </c>
      <c r="G323" t="str">
        <f>IF('Bittrex Data'!B323="","",'Bittrex Data'!D323)</f>
        <v/>
      </c>
      <c r="H323" t="str">
        <f>IF('Bittrex Data'!C323="","",IF(Bittrex!C323="Buy",Bittrex!D323,IF(Bittrex!C323="Sale",Bittrex!E323,IF(AND(Bittrex!C323="Trade",'Bittrex Data'!C323="Limit_Sell"),Bittrex!E323,IF(AND(Bittrex!C323="Trade",'Bittrex Data'!C323="Limit_Buy"),Bittrex!D323,"")))))</f>
        <v/>
      </c>
      <c r="I323" t="str">
        <f>IF('Bittrex Data'!C323="","",IF(Bittrex!C323="Buy",F323,IF(C323="Sale",Bittrex!G323,IF(AND(C323="Trade",'Bittrex Data'!C323="Limit_Sell"),Bittrex!G323,IF(AND(Bittrex!C323="Trade",'Bittrex Data'!C323="Limit_Buy"),F323,"")))))</f>
        <v/>
      </c>
      <c r="J323" t="str">
        <f>IF('Bittrex Data'!B323="","",IF('Bittrex Data'!B323="","",IF(Bittrex!H323=Bittrex!E323,D323,Bittrex!E323)))</f>
        <v/>
      </c>
      <c r="K323" t="str">
        <f>IF('Bittrex Data'!B323="","",IF(Bittrex!I323=Bittrex!G323,Bittrex!F323,Bittrex!G323))</f>
        <v/>
      </c>
    </row>
    <row r="324" spans="3:11" x14ac:dyDescent="0.2">
      <c r="C324" t="str">
        <f>IF('Bittrex Data'!A324="","",IF(AND('Bittrex Data'!C324="LIMIT_SELL",Bittrex!D324="USD"),"Sale",IF(AND('Bittrex Data'!C324="LIMIT_BUY",Bittrex!D324="USD"),"Buy","Trade")))</f>
        <v/>
      </c>
      <c r="D324" t="str">
        <f>IF('Bittrex Data'!B324="","",LEFT(LEFT('Bittrex Data'!B324,SEARCH("-",'Bittrex Data'!B324,1)),LEN(LEFT('Bittrex Data'!B324,SEARCH("-",'Bittrex Data'!B324,1)))-1))</f>
        <v/>
      </c>
      <c r="E324" t="str">
        <f>IF('Bittrex Data'!B324="","",RIGHT(RIGHT('Bittrex Data'!B324,LEN('Bittrex Data'!B324)-SEARCH("-",'Bittrex Data'!B324,1)+1),LEN(RIGHT('Bittrex Data'!B324,LEN('Bittrex Data'!B324)-SEARCH("-",'Bittrex Data'!B324,1)+1))-1))</f>
        <v/>
      </c>
      <c r="F324" t="str">
        <f>IF('Bittrex Data'!C324="","",IF('Bittrex Data'!C324="Limit_Sell",'Bittrex Data'!G324-'Bittrex Data'!F324,IF('Bittrex Data'!C324="Limit_Buy",'Bittrex Data'!G324+'Bittrex Data'!F324,"")))</f>
        <v/>
      </c>
      <c r="G324" t="str">
        <f>IF('Bittrex Data'!B324="","",'Bittrex Data'!D324)</f>
        <v/>
      </c>
      <c r="H324" t="str">
        <f>IF('Bittrex Data'!C324="","",IF(Bittrex!C324="Buy",Bittrex!D324,IF(Bittrex!C324="Sale",Bittrex!E324,IF(AND(Bittrex!C324="Trade",'Bittrex Data'!C324="Limit_Sell"),Bittrex!E324,IF(AND(Bittrex!C324="Trade",'Bittrex Data'!C324="Limit_Buy"),Bittrex!D324,"")))))</f>
        <v/>
      </c>
      <c r="I324" t="str">
        <f>IF('Bittrex Data'!C324="","",IF(Bittrex!C324="Buy",F324,IF(C324="Sale",Bittrex!G324,IF(AND(C324="Trade",'Bittrex Data'!C324="Limit_Sell"),Bittrex!G324,IF(AND(Bittrex!C324="Trade",'Bittrex Data'!C324="Limit_Buy"),F324,"")))))</f>
        <v/>
      </c>
      <c r="J324" t="str">
        <f>IF('Bittrex Data'!B324="","",IF('Bittrex Data'!B324="","",IF(Bittrex!H324=Bittrex!E324,D324,Bittrex!E324)))</f>
        <v/>
      </c>
      <c r="K324" t="str">
        <f>IF('Bittrex Data'!B324="","",IF(Bittrex!I324=Bittrex!G324,Bittrex!F324,Bittrex!G324))</f>
        <v/>
      </c>
    </row>
    <row r="325" spans="3:11" x14ac:dyDescent="0.2">
      <c r="C325" t="str">
        <f>IF('Bittrex Data'!A325="","",IF(AND('Bittrex Data'!C325="LIMIT_SELL",Bittrex!D325="USD"),"Sale",IF(AND('Bittrex Data'!C325="LIMIT_BUY",Bittrex!D325="USD"),"Buy","Trade")))</f>
        <v/>
      </c>
      <c r="D325" t="str">
        <f>IF('Bittrex Data'!B325="","",LEFT(LEFT('Bittrex Data'!B325,SEARCH("-",'Bittrex Data'!B325,1)),LEN(LEFT('Bittrex Data'!B325,SEARCH("-",'Bittrex Data'!B325,1)))-1))</f>
        <v/>
      </c>
      <c r="E325" t="str">
        <f>IF('Bittrex Data'!B325="","",RIGHT(RIGHT('Bittrex Data'!B325,LEN('Bittrex Data'!B325)-SEARCH("-",'Bittrex Data'!B325,1)+1),LEN(RIGHT('Bittrex Data'!B325,LEN('Bittrex Data'!B325)-SEARCH("-",'Bittrex Data'!B325,1)+1))-1))</f>
        <v/>
      </c>
      <c r="F325" t="str">
        <f>IF('Bittrex Data'!C325="","",IF('Bittrex Data'!C325="Limit_Sell",'Bittrex Data'!G325-'Bittrex Data'!F325,IF('Bittrex Data'!C325="Limit_Buy",'Bittrex Data'!G325+'Bittrex Data'!F325,"")))</f>
        <v/>
      </c>
      <c r="G325" t="str">
        <f>IF('Bittrex Data'!B325="","",'Bittrex Data'!D325)</f>
        <v/>
      </c>
      <c r="H325" t="str">
        <f>IF('Bittrex Data'!C325="","",IF(Bittrex!C325="Buy",Bittrex!D325,IF(Bittrex!C325="Sale",Bittrex!E325,IF(AND(Bittrex!C325="Trade",'Bittrex Data'!C325="Limit_Sell"),Bittrex!E325,IF(AND(Bittrex!C325="Trade",'Bittrex Data'!C325="Limit_Buy"),Bittrex!D325,"")))))</f>
        <v/>
      </c>
      <c r="I325" t="str">
        <f>IF('Bittrex Data'!C325="","",IF(Bittrex!C325="Buy",F325,IF(C325="Sale",Bittrex!G325,IF(AND(C325="Trade",'Bittrex Data'!C325="Limit_Sell"),Bittrex!G325,IF(AND(Bittrex!C325="Trade",'Bittrex Data'!C325="Limit_Buy"),F325,"")))))</f>
        <v/>
      </c>
      <c r="J325" t="str">
        <f>IF('Bittrex Data'!B325="","",IF('Bittrex Data'!B325="","",IF(Bittrex!H325=Bittrex!E325,D325,Bittrex!E325)))</f>
        <v/>
      </c>
      <c r="K325" t="str">
        <f>IF('Bittrex Data'!B325="","",IF(Bittrex!I325=Bittrex!G325,Bittrex!F325,Bittrex!G325))</f>
        <v/>
      </c>
    </row>
    <row r="326" spans="3:11" x14ac:dyDescent="0.2">
      <c r="C326" t="str">
        <f>IF('Bittrex Data'!A326="","",IF(AND('Bittrex Data'!C326="LIMIT_SELL",Bittrex!D326="USD"),"Sale",IF(AND('Bittrex Data'!C326="LIMIT_BUY",Bittrex!D326="USD"),"Buy","Trade")))</f>
        <v/>
      </c>
      <c r="D326" t="str">
        <f>IF('Bittrex Data'!B326="","",LEFT(LEFT('Bittrex Data'!B326,SEARCH("-",'Bittrex Data'!B326,1)),LEN(LEFT('Bittrex Data'!B326,SEARCH("-",'Bittrex Data'!B326,1)))-1))</f>
        <v/>
      </c>
      <c r="E326" t="str">
        <f>IF('Bittrex Data'!B326="","",RIGHT(RIGHT('Bittrex Data'!B326,LEN('Bittrex Data'!B326)-SEARCH("-",'Bittrex Data'!B326,1)+1),LEN(RIGHT('Bittrex Data'!B326,LEN('Bittrex Data'!B326)-SEARCH("-",'Bittrex Data'!B326,1)+1))-1))</f>
        <v/>
      </c>
      <c r="F326" t="str">
        <f>IF('Bittrex Data'!C326="","",IF('Bittrex Data'!C326="Limit_Sell",'Bittrex Data'!G326-'Bittrex Data'!F326,IF('Bittrex Data'!C326="Limit_Buy",'Bittrex Data'!G326+'Bittrex Data'!F326,"")))</f>
        <v/>
      </c>
      <c r="G326" t="str">
        <f>IF('Bittrex Data'!B326="","",'Bittrex Data'!D326)</f>
        <v/>
      </c>
      <c r="H326" t="str">
        <f>IF('Bittrex Data'!C326="","",IF(Bittrex!C326="Buy",Bittrex!D326,IF(Bittrex!C326="Sale",Bittrex!E326,IF(AND(Bittrex!C326="Trade",'Bittrex Data'!C326="Limit_Sell"),Bittrex!E326,IF(AND(Bittrex!C326="Trade",'Bittrex Data'!C326="Limit_Buy"),Bittrex!D326,"")))))</f>
        <v/>
      </c>
      <c r="I326" t="str">
        <f>IF('Bittrex Data'!C326="","",IF(Bittrex!C326="Buy",F326,IF(C326="Sale",Bittrex!G326,IF(AND(C326="Trade",'Bittrex Data'!C326="Limit_Sell"),Bittrex!G326,IF(AND(Bittrex!C326="Trade",'Bittrex Data'!C326="Limit_Buy"),F326,"")))))</f>
        <v/>
      </c>
      <c r="J326" t="str">
        <f>IF('Bittrex Data'!B326="","",IF('Bittrex Data'!B326="","",IF(Bittrex!H326=Bittrex!E326,D326,Bittrex!E326)))</f>
        <v/>
      </c>
      <c r="K326" t="str">
        <f>IF('Bittrex Data'!B326="","",IF(Bittrex!I326=Bittrex!G326,Bittrex!F326,Bittrex!G326))</f>
        <v/>
      </c>
    </row>
    <row r="327" spans="3:11" x14ac:dyDescent="0.2">
      <c r="C327" t="str">
        <f>IF('Bittrex Data'!A327="","",IF(AND('Bittrex Data'!C327="LIMIT_SELL",Bittrex!D327="USD"),"Sale",IF(AND('Bittrex Data'!C327="LIMIT_BUY",Bittrex!D327="USD"),"Buy","Trade")))</f>
        <v/>
      </c>
      <c r="D327" t="str">
        <f>IF('Bittrex Data'!B327="","",LEFT(LEFT('Bittrex Data'!B327,SEARCH("-",'Bittrex Data'!B327,1)),LEN(LEFT('Bittrex Data'!B327,SEARCH("-",'Bittrex Data'!B327,1)))-1))</f>
        <v/>
      </c>
      <c r="E327" t="str">
        <f>IF('Bittrex Data'!B327="","",RIGHT(RIGHT('Bittrex Data'!B327,LEN('Bittrex Data'!B327)-SEARCH("-",'Bittrex Data'!B327,1)+1),LEN(RIGHT('Bittrex Data'!B327,LEN('Bittrex Data'!B327)-SEARCH("-",'Bittrex Data'!B327,1)+1))-1))</f>
        <v/>
      </c>
      <c r="F327" t="str">
        <f>IF('Bittrex Data'!C327="","",IF('Bittrex Data'!C327="Limit_Sell",'Bittrex Data'!G327-'Bittrex Data'!F327,IF('Bittrex Data'!C327="Limit_Buy",'Bittrex Data'!G327+'Bittrex Data'!F327,"")))</f>
        <v/>
      </c>
      <c r="G327" t="str">
        <f>IF('Bittrex Data'!B327="","",'Bittrex Data'!D327)</f>
        <v/>
      </c>
      <c r="H327" t="str">
        <f>IF('Bittrex Data'!C327="","",IF(Bittrex!C327="Buy",Bittrex!D327,IF(Bittrex!C327="Sale",Bittrex!E327,IF(AND(Bittrex!C327="Trade",'Bittrex Data'!C327="Limit_Sell"),Bittrex!E327,IF(AND(Bittrex!C327="Trade",'Bittrex Data'!C327="Limit_Buy"),Bittrex!D327,"")))))</f>
        <v/>
      </c>
      <c r="I327" t="str">
        <f>IF('Bittrex Data'!C327="","",IF(Bittrex!C327="Buy",F327,IF(C327="Sale",Bittrex!G327,IF(AND(C327="Trade",'Bittrex Data'!C327="Limit_Sell"),Bittrex!G327,IF(AND(Bittrex!C327="Trade",'Bittrex Data'!C327="Limit_Buy"),F327,"")))))</f>
        <v/>
      </c>
      <c r="J327" t="str">
        <f>IF('Bittrex Data'!B327="","",IF('Bittrex Data'!B327="","",IF(Bittrex!H327=Bittrex!E327,D327,Bittrex!E327)))</f>
        <v/>
      </c>
      <c r="K327" t="str">
        <f>IF('Bittrex Data'!B327="","",IF(Bittrex!I327=Bittrex!G327,Bittrex!F327,Bittrex!G327))</f>
        <v/>
      </c>
    </row>
    <row r="328" spans="3:11" x14ac:dyDescent="0.2">
      <c r="C328" t="str">
        <f>IF('Bittrex Data'!A328="","",IF(AND('Bittrex Data'!C328="LIMIT_SELL",Bittrex!D328="USD"),"Sale",IF(AND('Bittrex Data'!C328="LIMIT_BUY",Bittrex!D328="USD"),"Buy","Trade")))</f>
        <v/>
      </c>
      <c r="D328" t="str">
        <f>IF('Bittrex Data'!B328="","",LEFT(LEFT('Bittrex Data'!B328,SEARCH("-",'Bittrex Data'!B328,1)),LEN(LEFT('Bittrex Data'!B328,SEARCH("-",'Bittrex Data'!B328,1)))-1))</f>
        <v/>
      </c>
      <c r="E328" t="str">
        <f>IF('Bittrex Data'!B328="","",RIGHT(RIGHT('Bittrex Data'!B328,LEN('Bittrex Data'!B328)-SEARCH("-",'Bittrex Data'!B328,1)+1),LEN(RIGHT('Bittrex Data'!B328,LEN('Bittrex Data'!B328)-SEARCH("-",'Bittrex Data'!B328,1)+1))-1))</f>
        <v/>
      </c>
      <c r="F328" t="str">
        <f>IF('Bittrex Data'!C328="","",IF('Bittrex Data'!C328="Limit_Sell",'Bittrex Data'!G328-'Bittrex Data'!F328,IF('Bittrex Data'!C328="Limit_Buy",'Bittrex Data'!G328+'Bittrex Data'!F328,"")))</f>
        <v/>
      </c>
      <c r="G328" t="str">
        <f>IF('Bittrex Data'!B328="","",'Bittrex Data'!D328)</f>
        <v/>
      </c>
      <c r="H328" t="str">
        <f>IF('Bittrex Data'!C328="","",IF(Bittrex!C328="Buy",Bittrex!D328,IF(Bittrex!C328="Sale",Bittrex!E328,IF(AND(Bittrex!C328="Trade",'Bittrex Data'!C328="Limit_Sell"),Bittrex!E328,IF(AND(Bittrex!C328="Trade",'Bittrex Data'!C328="Limit_Buy"),Bittrex!D328,"")))))</f>
        <v/>
      </c>
      <c r="I328" t="str">
        <f>IF('Bittrex Data'!C328="","",IF(Bittrex!C328="Buy",F328,IF(C328="Sale",Bittrex!G328,IF(AND(C328="Trade",'Bittrex Data'!C328="Limit_Sell"),Bittrex!G328,IF(AND(Bittrex!C328="Trade",'Bittrex Data'!C328="Limit_Buy"),F328,"")))))</f>
        <v/>
      </c>
      <c r="J328" t="str">
        <f>IF('Bittrex Data'!B328="","",IF('Bittrex Data'!B328="","",IF(Bittrex!H328=Bittrex!E328,D328,Bittrex!E328)))</f>
        <v/>
      </c>
      <c r="K328" t="str">
        <f>IF('Bittrex Data'!B328="","",IF(Bittrex!I328=Bittrex!G328,Bittrex!F328,Bittrex!G328))</f>
        <v/>
      </c>
    </row>
    <row r="329" spans="3:11" x14ac:dyDescent="0.2">
      <c r="C329" t="str">
        <f>IF('Bittrex Data'!A329="","",IF(AND('Bittrex Data'!C329="LIMIT_SELL",Bittrex!D329="USD"),"Sale",IF(AND('Bittrex Data'!C329="LIMIT_BUY",Bittrex!D329="USD"),"Buy","Trade")))</f>
        <v/>
      </c>
      <c r="D329" t="str">
        <f>IF('Bittrex Data'!B329="","",LEFT(LEFT('Bittrex Data'!B329,SEARCH("-",'Bittrex Data'!B329,1)),LEN(LEFT('Bittrex Data'!B329,SEARCH("-",'Bittrex Data'!B329,1)))-1))</f>
        <v/>
      </c>
      <c r="E329" t="str">
        <f>IF('Bittrex Data'!B329="","",RIGHT(RIGHT('Bittrex Data'!B329,LEN('Bittrex Data'!B329)-SEARCH("-",'Bittrex Data'!B329,1)+1),LEN(RIGHT('Bittrex Data'!B329,LEN('Bittrex Data'!B329)-SEARCH("-",'Bittrex Data'!B329,1)+1))-1))</f>
        <v/>
      </c>
      <c r="F329" t="str">
        <f>IF('Bittrex Data'!C329="","",IF('Bittrex Data'!C329="Limit_Sell",'Bittrex Data'!G329-'Bittrex Data'!F329,IF('Bittrex Data'!C329="Limit_Buy",'Bittrex Data'!G329+'Bittrex Data'!F329,"")))</f>
        <v/>
      </c>
      <c r="G329" t="str">
        <f>IF('Bittrex Data'!B329="","",'Bittrex Data'!D329)</f>
        <v/>
      </c>
      <c r="H329" t="str">
        <f>IF('Bittrex Data'!C329="","",IF(Bittrex!C329="Buy",Bittrex!D329,IF(Bittrex!C329="Sale",Bittrex!E329,IF(AND(Bittrex!C329="Trade",'Bittrex Data'!C329="Limit_Sell"),Bittrex!E329,IF(AND(Bittrex!C329="Trade",'Bittrex Data'!C329="Limit_Buy"),Bittrex!D329,"")))))</f>
        <v/>
      </c>
      <c r="I329" t="str">
        <f>IF('Bittrex Data'!C329="","",IF(Bittrex!C329="Buy",F329,IF(C329="Sale",Bittrex!G329,IF(AND(C329="Trade",'Bittrex Data'!C329="Limit_Sell"),Bittrex!G329,IF(AND(Bittrex!C329="Trade",'Bittrex Data'!C329="Limit_Buy"),F329,"")))))</f>
        <v/>
      </c>
      <c r="J329" t="str">
        <f>IF('Bittrex Data'!B329="","",IF('Bittrex Data'!B329="","",IF(Bittrex!H329=Bittrex!E329,D329,Bittrex!E329)))</f>
        <v/>
      </c>
      <c r="K329" t="str">
        <f>IF('Bittrex Data'!B329="","",IF(Bittrex!I329=Bittrex!G329,Bittrex!F329,Bittrex!G329))</f>
        <v/>
      </c>
    </row>
    <row r="330" spans="3:11" x14ac:dyDescent="0.2">
      <c r="C330" t="str">
        <f>IF('Bittrex Data'!A330="","",IF(AND('Bittrex Data'!C330="LIMIT_SELL",Bittrex!D330="USD"),"Sale",IF(AND('Bittrex Data'!C330="LIMIT_BUY",Bittrex!D330="USD"),"Buy","Trade")))</f>
        <v/>
      </c>
      <c r="D330" t="str">
        <f>IF('Bittrex Data'!B330="","",LEFT(LEFT('Bittrex Data'!B330,SEARCH("-",'Bittrex Data'!B330,1)),LEN(LEFT('Bittrex Data'!B330,SEARCH("-",'Bittrex Data'!B330,1)))-1))</f>
        <v/>
      </c>
      <c r="E330" t="str">
        <f>IF('Bittrex Data'!B330="","",RIGHT(RIGHT('Bittrex Data'!B330,LEN('Bittrex Data'!B330)-SEARCH("-",'Bittrex Data'!B330,1)+1),LEN(RIGHT('Bittrex Data'!B330,LEN('Bittrex Data'!B330)-SEARCH("-",'Bittrex Data'!B330,1)+1))-1))</f>
        <v/>
      </c>
      <c r="F330" t="str">
        <f>IF('Bittrex Data'!C330="","",IF('Bittrex Data'!C330="Limit_Sell",'Bittrex Data'!G330-'Bittrex Data'!F330,IF('Bittrex Data'!C330="Limit_Buy",'Bittrex Data'!G330+'Bittrex Data'!F330,"")))</f>
        <v/>
      </c>
      <c r="G330" t="str">
        <f>IF('Bittrex Data'!B330="","",'Bittrex Data'!D330)</f>
        <v/>
      </c>
      <c r="H330" t="str">
        <f>IF('Bittrex Data'!C330="","",IF(Bittrex!C330="Buy",Bittrex!D330,IF(Bittrex!C330="Sale",Bittrex!E330,IF(AND(Bittrex!C330="Trade",'Bittrex Data'!C330="Limit_Sell"),Bittrex!E330,IF(AND(Bittrex!C330="Trade",'Bittrex Data'!C330="Limit_Buy"),Bittrex!D330,"")))))</f>
        <v/>
      </c>
      <c r="I330" t="str">
        <f>IF('Bittrex Data'!C330="","",IF(Bittrex!C330="Buy",F330,IF(C330="Sale",Bittrex!G330,IF(AND(C330="Trade",'Bittrex Data'!C330="Limit_Sell"),Bittrex!G330,IF(AND(Bittrex!C330="Trade",'Bittrex Data'!C330="Limit_Buy"),F330,"")))))</f>
        <v/>
      </c>
      <c r="J330" t="str">
        <f>IF('Bittrex Data'!B330="","",IF('Bittrex Data'!B330="","",IF(Bittrex!H330=Bittrex!E330,D330,Bittrex!E330)))</f>
        <v/>
      </c>
      <c r="K330" t="str">
        <f>IF('Bittrex Data'!B330="","",IF(Bittrex!I330=Bittrex!G330,Bittrex!F330,Bittrex!G330))</f>
        <v/>
      </c>
    </row>
    <row r="331" spans="3:11" x14ac:dyDescent="0.2">
      <c r="C331" t="str">
        <f>IF('Bittrex Data'!A331="","",IF(AND('Bittrex Data'!C331="LIMIT_SELL",Bittrex!D331="USD"),"Sale",IF(AND('Bittrex Data'!C331="LIMIT_BUY",Bittrex!D331="USD"),"Buy","Trade")))</f>
        <v/>
      </c>
      <c r="D331" t="str">
        <f>IF('Bittrex Data'!B331="","",LEFT(LEFT('Bittrex Data'!B331,SEARCH("-",'Bittrex Data'!B331,1)),LEN(LEFT('Bittrex Data'!B331,SEARCH("-",'Bittrex Data'!B331,1)))-1))</f>
        <v/>
      </c>
      <c r="E331" t="str">
        <f>IF('Bittrex Data'!B331="","",RIGHT(RIGHT('Bittrex Data'!B331,LEN('Bittrex Data'!B331)-SEARCH("-",'Bittrex Data'!B331,1)+1),LEN(RIGHT('Bittrex Data'!B331,LEN('Bittrex Data'!B331)-SEARCH("-",'Bittrex Data'!B331,1)+1))-1))</f>
        <v/>
      </c>
      <c r="F331" t="str">
        <f>IF('Bittrex Data'!C331="","",IF('Bittrex Data'!C331="Limit_Sell",'Bittrex Data'!G331-'Bittrex Data'!F331,IF('Bittrex Data'!C331="Limit_Buy",'Bittrex Data'!G331+'Bittrex Data'!F331,"")))</f>
        <v/>
      </c>
      <c r="G331" t="str">
        <f>IF('Bittrex Data'!B331="","",'Bittrex Data'!D331)</f>
        <v/>
      </c>
      <c r="H331" t="str">
        <f>IF('Bittrex Data'!C331="","",IF(Bittrex!C331="Buy",Bittrex!D331,IF(Bittrex!C331="Sale",Bittrex!E331,IF(AND(Bittrex!C331="Trade",'Bittrex Data'!C331="Limit_Sell"),Bittrex!E331,IF(AND(Bittrex!C331="Trade",'Bittrex Data'!C331="Limit_Buy"),Bittrex!D331,"")))))</f>
        <v/>
      </c>
      <c r="I331" t="str">
        <f>IF('Bittrex Data'!C331="","",IF(Bittrex!C331="Buy",F331,IF(C331="Sale",Bittrex!G331,IF(AND(C331="Trade",'Bittrex Data'!C331="Limit_Sell"),Bittrex!G331,IF(AND(Bittrex!C331="Trade",'Bittrex Data'!C331="Limit_Buy"),F331,"")))))</f>
        <v/>
      </c>
      <c r="J331" t="str">
        <f>IF('Bittrex Data'!B331="","",IF('Bittrex Data'!B331="","",IF(Bittrex!H331=Bittrex!E331,D331,Bittrex!E331)))</f>
        <v/>
      </c>
      <c r="K331" t="str">
        <f>IF('Bittrex Data'!B331="","",IF(Bittrex!I331=Bittrex!G331,Bittrex!F331,Bittrex!G331))</f>
        <v/>
      </c>
    </row>
    <row r="332" spans="3:11" x14ac:dyDescent="0.2">
      <c r="C332" t="str">
        <f>IF('Bittrex Data'!A332="","",IF(AND('Bittrex Data'!C332="LIMIT_SELL",Bittrex!D332="USD"),"Sale",IF(AND('Bittrex Data'!C332="LIMIT_BUY",Bittrex!D332="USD"),"Buy","Trade")))</f>
        <v/>
      </c>
      <c r="D332" t="str">
        <f>IF('Bittrex Data'!B332="","",LEFT(LEFT('Bittrex Data'!B332,SEARCH("-",'Bittrex Data'!B332,1)),LEN(LEFT('Bittrex Data'!B332,SEARCH("-",'Bittrex Data'!B332,1)))-1))</f>
        <v/>
      </c>
      <c r="E332" t="str">
        <f>IF('Bittrex Data'!B332="","",RIGHT(RIGHT('Bittrex Data'!B332,LEN('Bittrex Data'!B332)-SEARCH("-",'Bittrex Data'!B332,1)+1),LEN(RIGHT('Bittrex Data'!B332,LEN('Bittrex Data'!B332)-SEARCH("-",'Bittrex Data'!B332,1)+1))-1))</f>
        <v/>
      </c>
      <c r="F332" t="str">
        <f>IF('Bittrex Data'!C332="","",IF('Bittrex Data'!C332="Limit_Sell",'Bittrex Data'!G332-'Bittrex Data'!F332,IF('Bittrex Data'!C332="Limit_Buy",'Bittrex Data'!G332+'Bittrex Data'!F332,"")))</f>
        <v/>
      </c>
      <c r="G332" t="str">
        <f>IF('Bittrex Data'!B332="","",'Bittrex Data'!D332)</f>
        <v/>
      </c>
      <c r="H332" t="str">
        <f>IF('Bittrex Data'!C332="","",IF(Bittrex!C332="Buy",Bittrex!D332,IF(Bittrex!C332="Sale",Bittrex!E332,IF(AND(Bittrex!C332="Trade",'Bittrex Data'!C332="Limit_Sell"),Bittrex!E332,IF(AND(Bittrex!C332="Trade",'Bittrex Data'!C332="Limit_Buy"),Bittrex!D332,"")))))</f>
        <v/>
      </c>
      <c r="I332" t="str">
        <f>IF('Bittrex Data'!C332="","",IF(Bittrex!C332="Buy",F332,IF(C332="Sale",Bittrex!G332,IF(AND(C332="Trade",'Bittrex Data'!C332="Limit_Sell"),Bittrex!G332,IF(AND(Bittrex!C332="Trade",'Bittrex Data'!C332="Limit_Buy"),F332,"")))))</f>
        <v/>
      </c>
      <c r="J332" t="str">
        <f>IF('Bittrex Data'!B332="","",IF('Bittrex Data'!B332="","",IF(Bittrex!H332=Bittrex!E332,D332,Bittrex!E332)))</f>
        <v/>
      </c>
      <c r="K332" t="str">
        <f>IF('Bittrex Data'!B332="","",IF(Bittrex!I332=Bittrex!G332,Bittrex!F332,Bittrex!G332))</f>
        <v/>
      </c>
    </row>
    <row r="333" spans="3:11" x14ac:dyDescent="0.2">
      <c r="C333" t="str">
        <f>IF('Bittrex Data'!A333="","",IF(AND('Bittrex Data'!C333="LIMIT_SELL",Bittrex!D333="USD"),"Sale",IF(AND('Bittrex Data'!C333="LIMIT_BUY",Bittrex!D333="USD"),"Buy","Trade")))</f>
        <v/>
      </c>
      <c r="D333" t="str">
        <f>IF('Bittrex Data'!B333="","",LEFT(LEFT('Bittrex Data'!B333,SEARCH("-",'Bittrex Data'!B333,1)),LEN(LEFT('Bittrex Data'!B333,SEARCH("-",'Bittrex Data'!B333,1)))-1))</f>
        <v/>
      </c>
      <c r="E333" t="str">
        <f>IF('Bittrex Data'!B333="","",RIGHT(RIGHT('Bittrex Data'!B333,LEN('Bittrex Data'!B333)-SEARCH("-",'Bittrex Data'!B333,1)+1),LEN(RIGHT('Bittrex Data'!B333,LEN('Bittrex Data'!B333)-SEARCH("-",'Bittrex Data'!B333,1)+1))-1))</f>
        <v/>
      </c>
      <c r="F333" t="str">
        <f>IF('Bittrex Data'!C333="","",IF('Bittrex Data'!C333="Limit_Sell",'Bittrex Data'!G333-'Bittrex Data'!F333,IF('Bittrex Data'!C333="Limit_Buy",'Bittrex Data'!G333+'Bittrex Data'!F333,"")))</f>
        <v/>
      </c>
      <c r="G333" t="str">
        <f>IF('Bittrex Data'!B333="","",'Bittrex Data'!D333)</f>
        <v/>
      </c>
      <c r="H333" t="str">
        <f>IF('Bittrex Data'!C333="","",IF(Bittrex!C333="Buy",Bittrex!D333,IF(Bittrex!C333="Sale",Bittrex!E333,IF(AND(Bittrex!C333="Trade",'Bittrex Data'!C333="Limit_Sell"),Bittrex!E333,IF(AND(Bittrex!C333="Trade",'Bittrex Data'!C333="Limit_Buy"),Bittrex!D333,"")))))</f>
        <v/>
      </c>
      <c r="I333" t="str">
        <f>IF('Bittrex Data'!C333="","",IF(Bittrex!C333="Buy",F333,IF(C333="Sale",Bittrex!G333,IF(AND(C333="Trade",'Bittrex Data'!C333="Limit_Sell"),Bittrex!G333,IF(AND(Bittrex!C333="Trade",'Bittrex Data'!C333="Limit_Buy"),F333,"")))))</f>
        <v/>
      </c>
      <c r="J333" t="str">
        <f>IF('Bittrex Data'!B333="","",IF('Bittrex Data'!B333="","",IF(Bittrex!H333=Bittrex!E333,D333,Bittrex!E333)))</f>
        <v/>
      </c>
      <c r="K333" t="str">
        <f>IF('Bittrex Data'!B333="","",IF(Bittrex!I333=Bittrex!G333,Bittrex!F333,Bittrex!G333))</f>
        <v/>
      </c>
    </row>
    <row r="334" spans="3:11" x14ac:dyDescent="0.2">
      <c r="C334" t="str">
        <f>IF('Bittrex Data'!A334="","",IF(AND('Bittrex Data'!C334="LIMIT_SELL",Bittrex!D334="USD"),"Sale",IF(AND('Bittrex Data'!C334="LIMIT_BUY",Bittrex!D334="USD"),"Buy","Trade")))</f>
        <v/>
      </c>
      <c r="D334" t="str">
        <f>IF('Bittrex Data'!B334="","",LEFT(LEFT('Bittrex Data'!B334,SEARCH("-",'Bittrex Data'!B334,1)),LEN(LEFT('Bittrex Data'!B334,SEARCH("-",'Bittrex Data'!B334,1)))-1))</f>
        <v/>
      </c>
      <c r="E334" t="str">
        <f>IF('Bittrex Data'!B334="","",RIGHT(RIGHT('Bittrex Data'!B334,LEN('Bittrex Data'!B334)-SEARCH("-",'Bittrex Data'!B334,1)+1),LEN(RIGHT('Bittrex Data'!B334,LEN('Bittrex Data'!B334)-SEARCH("-",'Bittrex Data'!B334,1)+1))-1))</f>
        <v/>
      </c>
      <c r="F334" t="str">
        <f>IF('Bittrex Data'!C334="","",IF('Bittrex Data'!C334="Limit_Sell",'Bittrex Data'!G334-'Bittrex Data'!F334,IF('Bittrex Data'!C334="Limit_Buy",'Bittrex Data'!G334+'Bittrex Data'!F334,"")))</f>
        <v/>
      </c>
      <c r="G334" t="str">
        <f>IF('Bittrex Data'!B334="","",'Bittrex Data'!D334)</f>
        <v/>
      </c>
      <c r="H334" t="str">
        <f>IF('Bittrex Data'!C334="","",IF(Bittrex!C334="Buy",Bittrex!D334,IF(Bittrex!C334="Sale",Bittrex!E334,IF(AND(Bittrex!C334="Trade",'Bittrex Data'!C334="Limit_Sell"),Bittrex!E334,IF(AND(Bittrex!C334="Trade",'Bittrex Data'!C334="Limit_Buy"),Bittrex!D334,"")))))</f>
        <v/>
      </c>
      <c r="I334" t="str">
        <f>IF('Bittrex Data'!C334="","",IF(Bittrex!C334="Buy",F334,IF(C334="Sale",Bittrex!G334,IF(AND(C334="Trade",'Bittrex Data'!C334="Limit_Sell"),Bittrex!G334,IF(AND(Bittrex!C334="Trade",'Bittrex Data'!C334="Limit_Buy"),F334,"")))))</f>
        <v/>
      </c>
      <c r="J334" t="str">
        <f>IF('Bittrex Data'!B334="","",IF('Bittrex Data'!B334="","",IF(Bittrex!H334=Bittrex!E334,D334,Bittrex!E334)))</f>
        <v/>
      </c>
      <c r="K334" t="str">
        <f>IF('Bittrex Data'!B334="","",IF(Bittrex!I334=Bittrex!G334,Bittrex!F334,Bittrex!G334))</f>
        <v/>
      </c>
    </row>
    <row r="335" spans="3:11" x14ac:dyDescent="0.2">
      <c r="C335" t="str">
        <f>IF('Bittrex Data'!A335="","",IF(AND('Bittrex Data'!C335="LIMIT_SELL",Bittrex!D335="USD"),"Sale",IF(AND('Bittrex Data'!C335="LIMIT_BUY",Bittrex!D335="USD"),"Buy","Trade")))</f>
        <v/>
      </c>
      <c r="D335" t="str">
        <f>IF('Bittrex Data'!B335="","",LEFT(LEFT('Bittrex Data'!B335,SEARCH("-",'Bittrex Data'!B335,1)),LEN(LEFT('Bittrex Data'!B335,SEARCH("-",'Bittrex Data'!B335,1)))-1))</f>
        <v/>
      </c>
      <c r="E335" t="str">
        <f>IF('Bittrex Data'!B335="","",RIGHT(RIGHT('Bittrex Data'!B335,LEN('Bittrex Data'!B335)-SEARCH("-",'Bittrex Data'!B335,1)+1),LEN(RIGHT('Bittrex Data'!B335,LEN('Bittrex Data'!B335)-SEARCH("-",'Bittrex Data'!B335,1)+1))-1))</f>
        <v/>
      </c>
      <c r="F335" t="str">
        <f>IF('Bittrex Data'!C335="","",IF('Bittrex Data'!C335="Limit_Sell",'Bittrex Data'!G335-'Bittrex Data'!F335,IF('Bittrex Data'!C335="Limit_Buy",'Bittrex Data'!G335+'Bittrex Data'!F335,"")))</f>
        <v/>
      </c>
      <c r="G335" t="str">
        <f>IF('Bittrex Data'!B335="","",'Bittrex Data'!D335)</f>
        <v/>
      </c>
      <c r="H335" t="str">
        <f>IF('Bittrex Data'!C335="","",IF(Bittrex!C335="Buy",Bittrex!D335,IF(Bittrex!C335="Sale",Bittrex!E335,IF(AND(Bittrex!C335="Trade",'Bittrex Data'!C335="Limit_Sell"),Bittrex!E335,IF(AND(Bittrex!C335="Trade",'Bittrex Data'!C335="Limit_Buy"),Bittrex!D335,"")))))</f>
        <v/>
      </c>
      <c r="I335" t="str">
        <f>IF('Bittrex Data'!C335="","",IF(Bittrex!C335="Buy",F335,IF(C335="Sale",Bittrex!G335,IF(AND(C335="Trade",'Bittrex Data'!C335="Limit_Sell"),Bittrex!G335,IF(AND(Bittrex!C335="Trade",'Bittrex Data'!C335="Limit_Buy"),F335,"")))))</f>
        <v/>
      </c>
      <c r="J335" t="str">
        <f>IF('Bittrex Data'!B335="","",IF('Bittrex Data'!B335="","",IF(Bittrex!H335=Bittrex!E335,D335,Bittrex!E335)))</f>
        <v/>
      </c>
      <c r="K335" t="str">
        <f>IF('Bittrex Data'!B335="","",IF(Bittrex!I335=Bittrex!G335,Bittrex!F335,Bittrex!G335))</f>
        <v/>
      </c>
    </row>
    <row r="336" spans="3:11" x14ac:dyDescent="0.2">
      <c r="C336" t="str">
        <f>IF('Bittrex Data'!A336="","",IF(AND('Bittrex Data'!C336="LIMIT_SELL",Bittrex!D336="USD"),"Sale",IF(AND('Bittrex Data'!C336="LIMIT_BUY",Bittrex!D336="USD"),"Buy","Trade")))</f>
        <v/>
      </c>
      <c r="D336" t="str">
        <f>IF('Bittrex Data'!B336="","",LEFT(LEFT('Bittrex Data'!B336,SEARCH("-",'Bittrex Data'!B336,1)),LEN(LEFT('Bittrex Data'!B336,SEARCH("-",'Bittrex Data'!B336,1)))-1))</f>
        <v/>
      </c>
      <c r="E336" t="str">
        <f>IF('Bittrex Data'!B336="","",RIGHT(RIGHT('Bittrex Data'!B336,LEN('Bittrex Data'!B336)-SEARCH("-",'Bittrex Data'!B336,1)+1),LEN(RIGHT('Bittrex Data'!B336,LEN('Bittrex Data'!B336)-SEARCH("-",'Bittrex Data'!B336,1)+1))-1))</f>
        <v/>
      </c>
      <c r="F336" t="str">
        <f>IF('Bittrex Data'!C336="","",IF('Bittrex Data'!C336="Limit_Sell",'Bittrex Data'!G336-'Bittrex Data'!F336,IF('Bittrex Data'!C336="Limit_Buy",'Bittrex Data'!G336+'Bittrex Data'!F336,"")))</f>
        <v/>
      </c>
      <c r="G336" t="str">
        <f>IF('Bittrex Data'!B336="","",'Bittrex Data'!D336)</f>
        <v/>
      </c>
      <c r="H336" t="str">
        <f>IF('Bittrex Data'!C336="","",IF(Bittrex!C336="Buy",Bittrex!D336,IF(Bittrex!C336="Sale",Bittrex!E336,IF(AND(Bittrex!C336="Trade",'Bittrex Data'!C336="Limit_Sell"),Bittrex!E336,IF(AND(Bittrex!C336="Trade",'Bittrex Data'!C336="Limit_Buy"),Bittrex!D336,"")))))</f>
        <v/>
      </c>
      <c r="I336" t="str">
        <f>IF('Bittrex Data'!C336="","",IF(Bittrex!C336="Buy",F336,IF(C336="Sale",Bittrex!G336,IF(AND(C336="Trade",'Bittrex Data'!C336="Limit_Sell"),Bittrex!G336,IF(AND(Bittrex!C336="Trade",'Bittrex Data'!C336="Limit_Buy"),F336,"")))))</f>
        <v/>
      </c>
      <c r="J336" t="str">
        <f>IF('Bittrex Data'!B336="","",IF('Bittrex Data'!B336="","",IF(Bittrex!H336=Bittrex!E336,D336,Bittrex!E336)))</f>
        <v/>
      </c>
      <c r="K336" t="str">
        <f>IF('Bittrex Data'!B336="","",IF(Bittrex!I336=Bittrex!G336,Bittrex!F336,Bittrex!G336))</f>
        <v/>
      </c>
    </row>
    <row r="337" spans="3:11" x14ac:dyDescent="0.2">
      <c r="C337" t="str">
        <f>IF('Bittrex Data'!A337="","",IF(AND('Bittrex Data'!C337="LIMIT_SELL",Bittrex!D337="USD"),"Sale",IF(AND('Bittrex Data'!C337="LIMIT_BUY",Bittrex!D337="USD"),"Buy","Trade")))</f>
        <v/>
      </c>
      <c r="D337" t="str">
        <f>IF('Bittrex Data'!B337="","",LEFT(LEFT('Bittrex Data'!B337,SEARCH("-",'Bittrex Data'!B337,1)),LEN(LEFT('Bittrex Data'!B337,SEARCH("-",'Bittrex Data'!B337,1)))-1))</f>
        <v/>
      </c>
      <c r="E337" t="str">
        <f>IF('Bittrex Data'!B337="","",RIGHT(RIGHT('Bittrex Data'!B337,LEN('Bittrex Data'!B337)-SEARCH("-",'Bittrex Data'!B337,1)+1),LEN(RIGHT('Bittrex Data'!B337,LEN('Bittrex Data'!B337)-SEARCH("-",'Bittrex Data'!B337,1)+1))-1))</f>
        <v/>
      </c>
      <c r="F337" t="str">
        <f>IF('Bittrex Data'!C337="","",IF('Bittrex Data'!C337="Limit_Sell",'Bittrex Data'!G337-'Bittrex Data'!F337,IF('Bittrex Data'!C337="Limit_Buy",'Bittrex Data'!G337+'Bittrex Data'!F337,"")))</f>
        <v/>
      </c>
      <c r="G337" t="str">
        <f>IF('Bittrex Data'!B337="","",'Bittrex Data'!D337)</f>
        <v/>
      </c>
      <c r="H337" t="str">
        <f>IF('Bittrex Data'!C337="","",IF(Bittrex!C337="Buy",Bittrex!D337,IF(Bittrex!C337="Sale",Bittrex!E337,IF(AND(Bittrex!C337="Trade",'Bittrex Data'!C337="Limit_Sell"),Bittrex!E337,IF(AND(Bittrex!C337="Trade",'Bittrex Data'!C337="Limit_Buy"),Bittrex!D337,"")))))</f>
        <v/>
      </c>
      <c r="I337" t="str">
        <f>IF('Bittrex Data'!C337="","",IF(Bittrex!C337="Buy",F337,IF(C337="Sale",Bittrex!G337,IF(AND(C337="Trade",'Bittrex Data'!C337="Limit_Sell"),Bittrex!G337,IF(AND(Bittrex!C337="Trade",'Bittrex Data'!C337="Limit_Buy"),F337,"")))))</f>
        <v/>
      </c>
      <c r="J337" t="str">
        <f>IF('Bittrex Data'!B337="","",IF('Bittrex Data'!B337="","",IF(Bittrex!H337=Bittrex!E337,D337,Bittrex!E337)))</f>
        <v/>
      </c>
      <c r="K337" t="str">
        <f>IF('Bittrex Data'!B337="","",IF(Bittrex!I337=Bittrex!G337,Bittrex!F337,Bittrex!G337))</f>
        <v/>
      </c>
    </row>
    <row r="338" spans="3:11" x14ac:dyDescent="0.2">
      <c r="C338" t="str">
        <f>IF('Bittrex Data'!A338="","",IF(AND('Bittrex Data'!C338="LIMIT_SELL",Bittrex!D338="USD"),"Sale",IF(AND('Bittrex Data'!C338="LIMIT_BUY",Bittrex!D338="USD"),"Buy","Trade")))</f>
        <v/>
      </c>
      <c r="D338" t="str">
        <f>IF('Bittrex Data'!B338="","",LEFT(LEFT('Bittrex Data'!B338,SEARCH("-",'Bittrex Data'!B338,1)),LEN(LEFT('Bittrex Data'!B338,SEARCH("-",'Bittrex Data'!B338,1)))-1))</f>
        <v/>
      </c>
      <c r="E338" t="str">
        <f>IF('Bittrex Data'!B338="","",RIGHT(RIGHT('Bittrex Data'!B338,LEN('Bittrex Data'!B338)-SEARCH("-",'Bittrex Data'!B338,1)+1),LEN(RIGHT('Bittrex Data'!B338,LEN('Bittrex Data'!B338)-SEARCH("-",'Bittrex Data'!B338,1)+1))-1))</f>
        <v/>
      </c>
      <c r="F338" t="str">
        <f>IF('Bittrex Data'!C338="","",IF('Bittrex Data'!C338="Limit_Sell",'Bittrex Data'!G338-'Bittrex Data'!F338,IF('Bittrex Data'!C338="Limit_Buy",'Bittrex Data'!G338+'Bittrex Data'!F338,"")))</f>
        <v/>
      </c>
      <c r="G338" t="str">
        <f>IF('Bittrex Data'!B338="","",'Bittrex Data'!D338)</f>
        <v/>
      </c>
      <c r="H338" t="str">
        <f>IF('Bittrex Data'!C338="","",IF(Bittrex!C338="Buy",Bittrex!D338,IF(Bittrex!C338="Sale",Bittrex!E338,IF(AND(Bittrex!C338="Trade",'Bittrex Data'!C338="Limit_Sell"),Bittrex!E338,IF(AND(Bittrex!C338="Trade",'Bittrex Data'!C338="Limit_Buy"),Bittrex!D338,"")))))</f>
        <v/>
      </c>
      <c r="I338" t="str">
        <f>IF('Bittrex Data'!C338="","",IF(Bittrex!C338="Buy",F338,IF(C338="Sale",Bittrex!G338,IF(AND(C338="Trade",'Bittrex Data'!C338="Limit_Sell"),Bittrex!G338,IF(AND(Bittrex!C338="Trade",'Bittrex Data'!C338="Limit_Buy"),F338,"")))))</f>
        <v/>
      </c>
      <c r="J338" t="str">
        <f>IF('Bittrex Data'!B338="","",IF('Bittrex Data'!B338="","",IF(Bittrex!H338=Bittrex!E338,D338,Bittrex!E338)))</f>
        <v/>
      </c>
      <c r="K338" t="str">
        <f>IF('Bittrex Data'!B338="","",IF(Bittrex!I338=Bittrex!G338,Bittrex!F338,Bittrex!G338))</f>
        <v/>
      </c>
    </row>
    <row r="339" spans="3:11" x14ac:dyDescent="0.2">
      <c r="C339" t="str">
        <f>IF('Bittrex Data'!A339="","",IF(AND('Bittrex Data'!C339="LIMIT_SELL",Bittrex!D339="USD"),"Sale",IF(AND('Bittrex Data'!C339="LIMIT_BUY",Bittrex!D339="USD"),"Buy","Trade")))</f>
        <v/>
      </c>
      <c r="D339" t="str">
        <f>IF('Bittrex Data'!B339="","",LEFT(LEFT('Bittrex Data'!B339,SEARCH("-",'Bittrex Data'!B339,1)),LEN(LEFT('Bittrex Data'!B339,SEARCH("-",'Bittrex Data'!B339,1)))-1))</f>
        <v/>
      </c>
      <c r="E339" t="str">
        <f>IF('Bittrex Data'!B339="","",RIGHT(RIGHT('Bittrex Data'!B339,LEN('Bittrex Data'!B339)-SEARCH("-",'Bittrex Data'!B339,1)+1),LEN(RIGHT('Bittrex Data'!B339,LEN('Bittrex Data'!B339)-SEARCH("-",'Bittrex Data'!B339,1)+1))-1))</f>
        <v/>
      </c>
      <c r="F339" t="str">
        <f>IF('Bittrex Data'!C339="","",IF('Bittrex Data'!C339="Limit_Sell",'Bittrex Data'!G339-'Bittrex Data'!F339,IF('Bittrex Data'!C339="Limit_Buy",'Bittrex Data'!G339+'Bittrex Data'!F339,"")))</f>
        <v/>
      </c>
      <c r="G339" t="str">
        <f>IF('Bittrex Data'!B339="","",'Bittrex Data'!D339)</f>
        <v/>
      </c>
      <c r="H339" t="str">
        <f>IF('Bittrex Data'!C339="","",IF(Bittrex!C339="Buy",Bittrex!D339,IF(Bittrex!C339="Sale",Bittrex!E339,IF(AND(Bittrex!C339="Trade",'Bittrex Data'!C339="Limit_Sell"),Bittrex!E339,IF(AND(Bittrex!C339="Trade",'Bittrex Data'!C339="Limit_Buy"),Bittrex!D339,"")))))</f>
        <v/>
      </c>
      <c r="I339" t="str">
        <f>IF('Bittrex Data'!C339="","",IF(Bittrex!C339="Buy",F339,IF(C339="Sale",Bittrex!G339,IF(AND(C339="Trade",'Bittrex Data'!C339="Limit_Sell"),Bittrex!G339,IF(AND(Bittrex!C339="Trade",'Bittrex Data'!C339="Limit_Buy"),F339,"")))))</f>
        <v/>
      </c>
      <c r="J339" t="str">
        <f>IF('Bittrex Data'!B339="","",IF('Bittrex Data'!B339="","",IF(Bittrex!H339=Bittrex!E339,D339,Bittrex!E339)))</f>
        <v/>
      </c>
      <c r="K339" t="str">
        <f>IF('Bittrex Data'!B339="","",IF(Bittrex!I339=Bittrex!G339,Bittrex!F339,Bittrex!G339))</f>
        <v/>
      </c>
    </row>
    <row r="340" spans="3:11" x14ac:dyDescent="0.2">
      <c r="C340" t="str">
        <f>IF('Bittrex Data'!A340="","",IF(AND('Bittrex Data'!C340="LIMIT_SELL",Bittrex!D340="USD"),"Sale",IF(AND('Bittrex Data'!C340="LIMIT_BUY",Bittrex!D340="USD"),"Buy","Trade")))</f>
        <v/>
      </c>
      <c r="D340" t="str">
        <f>IF('Bittrex Data'!B340="","",LEFT(LEFT('Bittrex Data'!B340,SEARCH("-",'Bittrex Data'!B340,1)),LEN(LEFT('Bittrex Data'!B340,SEARCH("-",'Bittrex Data'!B340,1)))-1))</f>
        <v/>
      </c>
      <c r="E340" t="str">
        <f>IF('Bittrex Data'!B340="","",RIGHT(RIGHT('Bittrex Data'!B340,LEN('Bittrex Data'!B340)-SEARCH("-",'Bittrex Data'!B340,1)+1),LEN(RIGHT('Bittrex Data'!B340,LEN('Bittrex Data'!B340)-SEARCH("-",'Bittrex Data'!B340,1)+1))-1))</f>
        <v/>
      </c>
      <c r="F340" t="str">
        <f>IF('Bittrex Data'!C340="","",IF('Bittrex Data'!C340="Limit_Sell",'Bittrex Data'!G340-'Bittrex Data'!F340,IF('Bittrex Data'!C340="Limit_Buy",'Bittrex Data'!G340+'Bittrex Data'!F340,"")))</f>
        <v/>
      </c>
      <c r="G340" t="str">
        <f>IF('Bittrex Data'!B340="","",'Bittrex Data'!D340)</f>
        <v/>
      </c>
      <c r="H340" t="str">
        <f>IF('Bittrex Data'!C340="","",IF(Bittrex!C340="Buy",Bittrex!D340,IF(Bittrex!C340="Sale",Bittrex!E340,IF(AND(Bittrex!C340="Trade",'Bittrex Data'!C340="Limit_Sell"),Bittrex!E340,IF(AND(Bittrex!C340="Trade",'Bittrex Data'!C340="Limit_Buy"),Bittrex!D340,"")))))</f>
        <v/>
      </c>
      <c r="I340" t="str">
        <f>IF('Bittrex Data'!C340="","",IF(Bittrex!C340="Buy",F340,IF(C340="Sale",Bittrex!G340,IF(AND(C340="Trade",'Bittrex Data'!C340="Limit_Sell"),Bittrex!G340,IF(AND(Bittrex!C340="Trade",'Bittrex Data'!C340="Limit_Buy"),F340,"")))))</f>
        <v/>
      </c>
      <c r="J340" t="str">
        <f>IF('Bittrex Data'!B340="","",IF('Bittrex Data'!B340="","",IF(Bittrex!H340=Bittrex!E340,D340,Bittrex!E340)))</f>
        <v/>
      </c>
      <c r="K340" t="str">
        <f>IF('Bittrex Data'!B340="","",IF(Bittrex!I340=Bittrex!G340,Bittrex!F340,Bittrex!G340))</f>
        <v/>
      </c>
    </row>
    <row r="341" spans="3:11" x14ac:dyDescent="0.2">
      <c r="C341" t="str">
        <f>IF('Bittrex Data'!A341="","",IF(AND('Bittrex Data'!C341="LIMIT_SELL",Bittrex!D341="USD"),"Sale",IF(AND('Bittrex Data'!C341="LIMIT_BUY",Bittrex!D341="USD"),"Buy","Trade")))</f>
        <v/>
      </c>
      <c r="D341" t="str">
        <f>IF('Bittrex Data'!B341="","",LEFT(LEFT('Bittrex Data'!B341,SEARCH("-",'Bittrex Data'!B341,1)),LEN(LEFT('Bittrex Data'!B341,SEARCH("-",'Bittrex Data'!B341,1)))-1))</f>
        <v/>
      </c>
      <c r="E341" t="str">
        <f>IF('Bittrex Data'!B341="","",RIGHT(RIGHT('Bittrex Data'!B341,LEN('Bittrex Data'!B341)-SEARCH("-",'Bittrex Data'!B341,1)+1),LEN(RIGHT('Bittrex Data'!B341,LEN('Bittrex Data'!B341)-SEARCH("-",'Bittrex Data'!B341,1)+1))-1))</f>
        <v/>
      </c>
      <c r="F341" t="str">
        <f>IF('Bittrex Data'!C341="","",IF('Bittrex Data'!C341="Limit_Sell",'Bittrex Data'!G341-'Bittrex Data'!F341,IF('Bittrex Data'!C341="Limit_Buy",'Bittrex Data'!G341+'Bittrex Data'!F341,"")))</f>
        <v/>
      </c>
      <c r="G341" t="str">
        <f>IF('Bittrex Data'!B341="","",'Bittrex Data'!D341)</f>
        <v/>
      </c>
      <c r="H341" t="str">
        <f>IF('Bittrex Data'!C341="","",IF(Bittrex!C341="Buy",Bittrex!D341,IF(Bittrex!C341="Sale",Bittrex!E341,IF(AND(Bittrex!C341="Trade",'Bittrex Data'!C341="Limit_Sell"),Bittrex!E341,IF(AND(Bittrex!C341="Trade",'Bittrex Data'!C341="Limit_Buy"),Bittrex!D341,"")))))</f>
        <v/>
      </c>
      <c r="I341" t="str">
        <f>IF('Bittrex Data'!C341="","",IF(Bittrex!C341="Buy",F341,IF(C341="Sale",Bittrex!G341,IF(AND(C341="Trade",'Bittrex Data'!C341="Limit_Sell"),Bittrex!G341,IF(AND(Bittrex!C341="Trade",'Bittrex Data'!C341="Limit_Buy"),F341,"")))))</f>
        <v/>
      </c>
      <c r="J341" t="str">
        <f>IF('Bittrex Data'!B341="","",IF('Bittrex Data'!B341="","",IF(Bittrex!H341=Bittrex!E341,D341,Bittrex!E341)))</f>
        <v/>
      </c>
      <c r="K341" t="str">
        <f>IF('Bittrex Data'!B341="","",IF(Bittrex!I341=Bittrex!G341,Bittrex!F341,Bittrex!G341))</f>
        <v/>
      </c>
    </row>
    <row r="342" spans="3:11" x14ac:dyDescent="0.2">
      <c r="C342" t="str">
        <f>IF('Bittrex Data'!A342="","",IF(AND('Bittrex Data'!C342="LIMIT_SELL",Bittrex!D342="USD"),"Sale",IF(AND('Bittrex Data'!C342="LIMIT_BUY",Bittrex!D342="USD"),"Buy","Trade")))</f>
        <v/>
      </c>
      <c r="D342" t="str">
        <f>IF('Bittrex Data'!B342="","",LEFT(LEFT('Bittrex Data'!B342,SEARCH("-",'Bittrex Data'!B342,1)),LEN(LEFT('Bittrex Data'!B342,SEARCH("-",'Bittrex Data'!B342,1)))-1))</f>
        <v/>
      </c>
      <c r="E342" t="str">
        <f>IF('Bittrex Data'!B342="","",RIGHT(RIGHT('Bittrex Data'!B342,LEN('Bittrex Data'!B342)-SEARCH("-",'Bittrex Data'!B342,1)+1),LEN(RIGHT('Bittrex Data'!B342,LEN('Bittrex Data'!B342)-SEARCH("-",'Bittrex Data'!B342,1)+1))-1))</f>
        <v/>
      </c>
      <c r="F342" t="str">
        <f>IF('Bittrex Data'!C342="","",IF('Bittrex Data'!C342="Limit_Sell",'Bittrex Data'!G342-'Bittrex Data'!F342,IF('Bittrex Data'!C342="Limit_Buy",'Bittrex Data'!G342+'Bittrex Data'!F342,"")))</f>
        <v/>
      </c>
      <c r="G342" t="str">
        <f>IF('Bittrex Data'!B342="","",'Bittrex Data'!D342)</f>
        <v/>
      </c>
      <c r="H342" t="str">
        <f>IF('Bittrex Data'!C342="","",IF(Bittrex!C342="Buy",Bittrex!D342,IF(Bittrex!C342="Sale",Bittrex!E342,IF(AND(Bittrex!C342="Trade",'Bittrex Data'!C342="Limit_Sell"),Bittrex!E342,IF(AND(Bittrex!C342="Trade",'Bittrex Data'!C342="Limit_Buy"),Bittrex!D342,"")))))</f>
        <v/>
      </c>
      <c r="I342" t="str">
        <f>IF('Bittrex Data'!C342="","",IF(Bittrex!C342="Buy",F342,IF(C342="Sale",Bittrex!G342,IF(AND(C342="Trade",'Bittrex Data'!C342="Limit_Sell"),Bittrex!G342,IF(AND(Bittrex!C342="Trade",'Bittrex Data'!C342="Limit_Buy"),F342,"")))))</f>
        <v/>
      </c>
      <c r="J342" t="str">
        <f>IF('Bittrex Data'!B342="","",IF('Bittrex Data'!B342="","",IF(Bittrex!H342=Bittrex!E342,D342,Bittrex!E342)))</f>
        <v/>
      </c>
      <c r="K342" t="str">
        <f>IF('Bittrex Data'!B342="","",IF(Bittrex!I342=Bittrex!G342,Bittrex!F342,Bittrex!G342))</f>
        <v/>
      </c>
    </row>
    <row r="343" spans="3:11" x14ac:dyDescent="0.2">
      <c r="C343" t="str">
        <f>IF('Bittrex Data'!A343="","",IF(AND('Bittrex Data'!C343="LIMIT_SELL",Bittrex!D343="USD"),"Sale",IF(AND('Bittrex Data'!C343="LIMIT_BUY",Bittrex!D343="USD"),"Buy","Trade")))</f>
        <v/>
      </c>
      <c r="D343" t="str">
        <f>IF('Bittrex Data'!B343="","",LEFT(LEFT('Bittrex Data'!B343,SEARCH("-",'Bittrex Data'!B343,1)),LEN(LEFT('Bittrex Data'!B343,SEARCH("-",'Bittrex Data'!B343,1)))-1))</f>
        <v/>
      </c>
      <c r="E343" t="str">
        <f>IF('Bittrex Data'!B343="","",RIGHT(RIGHT('Bittrex Data'!B343,LEN('Bittrex Data'!B343)-SEARCH("-",'Bittrex Data'!B343,1)+1),LEN(RIGHT('Bittrex Data'!B343,LEN('Bittrex Data'!B343)-SEARCH("-",'Bittrex Data'!B343,1)+1))-1))</f>
        <v/>
      </c>
      <c r="F343" t="str">
        <f>IF('Bittrex Data'!C343="","",IF('Bittrex Data'!C343="Limit_Sell",'Bittrex Data'!G343-'Bittrex Data'!F343,IF('Bittrex Data'!C343="Limit_Buy",'Bittrex Data'!G343+'Bittrex Data'!F343,"")))</f>
        <v/>
      </c>
      <c r="G343" t="str">
        <f>IF('Bittrex Data'!B343="","",'Bittrex Data'!D343)</f>
        <v/>
      </c>
      <c r="H343" t="str">
        <f>IF('Bittrex Data'!C343="","",IF(Bittrex!C343="Buy",Bittrex!D343,IF(Bittrex!C343="Sale",Bittrex!E343,IF(AND(Bittrex!C343="Trade",'Bittrex Data'!C343="Limit_Sell"),Bittrex!E343,IF(AND(Bittrex!C343="Trade",'Bittrex Data'!C343="Limit_Buy"),Bittrex!D343,"")))))</f>
        <v/>
      </c>
      <c r="I343" t="str">
        <f>IF('Bittrex Data'!C343="","",IF(Bittrex!C343="Buy",F343,IF(C343="Sale",Bittrex!G343,IF(AND(C343="Trade",'Bittrex Data'!C343="Limit_Sell"),Bittrex!G343,IF(AND(Bittrex!C343="Trade",'Bittrex Data'!C343="Limit_Buy"),F343,"")))))</f>
        <v/>
      </c>
      <c r="J343" t="str">
        <f>IF('Bittrex Data'!B343="","",IF('Bittrex Data'!B343="","",IF(Bittrex!H343=Bittrex!E343,D343,Bittrex!E343)))</f>
        <v/>
      </c>
      <c r="K343" t="str">
        <f>IF('Bittrex Data'!B343="","",IF(Bittrex!I343=Bittrex!G343,Bittrex!F343,Bittrex!G343))</f>
        <v/>
      </c>
    </row>
    <row r="344" spans="3:11" x14ac:dyDescent="0.2">
      <c r="C344" t="str">
        <f>IF('Bittrex Data'!A344="","",IF(AND('Bittrex Data'!C344="LIMIT_SELL",Bittrex!D344="USD"),"Sale",IF(AND('Bittrex Data'!C344="LIMIT_BUY",Bittrex!D344="USD"),"Buy","Trade")))</f>
        <v/>
      </c>
      <c r="D344" t="str">
        <f>IF('Bittrex Data'!B344="","",LEFT(LEFT('Bittrex Data'!B344,SEARCH("-",'Bittrex Data'!B344,1)),LEN(LEFT('Bittrex Data'!B344,SEARCH("-",'Bittrex Data'!B344,1)))-1))</f>
        <v/>
      </c>
      <c r="E344" t="str">
        <f>IF('Bittrex Data'!B344="","",RIGHT(RIGHT('Bittrex Data'!B344,LEN('Bittrex Data'!B344)-SEARCH("-",'Bittrex Data'!B344,1)+1),LEN(RIGHT('Bittrex Data'!B344,LEN('Bittrex Data'!B344)-SEARCH("-",'Bittrex Data'!B344,1)+1))-1))</f>
        <v/>
      </c>
      <c r="F344" t="str">
        <f>IF('Bittrex Data'!C344="","",IF('Bittrex Data'!C344="Limit_Sell",'Bittrex Data'!G344-'Bittrex Data'!F344,IF('Bittrex Data'!C344="Limit_Buy",'Bittrex Data'!G344+'Bittrex Data'!F344,"")))</f>
        <v/>
      </c>
      <c r="G344" t="str">
        <f>IF('Bittrex Data'!B344="","",'Bittrex Data'!D344)</f>
        <v/>
      </c>
      <c r="H344" t="str">
        <f>IF('Bittrex Data'!C344="","",IF(Bittrex!C344="Buy",Bittrex!D344,IF(Bittrex!C344="Sale",Bittrex!E344,IF(AND(Bittrex!C344="Trade",'Bittrex Data'!C344="Limit_Sell"),Bittrex!E344,IF(AND(Bittrex!C344="Trade",'Bittrex Data'!C344="Limit_Buy"),Bittrex!D344,"")))))</f>
        <v/>
      </c>
      <c r="I344" t="str">
        <f>IF('Bittrex Data'!C344="","",IF(Bittrex!C344="Buy",F344,IF(C344="Sale",Bittrex!G344,IF(AND(C344="Trade",'Bittrex Data'!C344="Limit_Sell"),Bittrex!G344,IF(AND(Bittrex!C344="Trade",'Bittrex Data'!C344="Limit_Buy"),F344,"")))))</f>
        <v/>
      </c>
      <c r="J344" t="str">
        <f>IF('Bittrex Data'!B344="","",IF('Bittrex Data'!B344="","",IF(Bittrex!H344=Bittrex!E344,D344,Bittrex!E344)))</f>
        <v/>
      </c>
      <c r="K344" t="str">
        <f>IF('Bittrex Data'!B344="","",IF(Bittrex!I344=Bittrex!G344,Bittrex!F344,Bittrex!G344))</f>
        <v/>
      </c>
    </row>
    <row r="345" spans="3:11" x14ac:dyDescent="0.2">
      <c r="C345" t="str">
        <f>IF('Bittrex Data'!A345="","",IF(AND('Bittrex Data'!C345="LIMIT_SELL",Bittrex!D345="USD"),"Sale",IF(AND('Bittrex Data'!C345="LIMIT_BUY",Bittrex!D345="USD"),"Buy","Trade")))</f>
        <v/>
      </c>
      <c r="D345" t="str">
        <f>IF('Bittrex Data'!B345="","",LEFT(LEFT('Bittrex Data'!B345,SEARCH("-",'Bittrex Data'!B345,1)),LEN(LEFT('Bittrex Data'!B345,SEARCH("-",'Bittrex Data'!B345,1)))-1))</f>
        <v/>
      </c>
      <c r="E345" t="str">
        <f>IF('Bittrex Data'!B345="","",RIGHT(RIGHT('Bittrex Data'!B345,LEN('Bittrex Data'!B345)-SEARCH("-",'Bittrex Data'!B345,1)+1),LEN(RIGHT('Bittrex Data'!B345,LEN('Bittrex Data'!B345)-SEARCH("-",'Bittrex Data'!B345,1)+1))-1))</f>
        <v/>
      </c>
      <c r="F345" t="str">
        <f>IF('Bittrex Data'!C345="","",IF('Bittrex Data'!C345="Limit_Sell",'Bittrex Data'!G345-'Bittrex Data'!F345,IF('Bittrex Data'!C345="Limit_Buy",'Bittrex Data'!G345+'Bittrex Data'!F345,"")))</f>
        <v/>
      </c>
      <c r="G345" t="str">
        <f>IF('Bittrex Data'!B345="","",'Bittrex Data'!D345)</f>
        <v/>
      </c>
      <c r="H345" t="str">
        <f>IF('Bittrex Data'!C345="","",IF(Bittrex!C345="Buy",Bittrex!D345,IF(Bittrex!C345="Sale",Bittrex!E345,IF(AND(Bittrex!C345="Trade",'Bittrex Data'!C345="Limit_Sell"),Bittrex!E345,IF(AND(Bittrex!C345="Trade",'Bittrex Data'!C345="Limit_Buy"),Bittrex!D345,"")))))</f>
        <v/>
      </c>
      <c r="I345" t="str">
        <f>IF('Bittrex Data'!C345="","",IF(Bittrex!C345="Buy",F345,IF(C345="Sale",Bittrex!G345,IF(AND(C345="Trade",'Bittrex Data'!C345="Limit_Sell"),Bittrex!G345,IF(AND(Bittrex!C345="Trade",'Bittrex Data'!C345="Limit_Buy"),F345,"")))))</f>
        <v/>
      </c>
      <c r="J345" t="str">
        <f>IF('Bittrex Data'!B345="","",IF('Bittrex Data'!B345="","",IF(Bittrex!H345=Bittrex!E345,D345,Bittrex!E345)))</f>
        <v/>
      </c>
      <c r="K345" t="str">
        <f>IF('Bittrex Data'!B345="","",IF(Bittrex!I345=Bittrex!G345,Bittrex!F345,Bittrex!G345))</f>
        <v/>
      </c>
    </row>
    <row r="346" spans="3:11" x14ac:dyDescent="0.2">
      <c r="C346" t="str">
        <f>IF('Bittrex Data'!A346="","",IF(AND('Bittrex Data'!C346="LIMIT_SELL",Bittrex!D346="USD"),"Sale",IF(AND('Bittrex Data'!C346="LIMIT_BUY",Bittrex!D346="USD"),"Buy","Trade")))</f>
        <v/>
      </c>
      <c r="D346" t="str">
        <f>IF('Bittrex Data'!B346="","",LEFT(LEFT('Bittrex Data'!B346,SEARCH("-",'Bittrex Data'!B346,1)),LEN(LEFT('Bittrex Data'!B346,SEARCH("-",'Bittrex Data'!B346,1)))-1))</f>
        <v/>
      </c>
      <c r="E346" t="str">
        <f>IF('Bittrex Data'!B346="","",RIGHT(RIGHT('Bittrex Data'!B346,LEN('Bittrex Data'!B346)-SEARCH("-",'Bittrex Data'!B346,1)+1),LEN(RIGHT('Bittrex Data'!B346,LEN('Bittrex Data'!B346)-SEARCH("-",'Bittrex Data'!B346,1)+1))-1))</f>
        <v/>
      </c>
      <c r="F346" t="str">
        <f>IF('Bittrex Data'!C346="","",IF('Bittrex Data'!C346="Limit_Sell",'Bittrex Data'!G346-'Bittrex Data'!F346,IF('Bittrex Data'!C346="Limit_Buy",'Bittrex Data'!G346+'Bittrex Data'!F346,"")))</f>
        <v/>
      </c>
      <c r="G346" t="str">
        <f>IF('Bittrex Data'!B346="","",'Bittrex Data'!D346)</f>
        <v/>
      </c>
      <c r="H346" t="str">
        <f>IF('Bittrex Data'!C346="","",IF(Bittrex!C346="Buy",Bittrex!D346,IF(Bittrex!C346="Sale",Bittrex!E346,IF(AND(Bittrex!C346="Trade",'Bittrex Data'!C346="Limit_Sell"),Bittrex!E346,IF(AND(Bittrex!C346="Trade",'Bittrex Data'!C346="Limit_Buy"),Bittrex!D346,"")))))</f>
        <v/>
      </c>
      <c r="I346" t="str">
        <f>IF('Bittrex Data'!C346="","",IF(Bittrex!C346="Buy",F346,IF(C346="Sale",Bittrex!G346,IF(AND(C346="Trade",'Bittrex Data'!C346="Limit_Sell"),Bittrex!G346,IF(AND(Bittrex!C346="Trade",'Bittrex Data'!C346="Limit_Buy"),F346,"")))))</f>
        <v/>
      </c>
      <c r="J346" t="str">
        <f>IF('Bittrex Data'!B346="","",IF('Bittrex Data'!B346="","",IF(Bittrex!H346=Bittrex!E346,D346,Bittrex!E346)))</f>
        <v/>
      </c>
      <c r="K346" t="str">
        <f>IF('Bittrex Data'!B346="","",IF(Bittrex!I346=Bittrex!G346,Bittrex!F346,Bittrex!G346))</f>
        <v/>
      </c>
    </row>
    <row r="347" spans="3:11" x14ac:dyDescent="0.2">
      <c r="C347" t="str">
        <f>IF('Bittrex Data'!A347="","",IF(AND('Bittrex Data'!C347="LIMIT_SELL",Bittrex!D347="USD"),"Sale",IF(AND('Bittrex Data'!C347="LIMIT_BUY",Bittrex!D347="USD"),"Buy","Trade")))</f>
        <v/>
      </c>
      <c r="D347" t="str">
        <f>IF('Bittrex Data'!B347="","",LEFT(LEFT('Bittrex Data'!B347,SEARCH("-",'Bittrex Data'!B347,1)),LEN(LEFT('Bittrex Data'!B347,SEARCH("-",'Bittrex Data'!B347,1)))-1))</f>
        <v/>
      </c>
      <c r="E347" t="str">
        <f>IF('Bittrex Data'!B347="","",RIGHT(RIGHT('Bittrex Data'!B347,LEN('Bittrex Data'!B347)-SEARCH("-",'Bittrex Data'!B347,1)+1),LEN(RIGHT('Bittrex Data'!B347,LEN('Bittrex Data'!B347)-SEARCH("-",'Bittrex Data'!B347,1)+1))-1))</f>
        <v/>
      </c>
      <c r="F347" t="str">
        <f>IF('Bittrex Data'!C347="","",IF('Bittrex Data'!C347="Limit_Sell",'Bittrex Data'!G347-'Bittrex Data'!F347,IF('Bittrex Data'!C347="Limit_Buy",'Bittrex Data'!G347+'Bittrex Data'!F347,"")))</f>
        <v/>
      </c>
      <c r="G347" t="str">
        <f>IF('Bittrex Data'!B347="","",'Bittrex Data'!D347)</f>
        <v/>
      </c>
      <c r="H347" t="str">
        <f>IF('Bittrex Data'!C347="","",IF(Bittrex!C347="Buy",Bittrex!D347,IF(Bittrex!C347="Sale",Bittrex!E347,IF(AND(Bittrex!C347="Trade",'Bittrex Data'!C347="Limit_Sell"),Bittrex!E347,IF(AND(Bittrex!C347="Trade",'Bittrex Data'!C347="Limit_Buy"),Bittrex!D347,"")))))</f>
        <v/>
      </c>
      <c r="I347" t="str">
        <f>IF('Bittrex Data'!C347="","",IF(Bittrex!C347="Buy",F347,IF(C347="Sale",Bittrex!G347,IF(AND(C347="Trade",'Bittrex Data'!C347="Limit_Sell"),Bittrex!G347,IF(AND(Bittrex!C347="Trade",'Bittrex Data'!C347="Limit_Buy"),F347,"")))))</f>
        <v/>
      </c>
      <c r="J347" t="str">
        <f>IF('Bittrex Data'!B347="","",IF('Bittrex Data'!B347="","",IF(Bittrex!H347=Bittrex!E347,D347,Bittrex!E347)))</f>
        <v/>
      </c>
      <c r="K347" t="str">
        <f>IF('Bittrex Data'!B347="","",IF(Bittrex!I347=Bittrex!G347,Bittrex!F347,Bittrex!G347))</f>
        <v/>
      </c>
    </row>
    <row r="348" spans="3:11" x14ac:dyDescent="0.2">
      <c r="C348" t="str">
        <f>IF('Bittrex Data'!A348="","",IF(AND('Bittrex Data'!C348="LIMIT_SELL",Bittrex!D348="USD"),"Sale",IF(AND('Bittrex Data'!C348="LIMIT_BUY",Bittrex!D348="USD"),"Buy","Trade")))</f>
        <v/>
      </c>
      <c r="D348" t="str">
        <f>IF('Bittrex Data'!B348="","",LEFT(LEFT('Bittrex Data'!B348,SEARCH("-",'Bittrex Data'!B348,1)),LEN(LEFT('Bittrex Data'!B348,SEARCH("-",'Bittrex Data'!B348,1)))-1))</f>
        <v/>
      </c>
      <c r="E348" t="str">
        <f>IF('Bittrex Data'!B348="","",RIGHT(RIGHT('Bittrex Data'!B348,LEN('Bittrex Data'!B348)-SEARCH("-",'Bittrex Data'!B348,1)+1),LEN(RIGHT('Bittrex Data'!B348,LEN('Bittrex Data'!B348)-SEARCH("-",'Bittrex Data'!B348,1)+1))-1))</f>
        <v/>
      </c>
      <c r="F348" t="str">
        <f>IF('Bittrex Data'!C348="","",IF('Bittrex Data'!C348="Limit_Sell",'Bittrex Data'!G348-'Bittrex Data'!F348,IF('Bittrex Data'!C348="Limit_Buy",'Bittrex Data'!G348+'Bittrex Data'!F348,"")))</f>
        <v/>
      </c>
      <c r="G348" t="str">
        <f>IF('Bittrex Data'!B348="","",'Bittrex Data'!D348)</f>
        <v/>
      </c>
      <c r="H348" t="str">
        <f>IF('Bittrex Data'!C348="","",IF(Bittrex!C348="Buy",Bittrex!D348,IF(Bittrex!C348="Sale",Bittrex!E348,IF(AND(Bittrex!C348="Trade",'Bittrex Data'!C348="Limit_Sell"),Bittrex!E348,IF(AND(Bittrex!C348="Trade",'Bittrex Data'!C348="Limit_Buy"),Bittrex!D348,"")))))</f>
        <v/>
      </c>
      <c r="I348" t="str">
        <f>IF('Bittrex Data'!C348="","",IF(Bittrex!C348="Buy",F348,IF(C348="Sale",Bittrex!G348,IF(AND(C348="Trade",'Bittrex Data'!C348="Limit_Sell"),Bittrex!G348,IF(AND(Bittrex!C348="Trade",'Bittrex Data'!C348="Limit_Buy"),F348,"")))))</f>
        <v/>
      </c>
      <c r="J348" t="str">
        <f>IF('Bittrex Data'!B348="","",IF('Bittrex Data'!B348="","",IF(Bittrex!H348=Bittrex!E348,D348,Bittrex!E348)))</f>
        <v/>
      </c>
      <c r="K348" t="str">
        <f>IF('Bittrex Data'!B348="","",IF(Bittrex!I348=Bittrex!G348,Bittrex!F348,Bittrex!G348))</f>
        <v/>
      </c>
    </row>
    <row r="349" spans="3:11" x14ac:dyDescent="0.2">
      <c r="C349" t="str">
        <f>IF('Bittrex Data'!A349="","",IF(AND('Bittrex Data'!C349="LIMIT_SELL",Bittrex!D349="USD"),"Sale",IF(AND('Bittrex Data'!C349="LIMIT_BUY",Bittrex!D349="USD"),"Buy","Trade")))</f>
        <v/>
      </c>
      <c r="D349" t="str">
        <f>IF('Bittrex Data'!B349="","",LEFT(LEFT('Bittrex Data'!B349,SEARCH("-",'Bittrex Data'!B349,1)),LEN(LEFT('Bittrex Data'!B349,SEARCH("-",'Bittrex Data'!B349,1)))-1))</f>
        <v/>
      </c>
      <c r="E349" t="str">
        <f>IF('Bittrex Data'!B349="","",RIGHT(RIGHT('Bittrex Data'!B349,LEN('Bittrex Data'!B349)-SEARCH("-",'Bittrex Data'!B349,1)+1),LEN(RIGHT('Bittrex Data'!B349,LEN('Bittrex Data'!B349)-SEARCH("-",'Bittrex Data'!B349,1)+1))-1))</f>
        <v/>
      </c>
      <c r="F349" t="str">
        <f>IF('Bittrex Data'!C349="","",IF('Bittrex Data'!C349="Limit_Sell",'Bittrex Data'!G349-'Bittrex Data'!F349,IF('Bittrex Data'!C349="Limit_Buy",'Bittrex Data'!G349+'Bittrex Data'!F349,"")))</f>
        <v/>
      </c>
      <c r="G349" t="str">
        <f>IF('Bittrex Data'!B349="","",'Bittrex Data'!D349)</f>
        <v/>
      </c>
      <c r="H349" t="str">
        <f>IF('Bittrex Data'!C349="","",IF(Bittrex!C349="Buy",Bittrex!D349,IF(Bittrex!C349="Sale",Bittrex!E349,IF(AND(Bittrex!C349="Trade",'Bittrex Data'!C349="Limit_Sell"),Bittrex!E349,IF(AND(Bittrex!C349="Trade",'Bittrex Data'!C349="Limit_Buy"),Bittrex!D349,"")))))</f>
        <v/>
      </c>
      <c r="I349" t="str">
        <f>IF('Bittrex Data'!C349="","",IF(Bittrex!C349="Buy",F349,IF(C349="Sale",Bittrex!G349,IF(AND(C349="Trade",'Bittrex Data'!C349="Limit_Sell"),Bittrex!G349,IF(AND(Bittrex!C349="Trade",'Bittrex Data'!C349="Limit_Buy"),F349,"")))))</f>
        <v/>
      </c>
      <c r="J349" t="str">
        <f>IF('Bittrex Data'!B349="","",IF('Bittrex Data'!B349="","",IF(Bittrex!H349=Bittrex!E349,D349,Bittrex!E349)))</f>
        <v/>
      </c>
      <c r="K349" t="str">
        <f>IF('Bittrex Data'!B349="","",IF(Bittrex!I349=Bittrex!G349,Bittrex!F349,Bittrex!G349))</f>
        <v/>
      </c>
    </row>
    <row r="350" spans="3:11" x14ac:dyDescent="0.2">
      <c r="C350" t="str">
        <f>IF('Bittrex Data'!A350="","",IF(AND('Bittrex Data'!C350="LIMIT_SELL",Bittrex!D350="USD"),"Sale",IF(AND('Bittrex Data'!C350="LIMIT_BUY",Bittrex!D350="USD"),"Buy","Trade")))</f>
        <v/>
      </c>
      <c r="D350" t="str">
        <f>IF('Bittrex Data'!B350="","",LEFT(LEFT('Bittrex Data'!B350,SEARCH("-",'Bittrex Data'!B350,1)),LEN(LEFT('Bittrex Data'!B350,SEARCH("-",'Bittrex Data'!B350,1)))-1))</f>
        <v/>
      </c>
      <c r="E350" t="str">
        <f>IF('Bittrex Data'!B350="","",RIGHT(RIGHT('Bittrex Data'!B350,LEN('Bittrex Data'!B350)-SEARCH("-",'Bittrex Data'!B350,1)+1),LEN(RIGHT('Bittrex Data'!B350,LEN('Bittrex Data'!B350)-SEARCH("-",'Bittrex Data'!B350,1)+1))-1))</f>
        <v/>
      </c>
      <c r="F350" t="str">
        <f>IF('Bittrex Data'!C350="","",IF('Bittrex Data'!C350="Limit_Sell",'Bittrex Data'!G350-'Bittrex Data'!F350,IF('Bittrex Data'!C350="Limit_Buy",'Bittrex Data'!G350+'Bittrex Data'!F350,"")))</f>
        <v/>
      </c>
      <c r="G350" t="str">
        <f>IF('Bittrex Data'!B350="","",'Bittrex Data'!D350)</f>
        <v/>
      </c>
      <c r="H350" t="str">
        <f>IF('Bittrex Data'!C350="","",IF(Bittrex!C350="Buy",Bittrex!D350,IF(Bittrex!C350="Sale",Bittrex!E350,IF(AND(Bittrex!C350="Trade",'Bittrex Data'!C350="Limit_Sell"),Bittrex!E350,IF(AND(Bittrex!C350="Trade",'Bittrex Data'!C350="Limit_Buy"),Bittrex!D350,"")))))</f>
        <v/>
      </c>
      <c r="I350" t="str">
        <f>IF('Bittrex Data'!C350="","",IF(Bittrex!C350="Buy",F350,IF(C350="Sale",Bittrex!G350,IF(AND(C350="Trade",'Bittrex Data'!C350="Limit_Sell"),Bittrex!G350,IF(AND(Bittrex!C350="Trade",'Bittrex Data'!C350="Limit_Buy"),F350,"")))))</f>
        <v/>
      </c>
      <c r="J350" t="str">
        <f>IF('Bittrex Data'!B350="","",IF('Bittrex Data'!B350="","",IF(Bittrex!H350=Bittrex!E350,D350,Bittrex!E350)))</f>
        <v/>
      </c>
      <c r="K350" t="str">
        <f>IF('Bittrex Data'!B350="","",IF(Bittrex!I350=Bittrex!G350,Bittrex!F350,Bittrex!G350))</f>
        <v/>
      </c>
    </row>
    <row r="351" spans="3:11" x14ac:dyDescent="0.2">
      <c r="C351" t="str">
        <f>IF('Bittrex Data'!A351="","",IF(AND('Bittrex Data'!C351="LIMIT_SELL",Bittrex!D351="USD"),"Sale",IF(AND('Bittrex Data'!C351="LIMIT_BUY",Bittrex!D351="USD"),"Buy","Trade")))</f>
        <v/>
      </c>
      <c r="D351" t="str">
        <f>IF('Bittrex Data'!B351="","",LEFT(LEFT('Bittrex Data'!B351,SEARCH("-",'Bittrex Data'!B351,1)),LEN(LEFT('Bittrex Data'!B351,SEARCH("-",'Bittrex Data'!B351,1)))-1))</f>
        <v/>
      </c>
      <c r="E351" t="str">
        <f>IF('Bittrex Data'!B351="","",RIGHT(RIGHT('Bittrex Data'!B351,LEN('Bittrex Data'!B351)-SEARCH("-",'Bittrex Data'!B351,1)+1),LEN(RIGHT('Bittrex Data'!B351,LEN('Bittrex Data'!B351)-SEARCH("-",'Bittrex Data'!B351,1)+1))-1))</f>
        <v/>
      </c>
      <c r="F351" t="str">
        <f>IF('Bittrex Data'!C351="","",IF('Bittrex Data'!C351="Limit_Sell",'Bittrex Data'!G351-'Bittrex Data'!F351,IF('Bittrex Data'!C351="Limit_Buy",'Bittrex Data'!G351+'Bittrex Data'!F351,"")))</f>
        <v/>
      </c>
      <c r="G351" t="str">
        <f>IF('Bittrex Data'!B351="","",'Bittrex Data'!D351)</f>
        <v/>
      </c>
      <c r="H351" t="str">
        <f>IF('Bittrex Data'!C351="","",IF(Bittrex!C351="Buy",Bittrex!D351,IF(Bittrex!C351="Sale",Bittrex!E351,IF(AND(Bittrex!C351="Trade",'Bittrex Data'!C351="Limit_Sell"),Bittrex!E351,IF(AND(Bittrex!C351="Trade",'Bittrex Data'!C351="Limit_Buy"),Bittrex!D351,"")))))</f>
        <v/>
      </c>
      <c r="I351" t="str">
        <f>IF('Bittrex Data'!C351="","",IF(Bittrex!C351="Buy",F351,IF(C351="Sale",Bittrex!G351,IF(AND(C351="Trade",'Bittrex Data'!C351="Limit_Sell"),Bittrex!G351,IF(AND(Bittrex!C351="Trade",'Bittrex Data'!C351="Limit_Buy"),F351,"")))))</f>
        <v/>
      </c>
      <c r="J351" t="str">
        <f>IF('Bittrex Data'!B351="","",IF('Bittrex Data'!B351="","",IF(Bittrex!H351=Bittrex!E351,D351,Bittrex!E351)))</f>
        <v/>
      </c>
      <c r="K351" t="str">
        <f>IF('Bittrex Data'!B351="","",IF(Bittrex!I351=Bittrex!G351,Bittrex!F351,Bittrex!G351))</f>
        <v/>
      </c>
    </row>
    <row r="352" spans="3:11" x14ac:dyDescent="0.2">
      <c r="C352" t="str">
        <f>IF('Bittrex Data'!A352="","",IF(AND('Bittrex Data'!C352="LIMIT_SELL",Bittrex!D352="USD"),"Sale",IF(AND('Bittrex Data'!C352="LIMIT_BUY",Bittrex!D352="USD"),"Buy","Trade")))</f>
        <v/>
      </c>
      <c r="D352" t="str">
        <f>IF('Bittrex Data'!B352="","",LEFT(LEFT('Bittrex Data'!B352,SEARCH("-",'Bittrex Data'!B352,1)),LEN(LEFT('Bittrex Data'!B352,SEARCH("-",'Bittrex Data'!B352,1)))-1))</f>
        <v/>
      </c>
      <c r="E352" t="str">
        <f>IF('Bittrex Data'!B352="","",RIGHT(RIGHT('Bittrex Data'!B352,LEN('Bittrex Data'!B352)-SEARCH("-",'Bittrex Data'!B352,1)+1),LEN(RIGHT('Bittrex Data'!B352,LEN('Bittrex Data'!B352)-SEARCH("-",'Bittrex Data'!B352,1)+1))-1))</f>
        <v/>
      </c>
      <c r="F352" t="str">
        <f>IF('Bittrex Data'!C352="","",IF('Bittrex Data'!C352="Limit_Sell",'Bittrex Data'!G352-'Bittrex Data'!F352,IF('Bittrex Data'!C352="Limit_Buy",'Bittrex Data'!G352+'Bittrex Data'!F352,"")))</f>
        <v/>
      </c>
      <c r="G352" t="str">
        <f>IF('Bittrex Data'!B352="","",'Bittrex Data'!D352)</f>
        <v/>
      </c>
      <c r="H352" t="str">
        <f>IF('Bittrex Data'!C352="","",IF(Bittrex!C352="Buy",Bittrex!D352,IF(Bittrex!C352="Sale",Bittrex!E352,IF(AND(Bittrex!C352="Trade",'Bittrex Data'!C352="Limit_Sell"),Bittrex!E352,IF(AND(Bittrex!C352="Trade",'Bittrex Data'!C352="Limit_Buy"),Bittrex!D352,"")))))</f>
        <v/>
      </c>
      <c r="I352" t="str">
        <f>IF('Bittrex Data'!C352="","",IF(Bittrex!C352="Buy",F352,IF(C352="Sale",Bittrex!G352,IF(AND(C352="Trade",'Bittrex Data'!C352="Limit_Sell"),Bittrex!G352,IF(AND(Bittrex!C352="Trade",'Bittrex Data'!C352="Limit_Buy"),F352,"")))))</f>
        <v/>
      </c>
      <c r="J352" t="str">
        <f>IF('Bittrex Data'!B352="","",IF('Bittrex Data'!B352="","",IF(Bittrex!H352=Bittrex!E352,D352,Bittrex!E352)))</f>
        <v/>
      </c>
      <c r="K352" t="str">
        <f>IF('Bittrex Data'!B352="","",IF(Bittrex!I352=Bittrex!G352,Bittrex!F352,Bittrex!G352))</f>
        <v/>
      </c>
    </row>
    <row r="353" spans="3:11" x14ac:dyDescent="0.2">
      <c r="C353" t="str">
        <f>IF('Bittrex Data'!A353="","",IF(AND('Bittrex Data'!C353="LIMIT_SELL",Bittrex!D353="USD"),"Sale",IF(AND('Bittrex Data'!C353="LIMIT_BUY",Bittrex!D353="USD"),"Buy","Trade")))</f>
        <v/>
      </c>
      <c r="D353" t="str">
        <f>IF('Bittrex Data'!B353="","",LEFT(LEFT('Bittrex Data'!B353,SEARCH("-",'Bittrex Data'!B353,1)),LEN(LEFT('Bittrex Data'!B353,SEARCH("-",'Bittrex Data'!B353,1)))-1))</f>
        <v/>
      </c>
      <c r="E353" t="str">
        <f>IF('Bittrex Data'!B353="","",RIGHT(RIGHT('Bittrex Data'!B353,LEN('Bittrex Data'!B353)-SEARCH("-",'Bittrex Data'!B353,1)+1),LEN(RIGHT('Bittrex Data'!B353,LEN('Bittrex Data'!B353)-SEARCH("-",'Bittrex Data'!B353,1)+1))-1))</f>
        <v/>
      </c>
      <c r="F353" t="str">
        <f>IF('Bittrex Data'!C353="","",IF('Bittrex Data'!C353="Limit_Sell",'Bittrex Data'!G353-'Bittrex Data'!F353,IF('Bittrex Data'!C353="Limit_Buy",'Bittrex Data'!G353+'Bittrex Data'!F353,"")))</f>
        <v/>
      </c>
      <c r="G353" t="str">
        <f>IF('Bittrex Data'!B353="","",'Bittrex Data'!D353)</f>
        <v/>
      </c>
      <c r="H353" t="str">
        <f>IF('Bittrex Data'!C353="","",IF(Bittrex!C353="Buy",Bittrex!D353,IF(Bittrex!C353="Sale",Bittrex!E353,IF(AND(Bittrex!C353="Trade",'Bittrex Data'!C353="Limit_Sell"),Bittrex!E353,IF(AND(Bittrex!C353="Trade",'Bittrex Data'!C353="Limit_Buy"),Bittrex!D353,"")))))</f>
        <v/>
      </c>
      <c r="I353" t="str">
        <f>IF('Bittrex Data'!C353="","",IF(Bittrex!C353="Buy",F353,IF(C353="Sale",Bittrex!G353,IF(AND(C353="Trade",'Bittrex Data'!C353="Limit_Sell"),Bittrex!G353,IF(AND(Bittrex!C353="Trade",'Bittrex Data'!C353="Limit_Buy"),F353,"")))))</f>
        <v/>
      </c>
      <c r="J353" t="str">
        <f>IF('Bittrex Data'!B353="","",IF('Bittrex Data'!B353="","",IF(Bittrex!H353=Bittrex!E353,D353,Bittrex!E353)))</f>
        <v/>
      </c>
      <c r="K353" t="str">
        <f>IF('Bittrex Data'!B353="","",IF(Bittrex!I353=Bittrex!G353,Bittrex!F353,Bittrex!G353))</f>
        <v/>
      </c>
    </row>
    <row r="354" spans="3:11" x14ac:dyDescent="0.2">
      <c r="C354" t="str">
        <f>IF('Bittrex Data'!A354="","",IF(AND('Bittrex Data'!C354="LIMIT_SELL",Bittrex!D354="USD"),"Sale",IF(AND('Bittrex Data'!C354="LIMIT_BUY",Bittrex!D354="USD"),"Buy","Trade")))</f>
        <v/>
      </c>
      <c r="D354" t="str">
        <f>IF('Bittrex Data'!B354="","",LEFT(LEFT('Bittrex Data'!B354,SEARCH("-",'Bittrex Data'!B354,1)),LEN(LEFT('Bittrex Data'!B354,SEARCH("-",'Bittrex Data'!B354,1)))-1))</f>
        <v/>
      </c>
      <c r="E354" t="str">
        <f>IF('Bittrex Data'!B354="","",RIGHT(RIGHT('Bittrex Data'!B354,LEN('Bittrex Data'!B354)-SEARCH("-",'Bittrex Data'!B354,1)+1),LEN(RIGHT('Bittrex Data'!B354,LEN('Bittrex Data'!B354)-SEARCH("-",'Bittrex Data'!B354,1)+1))-1))</f>
        <v/>
      </c>
      <c r="F354" t="str">
        <f>IF('Bittrex Data'!C354="","",IF('Bittrex Data'!C354="Limit_Sell",'Bittrex Data'!G354-'Bittrex Data'!F354,IF('Bittrex Data'!C354="Limit_Buy",'Bittrex Data'!G354+'Bittrex Data'!F354,"")))</f>
        <v/>
      </c>
      <c r="G354" t="str">
        <f>IF('Bittrex Data'!B354="","",'Bittrex Data'!D354)</f>
        <v/>
      </c>
      <c r="H354" t="str">
        <f>IF('Bittrex Data'!C354="","",IF(Bittrex!C354="Buy",Bittrex!D354,IF(Bittrex!C354="Sale",Bittrex!E354,IF(AND(Bittrex!C354="Trade",'Bittrex Data'!C354="Limit_Sell"),Bittrex!E354,IF(AND(Bittrex!C354="Trade",'Bittrex Data'!C354="Limit_Buy"),Bittrex!D354,"")))))</f>
        <v/>
      </c>
      <c r="I354" t="str">
        <f>IF('Bittrex Data'!C354="","",IF(Bittrex!C354="Buy",F354,IF(C354="Sale",Bittrex!G354,IF(AND(C354="Trade",'Bittrex Data'!C354="Limit_Sell"),Bittrex!G354,IF(AND(Bittrex!C354="Trade",'Bittrex Data'!C354="Limit_Buy"),F354,"")))))</f>
        <v/>
      </c>
      <c r="J354" t="str">
        <f>IF('Bittrex Data'!B354="","",IF('Bittrex Data'!B354="","",IF(Bittrex!H354=Bittrex!E354,D354,Bittrex!E354)))</f>
        <v/>
      </c>
      <c r="K354" t="str">
        <f>IF('Bittrex Data'!B354="","",IF(Bittrex!I354=Bittrex!G354,Bittrex!F354,Bittrex!G354))</f>
        <v/>
      </c>
    </row>
    <row r="355" spans="3:11" x14ac:dyDescent="0.2">
      <c r="C355" t="str">
        <f>IF('Bittrex Data'!A355="","",IF(AND('Bittrex Data'!C355="LIMIT_SELL",Bittrex!D355="USD"),"Sale",IF(AND('Bittrex Data'!C355="LIMIT_BUY",Bittrex!D355="USD"),"Buy","Trade")))</f>
        <v/>
      </c>
      <c r="D355" t="str">
        <f>IF('Bittrex Data'!B355="","",LEFT(LEFT('Bittrex Data'!B355,SEARCH("-",'Bittrex Data'!B355,1)),LEN(LEFT('Bittrex Data'!B355,SEARCH("-",'Bittrex Data'!B355,1)))-1))</f>
        <v/>
      </c>
      <c r="E355" t="str">
        <f>IF('Bittrex Data'!B355="","",RIGHT(RIGHT('Bittrex Data'!B355,LEN('Bittrex Data'!B355)-SEARCH("-",'Bittrex Data'!B355,1)+1),LEN(RIGHT('Bittrex Data'!B355,LEN('Bittrex Data'!B355)-SEARCH("-",'Bittrex Data'!B355,1)+1))-1))</f>
        <v/>
      </c>
      <c r="F355" t="str">
        <f>IF('Bittrex Data'!C355="","",IF('Bittrex Data'!C355="Limit_Sell",'Bittrex Data'!G355-'Bittrex Data'!F355,IF('Bittrex Data'!C355="Limit_Buy",'Bittrex Data'!G355+'Bittrex Data'!F355,"")))</f>
        <v/>
      </c>
      <c r="G355" t="str">
        <f>IF('Bittrex Data'!B355="","",'Bittrex Data'!D355)</f>
        <v/>
      </c>
      <c r="H355" t="str">
        <f>IF('Bittrex Data'!C355="","",IF(Bittrex!C355="Buy",Bittrex!D355,IF(Bittrex!C355="Sale",Bittrex!E355,IF(AND(Bittrex!C355="Trade",'Bittrex Data'!C355="Limit_Sell"),Bittrex!E355,IF(AND(Bittrex!C355="Trade",'Bittrex Data'!C355="Limit_Buy"),Bittrex!D355,"")))))</f>
        <v/>
      </c>
      <c r="I355" t="str">
        <f>IF('Bittrex Data'!C355="","",IF(Bittrex!C355="Buy",F355,IF(C355="Sale",Bittrex!G355,IF(AND(C355="Trade",'Bittrex Data'!C355="Limit_Sell"),Bittrex!G355,IF(AND(Bittrex!C355="Trade",'Bittrex Data'!C355="Limit_Buy"),F355,"")))))</f>
        <v/>
      </c>
      <c r="J355" t="str">
        <f>IF('Bittrex Data'!B355="","",IF('Bittrex Data'!B355="","",IF(Bittrex!H355=Bittrex!E355,D355,Bittrex!E355)))</f>
        <v/>
      </c>
      <c r="K355" t="str">
        <f>IF('Bittrex Data'!B355="","",IF(Bittrex!I355=Bittrex!G355,Bittrex!F355,Bittrex!G355))</f>
        <v/>
      </c>
    </row>
    <row r="356" spans="3:11" x14ac:dyDescent="0.2">
      <c r="C356" t="str">
        <f>IF('Bittrex Data'!A356="","",IF(AND('Bittrex Data'!C356="LIMIT_SELL",Bittrex!D356="USD"),"Sale",IF(AND('Bittrex Data'!C356="LIMIT_BUY",Bittrex!D356="USD"),"Buy","Trade")))</f>
        <v/>
      </c>
      <c r="D356" t="str">
        <f>IF('Bittrex Data'!B356="","",LEFT(LEFT('Bittrex Data'!B356,SEARCH("-",'Bittrex Data'!B356,1)),LEN(LEFT('Bittrex Data'!B356,SEARCH("-",'Bittrex Data'!B356,1)))-1))</f>
        <v/>
      </c>
      <c r="E356" t="str">
        <f>IF('Bittrex Data'!B356="","",RIGHT(RIGHT('Bittrex Data'!B356,LEN('Bittrex Data'!B356)-SEARCH("-",'Bittrex Data'!B356,1)+1),LEN(RIGHT('Bittrex Data'!B356,LEN('Bittrex Data'!B356)-SEARCH("-",'Bittrex Data'!B356,1)+1))-1))</f>
        <v/>
      </c>
      <c r="F356" t="str">
        <f>IF('Bittrex Data'!C356="","",IF('Bittrex Data'!C356="Limit_Sell",'Bittrex Data'!G356-'Bittrex Data'!F356,IF('Bittrex Data'!C356="Limit_Buy",'Bittrex Data'!G356+'Bittrex Data'!F356,"")))</f>
        <v/>
      </c>
      <c r="G356" t="str">
        <f>IF('Bittrex Data'!B356="","",'Bittrex Data'!D356)</f>
        <v/>
      </c>
      <c r="H356" t="str">
        <f>IF('Bittrex Data'!C356="","",IF(Bittrex!C356="Buy",Bittrex!D356,IF(Bittrex!C356="Sale",Bittrex!E356,IF(AND(Bittrex!C356="Trade",'Bittrex Data'!C356="Limit_Sell"),Bittrex!E356,IF(AND(Bittrex!C356="Trade",'Bittrex Data'!C356="Limit_Buy"),Bittrex!D356,"")))))</f>
        <v/>
      </c>
      <c r="I356" t="str">
        <f>IF('Bittrex Data'!C356="","",IF(Bittrex!C356="Buy",F356,IF(C356="Sale",Bittrex!G356,IF(AND(C356="Trade",'Bittrex Data'!C356="Limit_Sell"),Bittrex!G356,IF(AND(Bittrex!C356="Trade",'Bittrex Data'!C356="Limit_Buy"),F356,"")))))</f>
        <v/>
      </c>
      <c r="J356" t="str">
        <f>IF('Bittrex Data'!B356="","",IF('Bittrex Data'!B356="","",IF(Bittrex!H356=Bittrex!E356,D356,Bittrex!E356)))</f>
        <v/>
      </c>
      <c r="K356" t="str">
        <f>IF('Bittrex Data'!B356="","",IF(Bittrex!I356=Bittrex!G356,Bittrex!F356,Bittrex!G356))</f>
        <v/>
      </c>
    </row>
    <row r="357" spans="3:11" x14ac:dyDescent="0.2">
      <c r="C357" t="str">
        <f>IF('Bittrex Data'!A357="","",IF(AND('Bittrex Data'!C357="LIMIT_SELL",Bittrex!D357="USD"),"Sale",IF(AND('Bittrex Data'!C357="LIMIT_BUY",Bittrex!D357="USD"),"Buy","Trade")))</f>
        <v/>
      </c>
      <c r="D357" t="str">
        <f>IF('Bittrex Data'!B357="","",LEFT(LEFT('Bittrex Data'!B357,SEARCH("-",'Bittrex Data'!B357,1)),LEN(LEFT('Bittrex Data'!B357,SEARCH("-",'Bittrex Data'!B357,1)))-1))</f>
        <v/>
      </c>
      <c r="E357" t="str">
        <f>IF('Bittrex Data'!B357="","",RIGHT(RIGHT('Bittrex Data'!B357,LEN('Bittrex Data'!B357)-SEARCH("-",'Bittrex Data'!B357,1)+1),LEN(RIGHT('Bittrex Data'!B357,LEN('Bittrex Data'!B357)-SEARCH("-",'Bittrex Data'!B357,1)+1))-1))</f>
        <v/>
      </c>
      <c r="F357" t="str">
        <f>IF('Bittrex Data'!C357="","",IF('Bittrex Data'!C357="Limit_Sell",'Bittrex Data'!G357-'Bittrex Data'!F357,IF('Bittrex Data'!C357="Limit_Buy",'Bittrex Data'!G357+'Bittrex Data'!F357,"")))</f>
        <v/>
      </c>
      <c r="G357" t="str">
        <f>IF('Bittrex Data'!B357="","",'Bittrex Data'!D357)</f>
        <v/>
      </c>
      <c r="H357" t="str">
        <f>IF('Bittrex Data'!C357="","",IF(Bittrex!C357="Buy",Bittrex!D357,IF(Bittrex!C357="Sale",Bittrex!E357,IF(AND(Bittrex!C357="Trade",'Bittrex Data'!C357="Limit_Sell"),Bittrex!E357,IF(AND(Bittrex!C357="Trade",'Bittrex Data'!C357="Limit_Buy"),Bittrex!D357,"")))))</f>
        <v/>
      </c>
      <c r="I357" t="str">
        <f>IF('Bittrex Data'!C357="","",IF(Bittrex!C357="Buy",F357,IF(C357="Sale",Bittrex!G357,IF(AND(C357="Trade",'Bittrex Data'!C357="Limit_Sell"),Bittrex!G357,IF(AND(Bittrex!C357="Trade",'Bittrex Data'!C357="Limit_Buy"),F357,"")))))</f>
        <v/>
      </c>
      <c r="J357" t="str">
        <f>IF('Bittrex Data'!B357="","",IF('Bittrex Data'!B357="","",IF(Bittrex!H357=Bittrex!E357,D357,Bittrex!E357)))</f>
        <v/>
      </c>
      <c r="K357" t="str">
        <f>IF('Bittrex Data'!B357="","",IF(Bittrex!I357=Bittrex!G357,Bittrex!F357,Bittrex!G357))</f>
        <v/>
      </c>
    </row>
    <row r="358" spans="3:11" x14ac:dyDescent="0.2">
      <c r="C358" t="str">
        <f>IF('Bittrex Data'!A358="","",IF(AND('Bittrex Data'!C358="LIMIT_SELL",Bittrex!D358="USD"),"Sale",IF(AND('Bittrex Data'!C358="LIMIT_BUY",Bittrex!D358="USD"),"Buy","Trade")))</f>
        <v/>
      </c>
      <c r="D358" t="str">
        <f>IF('Bittrex Data'!B358="","",LEFT(LEFT('Bittrex Data'!B358,SEARCH("-",'Bittrex Data'!B358,1)),LEN(LEFT('Bittrex Data'!B358,SEARCH("-",'Bittrex Data'!B358,1)))-1))</f>
        <v/>
      </c>
      <c r="E358" t="str">
        <f>IF('Bittrex Data'!B358="","",RIGHT(RIGHT('Bittrex Data'!B358,LEN('Bittrex Data'!B358)-SEARCH("-",'Bittrex Data'!B358,1)+1),LEN(RIGHT('Bittrex Data'!B358,LEN('Bittrex Data'!B358)-SEARCH("-",'Bittrex Data'!B358,1)+1))-1))</f>
        <v/>
      </c>
      <c r="F358" t="str">
        <f>IF('Bittrex Data'!C358="","",IF('Bittrex Data'!C358="Limit_Sell",'Bittrex Data'!G358-'Bittrex Data'!F358,IF('Bittrex Data'!C358="Limit_Buy",'Bittrex Data'!G358+'Bittrex Data'!F358,"")))</f>
        <v/>
      </c>
      <c r="G358" t="str">
        <f>IF('Bittrex Data'!B358="","",'Bittrex Data'!D358)</f>
        <v/>
      </c>
      <c r="H358" t="str">
        <f>IF('Bittrex Data'!C358="","",IF(Bittrex!C358="Buy",Bittrex!D358,IF(Bittrex!C358="Sale",Bittrex!E358,IF(AND(Bittrex!C358="Trade",'Bittrex Data'!C358="Limit_Sell"),Bittrex!E358,IF(AND(Bittrex!C358="Trade",'Bittrex Data'!C358="Limit_Buy"),Bittrex!D358,"")))))</f>
        <v/>
      </c>
      <c r="I358" t="str">
        <f>IF('Bittrex Data'!C358="","",IF(Bittrex!C358="Buy",F358,IF(C358="Sale",Bittrex!G358,IF(AND(C358="Trade",'Bittrex Data'!C358="Limit_Sell"),Bittrex!G358,IF(AND(Bittrex!C358="Trade",'Bittrex Data'!C358="Limit_Buy"),F358,"")))))</f>
        <v/>
      </c>
      <c r="J358" t="str">
        <f>IF('Bittrex Data'!B358="","",IF('Bittrex Data'!B358="","",IF(Bittrex!H358=Bittrex!E358,D358,Bittrex!E358)))</f>
        <v/>
      </c>
      <c r="K358" t="str">
        <f>IF('Bittrex Data'!B358="","",IF(Bittrex!I358=Bittrex!G358,Bittrex!F358,Bittrex!G358))</f>
        <v/>
      </c>
    </row>
    <row r="359" spans="3:11" x14ac:dyDescent="0.2">
      <c r="C359" t="str">
        <f>IF('Bittrex Data'!A359="","",IF(AND('Bittrex Data'!C359="LIMIT_SELL",Bittrex!D359="USD"),"Sale",IF(AND('Bittrex Data'!C359="LIMIT_BUY",Bittrex!D359="USD"),"Buy","Trade")))</f>
        <v/>
      </c>
      <c r="D359" t="str">
        <f>IF('Bittrex Data'!B359="","",LEFT(LEFT('Bittrex Data'!B359,SEARCH("-",'Bittrex Data'!B359,1)),LEN(LEFT('Bittrex Data'!B359,SEARCH("-",'Bittrex Data'!B359,1)))-1))</f>
        <v/>
      </c>
      <c r="E359" t="str">
        <f>IF('Bittrex Data'!B359="","",RIGHT(RIGHT('Bittrex Data'!B359,LEN('Bittrex Data'!B359)-SEARCH("-",'Bittrex Data'!B359,1)+1),LEN(RIGHT('Bittrex Data'!B359,LEN('Bittrex Data'!B359)-SEARCH("-",'Bittrex Data'!B359,1)+1))-1))</f>
        <v/>
      </c>
      <c r="F359" t="str">
        <f>IF('Bittrex Data'!C359="","",IF('Bittrex Data'!C359="Limit_Sell",'Bittrex Data'!G359-'Bittrex Data'!F359,IF('Bittrex Data'!C359="Limit_Buy",'Bittrex Data'!G359+'Bittrex Data'!F359,"")))</f>
        <v/>
      </c>
      <c r="G359" t="str">
        <f>IF('Bittrex Data'!B359="","",'Bittrex Data'!D359)</f>
        <v/>
      </c>
      <c r="H359" t="str">
        <f>IF('Bittrex Data'!C359="","",IF(Bittrex!C359="Buy",Bittrex!D359,IF(Bittrex!C359="Sale",Bittrex!E359,IF(AND(Bittrex!C359="Trade",'Bittrex Data'!C359="Limit_Sell"),Bittrex!E359,IF(AND(Bittrex!C359="Trade",'Bittrex Data'!C359="Limit_Buy"),Bittrex!D359,"")))))</f>
        <v/>
      </c>
      <c r="I359" t="str">
        <f>IF('Bittrex Data'!C359="","",IF(Bittrex!C359="Buy",F359,IF(C359="Sale",Bittrex!G359,IF(AND(C359="Trade",'Bittrex Data'!C359="Limit_Sell"),Bittrex!G359,IF(AND(Bittrex!C359="Trade",'Bittrex Data'!C359="Limit_Buy"),F359,"")))))</f>
        <v/>
      </c>
      <c r="J359" t="str">
        <f>IF('Bittrex Data'!B359="","",IF('Bittrex Data'!B359="","",IF(Bittrex!H359=Bittrex!E359,D359,Bittrex!E359)))</f>
        <v/>
      </c>
      <c r="K359" t="str">
        <f>IF('Bittrex Data'!B359="","",IF(Bittrex!I359=Bittrex!G359,Bittrex!F359,Bittrex!G359))</f>
        <v/>
      </c>
    </row>
    <row r="360" spans="3:11" x14ac:dyDescent="0.2">
      <c r="C360" t="str">
        <f>IF('Bittrex Data'!A360="","",IF(AND('Bittrex Data'!C360="LIMIT_SELL",Bittrex!D360="USD"),"Sale",IF(AND('Bittrex Data'!C360="LIMIT_BUY",Bittrex!D360="USD"),"Buy","Trade")))</f>
        <v/>
      </c>
      <c r="D360" t="str">
        <f>IF('Bittrex Data'!B360="","",LEFT(LEFT('Bittrex Data'!B360,SEARCH("-",'Bittrex Data'!B360,1)),LEN(LEFT('Bittrex Data'!B360,SEARCH("-",'Bittrex Data'!B360,1)))-1))</f>
        <v/>
      </c>
      <c r="E360" t="str">
        <f>IF('Bittrex Data'!B360="","",RIGHT(RIGHT('Bittrex Data'!B360,LEN('Bittrex Data'!B360)-SEARCH("-",'Bittrex Data'!B360,1)+1),LEN(RIGHT('Bittrex Data'!B360,LEN('Bittrex Data'!B360)-SEARCH("-",'Bittrex Data'!B360,1)+1))-1))</f>
        <v/>
      </c>
      <c r="F360" t="str">
        <f>IF('Bittrex Data'!C360="","",IF('Bittrex Data'!C360="Limit_Sell",'Bittrex Data'!G360-'Bittrex Data'!F360,IF('Bittrex Data'!C360="Limit_Buy",'Bittrex Data'!G360+'Bittrex Data'!F360,"")))</f>
        <v/>
      </c>
      <c r="G360" t="str">
        <f>IF('Bittrex Data'!B360="","",'Bittrex Data'!D360)</f>
        <v/>
      </c>
      <c r="H360" t="str">
        <f>IF('Bittrex Data'!C360="","",IF(Bittrex!C360="Buy",Bittrex!D360,IF(Bittrex!C360="Sale",Bittrex!E360,IF(AND(Bittrex!C360="Trade",'Bittrex Data'!C360="Limit_Sell"),Bittrex!E360,IF(AND(Bittrex!C360="Trade",'Bittrex Data'!C360="Limit_Buy"),Bittrex!D360,"")))))</f>
        <v/>
      </c>
      <c r="I360" t="str">
        <f>IF('Bittrex Data'!C360="","",IF(Bittrex!C360="Buy",F360,IF(C360="Sale",Bittrex!G360,IF(AND(C360="Trade",'Bittrex Data'!C360="Limit_Sell"),Bittrex!G360,IF(AND(Bittrex!C360="Trade",'Bittrex Data'!C360="Limit_Buy"),F360,"")))))</f>
        <v/>
      </c>
      <c r="J360" t="str">
        <f>IF('Bittrex Data'!B360="","",IF('Bittrex Data'!B360="","",IF(Bittrex!H360=Bittrex!E360,D360,Bittrex!E360)))</f>
        <v/>
      </c>
      <c r="K360" t="str">
        <f>IF('Bittrex Data'!B360="","",IF(Bittrex!I360=Bittrex!G360,Bittrex!F360,Bittrex!G360))</f>
        <v/>
      </c>
    </row>
    <row r="361" spans="3:11" x14ac:dyDescent="0.2">
      <c r="C361" t="str">
        <f>IF('Bittrex Data'!A361="","",IF(AND('Bittrex Data'!C361="LIMIT_SELL",Bittrex!D361="USD"),"Sale",IF(AND('Bittrex Data'!C361="LIMIT_BUY",Bittrex!D361="USD"),"Buy","Trade")))</f>
        <v/>
      </c>
      <c r="D361" t="str">
        <f>IF('Bittrex Data'!B361="","",LEFT(LEFT('Bittrex Data'!B361,SEARCH("-",'Bittrex Data'!B361,1)),LEN(LEFT('Bittrex Data'!B361,SEARCH("-",'Bittrex Data'!B361,1)))-1))</f>
        <v/>
      </c>
      <c r="E361" t="str">
        <f>IF('Bittrex Data'!B361="","",RIGHT(RIGHT('Bittrex Data'!B361,LEN('Bittrex Data'!B361)-SEARCH("-",'Bittrex Data'!B361,1)+1),LEN(RIGHT('Bittrex Data'!B361,LEN('Bittrex Data'!B361)-SEARCH("-",'Bittrex Data'!B361,1)+1))-1))</f>
        <v/>
      </c>
      <c r="F361" t="str">
        <f>IF('Bittrex Data'!C361="","",IF('Bittrex Data'!C361="Limit_Sell",'Bittrex Data'!G361-'Bittrex Data'!F361,IF('Bittrex Data'!C361="Limit_Buy",'Bittrex Data'!G361+'Bittrex Data'!F361,"")))</f>
        <v/>
      </c>
      <c r="G361" t="str">
        <f>IF('Bittrex Data'!B361="","",'Bittrex Data'!D361)</f>
        <v/>
      </c>
      <c r="H361" t="str">
        <f>IF('Bittrex Data'!C361="","",IF(Bittrex!C361="Buy",Bittrex!D361,IF(Bittrex!C361="Sale",Bittrex!E361,IF(AND(Bittrex!C361="Trade",'Bittrex Data'!C361="Limit_Sell"),Bittrex!E361,IF(AND(Bittrex!C361="Trade",'Bittrex Data'!C361="Limit_Buy"),Bittrex!D361,"")))))</f>
        <v/>
      </c>
      <c r="I361" t="str">
        <f>IF('Bittrex Data'!C361="","",IF(Bittrex!C361="Buy",F361,IF(C361="Sale",Bittrex!G361,IF(AND(C361="Trade",'Bittrex Data'!C361="Limit_Sell"),Bittrex!G361,IF(AND(Bittrex!C361="Trade",'Bittrex Data'!C361="Limit_Buy"),F361,"")))))</f>
        <v/>
      </c>
      <c r="J361" t="str">
        <f>IF('Bittrex Data'!B361="","",IF('Bittrex Data'!B361="","",IF(Bittrex!H361=Bittrex!E361,D361,Bittrex!E361)))</f>
        <v/>
      </c>
      <c r="K361" t="str">
        <f>IF('Bittrex Data'!B361="","",IF(Bittrex!I361=Bittrex!G361,Bittrex!F361,Bittrex!G361))</f>
        <v/>
      </c>
    </row>
    <row r="362" spans="3:11" x14ac:dyDescent="0.2">
      <c r="C362" t="str">
        <f>IF('Bittrex Data'!A362="","",IF(AND('Bittrex Data'!C362="LIMIT_SELL",Bittrex!D362="USD"),"Sale",IF(AND('Bittrex Data'!C362="LIMIT_BUY",Bittrex!D362="USD"),"Buy","Trade")))</f>
        <v/>
      </c>
      <c r="D362" t="str">
        <f>IF('Bittrex Data'!B362="","",LEFT(LEFT('Bittrex Data'!B362,SEARCH("-",'Bittrex Data'!B362,1)),LEN(LEFT('Bittrex Data'!B362,SEARCH("-",'Bittrex Data'!B362,1)))-1))</f>
        <v/>
      </c>
      <c r="E362" t="str">
        <f>IF('Bittrex Data'!B362="","",RIGHT(RIGHT('Bittrex Data'!B362,LEN('Bittrex Data'!B362)-SEARCH("-",'Bittrex Data'!B362,1)+1),LEN(RIGHT('Bittrex Data'!B362,LEN('Bittrex Data'!B362)-SEARCH("-",'Bittrex Data'!B362,1)+1))-1))</f>
        <v/>
      </c>
      <c r="F362" t="str">
        <f>IF('Bittrex Data'!C362="","",IF('Bittrex Data'!C362="Limit_Sell",'Bittrex Data'!G362-'Bittrex Data'!F362,IF('Bittrex Data'!C362="Limit_Buy",'Bittrex Data'!G362+'Bittrex Data'!F362,"")))</f>
        <v/>
      </c>
      <c r="G362" t="str">
        <f>IF('Bittrex Data'!B362="","",'Bittrex Data'!D362)</f>
        <v/>
      </c>
      <c r="H362" t="str">
        <f>IF('Bittrex Data'!C362="","",IF(Bittrex!C362="Buy",Bittrex!D362,IF(Bittrex!C362="Sale",Bittrex!E362,IF(AND(Bittrex!C362="Trade",'Bittrex Data'!C362="Limit_Sell"),Bittrex!E362,IF(AND(Bittrex!C362="Trade",'Bittrex Data'!C362="Limit_Buy"),Bittrex!D362,"")))))</f>
        <v/>
      </c>
      <c r="I362" t="str">
        <f>IF('Bittrex Data'!C362="","",IF(Bittrex!C362="Buy",F362,IF(C362="Sale",Bittrex!G362,IF(AND(C362="Trade",'Bittrex Data'!C362="Limit_Sell"),Bittrex!G362,IF(AND(Bittrex!C362="Trade",'Bittrex Data'!C362="Limit_Buy"),F362,"")))))</f>
        <v/>
      </c>
      <c r="J362" t="str">
        <f>IF('Bittrex Data'!B362="","",IF('Bittrex Data'!B362="","",IF(Bittrex!H362=Bittrex!E362,D362,Bittrex!E362)))</f>
        <v/>
      </c>
      <c r="K362" t="str">
        <f>IF('Bittrex Data'!B362="","",IF(Bittrex!I362=Bittrex!G362,Bittrex!F362,Bittrex!G362))</f>
        <v/>
      </c>
    </row>
    <row r="363" spans="3:11" x14ac:dyDescent="0.2">
      <c r="C363" t="str">
        <f>IF('Bittrex Data'!A363="","",IF(AND('Bittrex Data'!C363="LIMIT_SELL",Bittrex!D363="USD"),"Sale",IF(AND('Bittrex Data'!C363="LIMIT_BUY",Bittrex!D363="USD"),"Buy","Trade")))</f>
        <v/>
      </c>
      <c r="D363" t="str">
        <f>IF('Bittrex Data'!B363="","",LEFT(LEFT('Bittrex Data'!B363,SEARCH("-",'Bittrex Data'!B363,1)),LEN(LEFT('Bittrex Data'!B363,SEARCH("-",'Bittrex Data'!B363,1)))-1))</f>
        <v/>
      </c>
      <c r="E363" t="str">
        <f>IF('Bittrex Data'!B363="","",RIGHT(RIGHT('Bittrex Data'!B363,LEN('Bittrex Data'!B363)-SEARCH("-",'Bittrex Data'!B363,1)+1),LEN(RIGHT('Bittrex Data'!B363,LEN('Bittrex Data'!B363)-SEARCH("-",'Bittrex Data'!B363,1)+1))-1))</f>
        <v/>
      </c>
      <c r="F363" t="str">
        <f>IF('Bittrex Data'!C363="","",IF('Bittrex Data'!C363="Limit_Sell",'Bittrex Data'!G363-'Bittrex Data'!F363,IF('Bittrex Data'!C363="Limit_Buy",'Bittrex Data'!G363+'Bittrex Data'!F363,"")))</f>
        <v/>
      </c>
      <c r="G363" t="str">
        <f>IF('Bittrex Data'!B363="","",'Bittrex Data'!D363)</f>
        <v/>
      </c>
      <c r="H363" t="str">
        <f>IF('Bittrex Data'!C363="","",IF(Bittrex!C363="Buy",Bittrex!D363,IF(Bittrex!C363="Sale",Bittrex!E363,IF(AND(Bittrex!C363="Trade",'Bittrex Data'!C363="Limit_Sell"),Bittrex!E363,IF(AND(Bittrex!C363="Trade",'Bittrex Data'!C363="Limit_Buy"),Bittrex!D363,"")))))</f>
        <v/>
      </c>
      <c r="I363" t="str">
        <f>IF('Bittrex Data'!C363="","",IF(Bittrex!C363="Buy",F363,IF(C363="Sale",Bittrex!G363,IF(AND(C363="Trade",'Bittrex Data'!C363="Limit_Sell"),Bittrex!G363,IF(AND(Bittrex!C363="Trade",'Bittrex Data'!C363="Limit_Buy"),F363,"")))))</f>
        <v/>
      </c>
      <c r="J363" t="str">
        <f>IF('Bittrex Data'!B363="","",IF('Bittrex Data'!B363="","",IF(Bittrex!H363=Bittrex!E363,D363,Bittrex!E363)))</f>
        <v/>
      </c>
      <c r="K363" t="str">
        <f>IF('Bittrex Data'!B363="","",IF(Bittrex!I363=Bittrex!G363,Bittrex!F363,Bittrex!G363))</f>
        <v/>
      </c>
    </row>
    <row r="364" spans="3:11" x14ac:dyDescent="0.2">
      <c r="C364" t="str">
        <f>IF('Bittrex Data'!A364="","",IF(AND('Bittrex Data'!C364="LIMIT_SELL",Bittrex!D364="USD"),"Sale",IF(AND('Bittrex Data'!C364="LIMIT_BUY",Bittrex!D364="USD"),"Buy","Trade")))</f>
        <v/>
      </c>
      <c r="D364" t="str">
        <f>IF('Bittrex Data'!B364="","",LEFT(LEFT('Bittrex Data'!B364,SEARCH("-",'Bittrex Data'!B364,1)),LEN(LEFT('Bittrex Data'!B364,SEARCH("-",'Bittrex Data'!B364,1)))-1))</f>
        <v/>
      </c>
      <c r="E364" t="str">
        <f>IF('Bittrex Data'!B364="","",RIGHT(RIGHT('Bittrex Data'!B364,LEN('Bittrex Data'!B364)-SEARCH("-",'Bittrex Data'!B364,1)+1),LEN(RIGHT('Bittrex Data'!B364,LEN('Bittrex Data'!B364)-SEARCH("-",'Bittrex Data'!B364,1)+1))-1))</f>
        <v/>
      </c>
      <c r="F364" t="str">
        <f>IF('Bittrex Data'!C364="","",IF('Bittrex Data'!C364="Limit_Sell",'Bittrex Data'!G364-'Bittrex Data'!F364,IF('Bittrex Data'!C364="Limit_Buy",'Bittrex Data'!G364+'Bittrex Data'!F364,"")))</f>
        <v/>
      </c>
      <c r="G364" t="str">
        <f>IF('Bittrex Data'!B364="","",'Bittrex Data'!D364)</f>
        <v/>
      </c>
      <c r="H364" t="str">
        <f>IF('Bittrex Data'!C364="","",IF(Bittrex!C364="Buy",Bittrex!D364,IF(Bittrex!C364="Sale",Bittrex!E364,IF(AND(Bittrex!C364="Trade",'Bittrex Data'!C364="Limit_Sell"),Bittrex!E364,IF(AND(Bittrex!C364="Trade",'Bittrex Data'!C364="Limit_Buy"),Bittrex!D364,"")))))</f>
        <v/>
      </c>
      <c r="I364" t="str">
        <f>IF('Bittrex Data'!C364="","",IF(Bittrex!C364="Buy",F364,IF(C364="Sale",Bittrex!G364,IF(AND(C364="Trade",'Bittrex Data'!C364="Limit_Sell"),Bittrex!G364,IF(AND(Bittrex!C364="Trade",'Bittrex Data'!C364="Limit_Buy"),F364,"")))))</f>
        <v/>
      </c>
      <c r="J364" t="str">
        <f>IF('Bittrex Data'!B364="","",IF('Bittrex Data'!B364="","",IF(Bittrex!H364=Bittrex!E364,D364,Bittrex!E364)))</f>
        <v/>
      </c>
      <c r="K364" t="str">
        <f>IF('Bittrex Data'!B364="","",IF(Bittrex!I364=Bittrex!G364,Bittrex!F364,Bittrex!G364))</f>
        <v/>
      </c>
    </row>
    <row r="365" spans="3:11" x14ac:dyDescent="0.2">
      <c r="C365" t="str">
        <f>IF('Bittrex Data'!A365="","",IF(AND('Bittrex Data'!C365="LIMIT_SELL",Bittrex!D365="USD"),"Sale",IF(AND('Bittrex Data'!C365="LIMIT_BUY",Bittrex!D365="USD"),"Buy","Trade")))</f>
        <v/>
      </c>
      <c r="D365" t="str">
        <f>IF('Bittrex Data'!B365="","",LEFT(LEFT('Bittrex Data'!B365,SEARCH("-",'Bittrex Data'!B365,1)),LEN(LEFT('Bittrex Data'!B365,SEARCH("-",'Bittrex Data'!B365,1)))-1))</f>
        <v/>
      </c>
      <c r="E365" t="str">
        <f>IF('Bittrex Data'!B365="","",RIGHT(RIGHT('Bittrex Data'!B365,LEN('Bittrex Data'!B365)-SEARCH("-",'Bittrex Data'!B365,1)+1),LEN(RIGHT('Bittrex Data'!B365,LEN('Bittrex Data'!B365)-SEARCH("-",'Bittrex Data'!B365,1)+1))-1))</f>
        <v/>
      </c>
      <c r="F365" t="str">
        <f>IF('Bittrex Data'!C365="","",IF('Bittrex Data'!C365="Limit_Sell",'Bittrex Data'!G365-'Bittrex Data'!F365,IF('Bittrex Data'!C365="Limit_Buy",'Bittrex Data'!G365+'Bittrex Data'!F365,"")))</f>
        <v/>
      </c>
      <c r="G365" t="str">
        <f>IF('Bittrex Data'!B365="","",'Bittrex Data'!D365)</f>
        <v/>
      </c>
      <c r="H365" t="str">
        <f>IF('Bittrex Data'!C365="","",IF(Bittrex!C365="Buy",Bittrex!D365,IF(Bittrex!C365="Sale",Bittrex!E365,IF(AND(Bittrex!C365="Trade",'Bittrex Data'!C365="Limit_Sell"),Bittrex!E365,IF(AND(Bittrex!C365="Trade",'Bittrex Data'!C365="Limit_Buy"),Bittrex!D365,"")))))</f>
        <v/>
      </c>
      <c r="I365" t="str">
        <f>IF('Bittrex Data'!C365="","",IF(Bittrex!C365="Buy",F365,IF(C365="Sale",Bittrex!G365,IF(AND(C365="Trade",'Bittrex Data'!C365="Limit_Sell"),Bittrex!G365,IF(AND(Bittrex!C365="Trade",'Bittrex Data'!C365="Limit_Buy"),F365,"")))))</f>
        <v/>
      </c>
      <c r="J365" t="str">
        <f>IF('Bittrex Data'!B365="","",IF('Bittrex Data'!B365="","",IF(Bittrex!H365=Bittrex!E365,D365,Bittrex!E365)))</f>
        <v/>
      </c>
      <c r="K365" t="str">
        <f>IF('Bittrex Data'!B365="","",IF(Bittrex!I365=Bittrex!G365,Bittrex!F365,Bittrex!G365))</f>
        <v/>
      </c>
    </row>
    <row r="366" spans="3:11" x14ac:dyDescent="0.2">
      <c r="C366" t="str">
        <f>IF('Bittrex Data'!A366="","",IF(AND('Bittrex Data'!C366="LIMIT_SELL",Bittrex!D366="USD"),"Sale",IF(AND('Bittrex Data'!C366="LIMIT_BUY",Bittrex!D366="USD"),"Buy","Trade")))</f>
        <v/>
      </c>
      <c r="D366" t="str">
        <f>IF('Bittrex Data'!B366="","",LEFT(LEFT('Bittrex Data'!B366,SEARCH("-",'Bittrex Data'!B366,1)),LEN(LEFT('Bittrex Data'!B366,SEARCH("-",'Bittrex Data'!B366,1)))-1))</f>
        <v/>
      </c>
      <c r="E366" t="str">
        <f>IF('Bittrex Data'!B366="","",RIGHT(RIGHT('Bittrex Data'!B366,LEN('Bittrex Data'!B366)-SEARCH("-",'Bittrex Data'!B366,1)+1),LEN(RIGHT('Bittrex Data'!B366,LEN('Bittrex Data'!B366)-SEARCH("-",'Bittrex Data'!B366,1)+1))-1))</f>
        <v/>
      </c>
      <c r="F366" t="str">
        <f>IF('Bittrex Data'!C366="","",IF('Bittrex Data'!C366="Limit_Sell",'Bittrex Data'!G366-'Bittrex Data'!F366,IF('Bittrex Data'!C366="Limit_Buy",'Bittrex Data'!G366+'Bittrex Data'!F366,"")))</f>
        <v/>
      </c>
      <c r="G366" t="str">
        <f>IF('Bittrex Data'!B366="","",'Bittrex Data'!D366)</f>
        <v/>
      </c>
      <c r="H366" t="str">
        <f>IF('Bittrex Data'!C366="","",IF(Bittrex!C366="Buy",Bittrex!D366,IF(Bittrex!C366="Sale",Bittrex!E366,IF(AND(Bittrex!C366="Trade",'Bittrex Data'!C366="Limit_Sell"),Bittrex!E366,IF(AND(Bittrex!C366="Trade",'Bittrex Data'!C366="Limit_Buy"),Bittrex!D366,"")))))</f>
        <v/>
      </c>
      <c r="I366" t="str">
        <f>IF('Bittrex Data'!C366="","",IF(Bittrex!C366="Buy",F366,IF(C366="Sale",Bittrex!G366,IF(AND(C366="Trade",'Bittrex Data'!C366="Limit_Sell"),Bittrex!G366,IF(AND(Bittrex!C366="Trade",'Bittrex Data'!C366="Limit_Buy"),F366,"")))))</f>
        <v/>
      </c>
      <c r="J366" t="str">
        <f>IF('Bittrex Data'!B366="","",IF('Bittrex Data'!B366="","",IF(Bittrex!H366=Bittrex!E366,D366,Bittrex!E366)))</f>
        <v/>
      </c>
      <c r="K366" t="str">
        <f>IF('Bittrex Data'!B366="","",IF(Bittrex!I366=Bittrex!G366,Bittrex!F366,Bittrex!G366))</f>
        <v/>
      </c>
    </row>
    <row r="367" spans="3:11" x14ac:dyDescent="0.2">
      <c r="C367" t="str">
        <f>IF('Bittrex Data'!A367="","",IF(AND('Bittrex Data'!C367="LIMIT_SELL",Bittrex!D367="USD"),"Sale",IF(AND('Bittrex Data'!C367="LIMIT_BUY",Bittrex!D367="USD"),"Buy","Trade")))</f>
        <v/>
      </c>
      <c r="D367" t="str">
        <f>IF('Bittrex Data'!B367="","",LEFT(LEFT('Bittrex Data'!B367,SEARCH("-",'Bittrex Data'!B367,1)),LEN(LEFT('Bittrex Data'!B367,SEARCH("-",'Bittrex Data'!B367,1)))-1))</f>
        <v/>
      </c>
      <c r="E367" t="str">
        <f>IF('Bittrex Data'!B367="","",RIGHT(RIGHT('Bittrex Data'!B367,LEN('Bittrex Data'!B367)-SEARCH("-",'Bittrex Data'!B367,1)+1),LEN(RIGHT('Bittrex Data'!B367,LEN('Bittrex Data'!B367)-SEARCH("-",'Bittrex Data'!B367,1)+1))-1))</f>
        <v/>
      </c>
      <c r="F367" t="str">
        <f>IF('Bittrex Data'!C367="","",IF('Bittrex Data'!C367="Limit_Sell",'Bittrex Data'!G367-'Bittrex Data'!F367,IF('Bittrex Data'!C367="Limit_Buy",'Bittrex Data'!G367+'Bittrex Data'!F367,"")))</f>
        <v/>
      </c>
      <c r="G367" t="str">
        <f>IF('Bittrex Data'!B367="","",'Bittrex Data'!D367)</f>
        <v/>
      </c>
      <c r="H367" t="str">
        <f>IF('Bittrex Data'!C367="","",IF(Bittrex!C367="Buy",Bittrex!D367,IF(Bittrex!C367="Sale",Bittrex!E367,IF(AND(Bittrex!C367="Trade",'Bittrex Data'!C367="Limit_Sell"),Bittrex!E367,IF(AND(Bittrex!C367="Trade",'Bittrex Data'!C367="Limit_Buy"),Bittrex!D367,"")))))</f>
        <v/>
      </c>
      <c r="I367" t="str">
        <f>IF('Bittrex Data'!C367="","",IF(Bittrex!C367="Buy",F367,IF(C367="Sale",Bittrex!G367,IF(AND(C367="Trade",'Bittrex Data'!C367="Limit_Sell"),Bittrex!G367,IF(AND(Bittrex!C367="Trade",'Bittrex Data'!C367="Limit_Buy"),F367,"")))))</f>
        <v/>
      </c>
      <c r="J367" t="str">
        <f>IF('Bittrex Data'!B367="","",IF('Bittrex Data'!B367="","",IF(Bittrex!H367=Bittrex!E367,D367,Bittrex!E367)))</f>
        <v/>
      </c>
      <c r="K367" t="str">
        <f>IF('Bittrex Data'!B367="","",IF(Bittrex!I367=Bittrex!G367,Bittrex!F367,Bittrex!G367))</f>
        <v/>
      </c>
    </row>
    <row r="368" spans="3:11" x14ac:dyDescent="0.2">
      <c r="C368" t="str">
        <f>IF('Bittrex Data'!A368="","",IF(AND('Bittrex Data'!C368="LIMIT_SELL",Bittrex!D368="USD"),"Sale",IF(AND('Bittrex Data'!C368="LIMIT_BUY",Bittrex!D368="USD"),"Buy","Trade")))</f>
        <v/>
      </c>
      <c r="D368" t="str">
        <f>IF('Bittrex Data'!B368="","",LEFT(LEFT('Bittrex Data'!B368,SEARCH("-",'Bittrex Data'!B368,1)),LEN(LEFT('Bittrex Data'!B368,SEARCH("-",'Bittrex Data'!B368,1)))-1))</f>
        <v/>
      </c>
      <c r="E368" t="str">
        <f>IF('Bittrex Data'!B368="","",RIGHT(RIGHT('Bittrex Data'!B368,LEN('Bittrex Data'!B368)-SEARCH("-",'Bittrex Data'!B368,1)+1),LEN(RIGHT('Bittrex Data'!B368,LEN('Bittrex Data'!B368)-SEARCH("-",'Bittrex Data'!B368,1)+1))-1))</f>
        <v/>
      </c>
      <c r="F368" t="str">
        <f>IF('Bittrex Data'!C368="","",IF('Bittrex Data'!C368="Limit_Sell",'Bittrex Data'!G368-'Bittrex Data'!F368,IF('Bittrex Data'!C368="Limit_Buy",'Bittrex Data'!G368+'Bittrex Data'!F368,"")))</f>
        <v/>
      </c>
      <c r="G368" t="str">
        <f>IF('Bittrex Data'!B368="","",'Bittrex Data'!D368)</f>
        <v/>
      </c>
      <c r="H368" t="str">
        <f>IF('Bittrex Data'!C368="","",IF(Bittrex!C368="Buy",Bittrex!D368,IF(Bittrex!C368="Sale",Bittrex!E368,IF(AND(Bittrex!C368="Trade",'Bittrex Data'!C368="Limit_Sell"),Bittrex!E368,IF(AND(Bittrex!C368="Trade",'Bittrex Data'!C368="Limit_Buy"),Bittrex!D368,"")))))</f>
        <v/>
      </c>
      <c r="I368" t="str">
        <f>IF('Bittrex Data'!C368="","",IF(Bittrex!C368="Buy",F368,IF(C368="Sale",Bittrex!G368,IF(AND(C368="Trade",'Bittrex Data'!C368="Limit_Sell"),Bittrex!G368,IF(AND(Bittrex!C368="Trade",'Bittrex Data'!C368="Limit_Buy"),F368,"")))))</f>
        <v/>
      </c>
      <c r="J368" t="str">
        <f>IF('Bittrex Data'!B368="","",IF('Bittrex Data'!B368="","",IF(Bittrex!H368=Bittrex!E368,D368,Bittrex!E368)))</f>
        <v/>
      </c>
      <c r="K368" t="str">
        <f>IF('Bittrex Data'!B368="","",IF(Bittrex!I368=Bittrex!G368,Bittrex!F368,Bittrex!G368))</f>
        <v/>
      </c>
    </row>
    <row r="369" spans="3:11" x14ac:dyDescent="0.2">
      <c r="C369" t="str">
        <f>IF('Bittrex Data'!A369="","",IF(AND('Bittrex Data'!C369="LIMIT_SELL",Bittrex!D369="USD"),"Sale",IF(AND('Bittrex Data'!C369="LIMIT_BUY",Bittrex!D369="USD"),"Buy","Trade")))</f>
        <v/>
      </c>
      <c r="D369" t="str">
        <f>IF('Bittrex Data'!B369="","",LEFT(LEFT('Bittrex Data'!B369,SEARCH("-",'Bittrex Data'!B369,1)),LEN(LEFT('Bittrex Data'!B369,SEARCH("-",'Bittrex Data'!B369,1)))-1))</f>
        <v/>
      </c>
      <c r="E369" t="str">
        <f>IF('Bittrex Data'!B369="","",RIGHT(RIGHT('Bittrex Data'!B369,LEN('Bittrex Data'!B369)-SEARCH("-",'Bittrex Data'!B369,1)+1),LEN(RIGHT('Bittrex Data'!B369,LEN('Bittrex Data'!B369)-SEARCH("-",'Bittrex Data'!B369,1)+1))-1))</f>
        <v/>
      </c>
      <c r="F369" t="str">
        <f>IF('Bittrex Data'!C369="","",IF('Bittrex Data'!C369="Limit_Sell",'Bittrex Data'!G369-'Bittrex Data'!F369,IF('Bittrex Data'!C369="Limit_Buy",'Bittrex Data'!G369+'Bittrex Data'!F369,"")))</f>
        <v/>
      </c>
      <c r="G369" t="str">
        <f>IF('Bittrex Data'!B369="","",'Bittrex Data'!D369)</f>
        <v/>
      </c>
      <c r="H369" t="str">
        <f>IF('Bittrex Data'!C369="","",IF(Bittrex!C369="Buy",Bittrex!D369,IF(Bittrex!C369="Sale",Bittrex!E369,IF(AND(Bittrex!C369="Trade",'Bittrex Data'!C369="Limit_Sell"),Bittrex!E369,IF(AND(Bittrex!C369="Trade",'Bittrex Data'!C369="Limit_Buy"),Bittrex!D369,"")))))</f>
        <v/>
      </c>
      <c r="I369" t="str">
        <f>IF('Bittrex Data'!C369="","",IF(Bittrex!C369="Buy",F369,IF(C369="Sale",Bittrex!G369,IF(AND(C369="Trade",'Bittrex Data'!C369="Limit_Sell"),Bittrex!G369,IF(AND(Bittrex!C369="Trade",'Bittrex Data'!C369="Limit_Buy"),F369,"")))))</f>
        <v/>
      </c>
      <c r="J369" t="str">
        <f>IF('Bittrex Data'!B369="","",IF('Bittrex Data'!B369="","",IF(Bittrex!H369=Bittrex!E369,D369,Bittrex!E369)))</f>
        <v/>
      </c>
      <c r="K369" t="str">
        <f>IF('Bittrex Data'!B369="","",IF(Bittrex!I369=Bittrex!G369,Bittrex!F369,Bittrex!G369))</f>
        <v/>
      </c>
    </row>
    <row r="370" spans="3:11" x14ac:dyDescent="0.2">
      <c r="C370" t="str">
        <f>IF('Bittrex Data'!A370="","",IF(AND('Bittrex Data'!C370="LIMIT_SELL",Bittrex!D370="USD"),"Sale",IF(AND('Bittrex Data'!C370="LIMIT_BUY",Bittrex!D370="USD"),"Buy","Trade")))</f>
        <v/>
      </c>
      <c r="D370" t="str">
        <f>IF('Bittrex Data'!B370="","",LEFT(LEFT('Bittrex Data'!B370,SEARCH("-",'Bittrex Data'!B370,1)),LEN(LEFT('Bittrex Data'!B370,SEARCH("-",'Bittrex Data'!B370,1)))-1))</f>
        <v/>
      </c>
      <c r="E370" t="str">
        <f>IF('Bittrex Data'!B370="","",RIGHT(RIGHT('Bittrex Data'!B370,LEN('Bittrex Data'!B370)-SEARCH("-",'Bittrex Data'!B370,1)+1),LEN(RIGHT('Bittrex Data'!B370,LEN('Bittrex Data'!B370)-SEARCH("-",'Bittrex Data'!B370,1)+1))-1))</f>
        <v/>
      </c>
      <c r="F370" t="str">
        <f>IF('Bittrex Data'!C370="","",IF('Bittrex Data'!C370="Limit_Sell",'Bittrex Data'!G370-'Bittrex Data'!F370,IF('Bittrex Data'!C370="Limit_Buy",'Bittrex Data'!G370+'Bittrex Data'!F370,"")))</f>
        <v/>
      </c>
      <c r="G370" t="str">
        <f>IF('Bittrex Data'!B370="","",'Bittrex Data'!D370)</f>
        <v/>
      </c>
      <c r="H370" t="str">
        <f>IF('Bittrex Data'!C370="","",IF(Bittrex!C370="Buy",Bittrex!D370,IF(Bittrex!C370="Sale",Bittrex!E370,IF(AND(Bittrex!C370="Trade",'Bittrex Data'!C370="Limit_Sell"),Bittrex!E370,IF(AND(Bittrex!C370="Trade",'Bittrex Data'!C370="Limit_Buy"),Bittrex!D370,"")))))</f>
        <v/>
      </c>
      <c r="I370" t="str">
        <f>IF('Bittrex Data'!C370="","",IF(Bittrex!C370="Buy",F370,IF(C370="Sale",Bittrex!G370,IF(AND(C370="Trade",'Bittrex Data'!C370="Limit_Sell"),Bittrex!G370,IF(AND(Bittrex!C370="Trade",'Bittrex Data'!C370="Limit_Buy"),F370,"")))))</f>
        <v/>
      </c>
      <c r="J370" t="str">
        <f>IF('Bittrex Data'!B370="","",IF('Bittrex Data'!B370="","",IF(Bittrex!H370=Bittrex!E370,D370,Bittrex!E370)))</f>
        <v/>
      </c>
      <c r="K370" t="str">
        <f>IF('Bittrex Data'!B370="","",IF(Bittrex!I370=Bittrex!G370,Bittrex!F370,Bittrex!G370))</f>
        <v/>
      </c>
    </row>
    <row r="371" spans="3:11" x14ac:dyDescent="0.2">
      <c r="C371" t="str">
        <f>IF('Bittrex Data'!A371="","",IF(AND('Bittrex Data'!C371="LIMIT_SELL",Bittrex!D371="USD"),"Sale",IF(AND('Bittrex Data'!C371="LIMIT_BUY",Bittrex!D371="USD"),"Buy","Trade")))</f>
        <v/>
      </c>
      <c r="D371" t="str">
        <f>IF('Bittrex Data'!B371="","",LEFT(LEFT('Bittrex Data'!B371,SEARCH("-",'Bittrex Data'!B371,1)),LEN(LEFT('Bittrex Data'!B371,SEARCH("-",'Bittrex Data'!B371,1)))-1))</f>
        <v/>
      </c>
      <c r="E371" t="str">
        <f>IF('Bittrex Data'!B371="","",RIGHT(RIGHT('Bittrex Data'!B371,LEN('Bittrex Data'!B371)-SEARCH("-",'Bittrex Data'!B371,1)+1),LEN(RIGHT('Bittrex Data'!B371,LEN('Bittrex Data'!B371)-SEARCH("-",'Bittrex Data'!B371,1)+1))-1))</f>
        <v/>
      </c>
      <c r="F371" t="str">
        <f>IF('Bittrex Data'!C371="","",IF('Bittrex Data'!C371="Limit_Sell",'Bittrex Data'!G371-'Bittrex Data'!F371,IF('Bittrex Data'!C371="Limit_Buy",'Bittrex Data'!G371+'Bittrex Data'!F371,"")))</f>
        <v/>
      </c>
      <c r="G371" t="str">
        <f>IF('Bittrex Data'!B371="","",'Bittrex Data'!D371)</f>
        <v/>
      </c>
      <c r="H371" t="str">
        <f>IF('Bittrex Data'!C371="","",IF(Bittrex!C371="Buy",Bittrex!D371,IF(Bittrex!C371="Sale",Bittrex!E371,IF(AND(Bittrex!C371="Trade",'Bittrex Data'!C371="Limit_Sell"),Bittrex!E371,IF(AND(Bittrex!C371="Trade",'Bittrex Data'!C371="Limit_Buy"),Bittrex!D371,"")))))</f>
        <v/>
      </c>
      <c r="I371" t="str">
        <f>IF('Bittrex Data'!C371="","",IF(Bittrex!C371="Buy",F371,IF(C371="Sale",Bittrex!G371,IF(AND(C371="Trade",'Bittrex Data'!C371="Limit_Sell"),Bittrex!G371,IF(AND(Bittrex!C371="Trade",'Bittrex Data'!C371="Limit_Buy"),F371,"")))))</f>
        <v/>
      </c>
      <c r="J371" t="str">
        <f>IF('Bittrex Data'!B371="","",IF('Bittrex Data'!B371="","",IF(Bittrex!H371=Bittrex!E371,D371,Bittrex!E371)))</f>
        <v/>
      </c>
      <c r="K371" t="str">
        <f>IF('Bittrex Data'!B371="","",IF(Bittrex!I371=Bittrex!G371,Bittrex!F371,Bittrex!G371))</f>
        <v/>
      </c>
    </row>
    <row r="372" spans="3:11" x14ac:dyDescent="0.2">
      <c r="C372" t="str">
        <f>IF('Bittrex Data'!A372="","",IF(AND('Bittrex Data'!C372="LIMIT_SELL",Bittrex!D372="USD"),"Sale",IF(AND('Bittrex Data'!C372="LIMIT_BUY",Bittrex!D372="USD"),"Buy","Trade")))</f>
        <v/>
      </c>
      <c r="D372" t="str">
        <f>IF('Bittrex Data'!B372="","",LEFT(LEFT('Bittrex Data'!B372,SEARCH("-",'Bittrex Data'!B372,1)),LEN(LEFT('Bittrex Data'!B372,SEARCH("-",'Bittrex Data'!B372,1)))-1))</f>
        <v/>
      </c>
      <c r="E372" t="str">
        <f>IF('Bittrex Data'!B372="","",RIGHT(RIGHT('Bittrex Data'!B372,LEN('Bittrex Data'!B372)-SEARCH("-",'Bittrex Data'!B372,1)+1),LEN(RIGHT('Bittrex Data'!B372,LEN('Bittrex Data'!B372)-SEARCH("-",'Bittrex Data'!B372,1)+1))-1))</f>
        <v/>
      </c>
      <c r="F372" t="str">
        <f>IF('Bittrex Data'!C372="","",IF('Bittrex Data'!C372="Limit_Sell",'Bittrex Data'!G372-'Bittrex Data'!F372,IF('Bittrex Data'!C372="Limit_Buy",'Bittrex Data'!G372+'Bittrex Data'!F372,"")))</f>
        <v/>
      </c>
      <c r="G372" t="str">
        <f>IF('Bittrex Data'!B372="","",'Bittrex Data'!D372)</f>
        <v/>
      </c>
      <c r="H372" t="str">
        <f>IF('Bittrex Data'!C372="","",IF(Bittrex!C372="Buy",Bittrex!D372,IF(Bittrex!C372="Sale",Bittrex!E372,IF(AND(Bittrex!C372="Trade",'Bittrex Data'!C372="Limit_Sell"),Bittrex!E372,IF(AND(Bittrex!C372="Trade",'Bittrex Data'!C372="Limit_Buy"),Bittrex!D372,"")))))</f>
        <v/>
      </c>
      <c r="I372" t="str">
        <f>IF('Bittrex Data'!C372="","",IF(Bittrex!C372="Buy",F372,IF(C372="Sale",Bittrex!G372,IF(AND(C372="Trade",'Bittrex Data'!C372="Limit_Sell"),Bittrex!G372,IF(AND(Bittrex!C372="Trade",'Bittrex Data'!C372="Limit_Buy"),F372,"")))))</f>
        <v/>
      </c>
      <c r="J372" t="str">
        <f>IF('Bittrex Data'!B372="","",IF('Bittrex Data'!B372="","",IF(Bittrex!H372=Bittrex!E372,D372,Bittrex!E372)))</f>
        <v/>
      </c>
      <c r="K372" t="str">
        <f>IF('Bittrex Data'!B372="","",IF(Bittrex!I372=Bittrex!G372,Bittrex!F372,Bittrex!G372))</f>
        <v/>
      </c>
    </row>
    <row r="373" spans="3:11" x14ac:dyDescent="0.2">
      <c r="C373" t="str">
        <f>IF('Bittrex Data'!A373="","",IF(AND('Bittrex Data'!C373="LIMIT_SELL",Bittrex!D373="USD"),"Sale",IF(AND('Bittrex Data'!C373="LIMIT_BUY",Bittrex!D373="USD"),"Buy","Trade")))</f>
        <v/>
      </c>
      <c r="D373" t="str">
        <f>IF('Bittrex Data'!B373="","",LEFT(LEFT('Bittrex Data'!B373,SEARCH("-",'Bittrex Data'!B373,1)),LEN(LEFT('Bittrex Data'!B373,SEARCH("-",'Bittrex Data'!B373,1)))-1))</f>
        <v/>
      </c>
      <c r="E373" t="str">
        <f>IF('Bittrex Data'!B373="","",RIGHT(RIGHT('Bittrex Data'!B373,LEN('Bittrex Data'!B373)-SEARCH("-",'Bittrex Data'!B373,1)+1),LEN(RIGHT('Bittrex Data'!B373,LEN('Bittrex Data'!B373)-SEARCH("-",'Bittrex Data'!B373,1)+1))-1))</f>
        <v/>
      </c>
      <c r="F373" t="str">
        <f>IF('Bittrex Data'!C373="","",IF('Bittrex Data'!C373="Limit_Sell",'Bittrex Data'!G373-'Bittrex Data'!F373,IF('Bittrex Data'!C373="Limit_Buy",'Bittrex Data'!G373+'Bittrex Data'!F373,"")))</f>
        <v/>
      </c>
      <c r="G373" t="str">
        <f>IF('Bittrex Data'!B373="","",'Bittrex Data'!D373)</f>
        <v/>
      </c>
      <c r="H373" t="str">
        <f>IF('Bittrex Data'!C373="","",IF(Bittrex!C373="Buy",Bittrex!D373,IF(Bittrex!C373="Sale",Bittrex!E373,IF(AND(Bittrex!C373="Trade",'Bittrex Data'!C373="Limit_Sell"),Bittrex!E373,IF(AND(Bittrex!C373="Trade",'Bittrex Data'!C373="Limit_Buy"),Bittrex!D373,"")))))</f>
        <v/>
      </c>
      <c r="I373" t="str">
        <f>IF('Bittrex Data'!C373="","",IF(Bittrex!C373="Buy",F373,IF(C373="Sale",Bittrex!G373,IF(AND(C373="Trade",'Bittrex Data'!C373="Limit_Sell"),Bittrex!G373,IF(AND(Bittrex!C373="Trade",'Bittrex Data'!C373="Limit_Buy"),F373,"")))))</f>
        <v/>
      </c>
      <c r="J373" t="str">
        <f>IF('Bittrex Data'!B373="","",IF('Bittrex Data'!B373="","",IF(Bittrex!H373=Bittrex!E373,D373,Bittrex!E373)))</f>
        <v/>
      </c>
      <c r="K373" t="str">
        <f>IF('Bittrex Data'!B373="","",IF(Bittrex!I373=Bittrex!G373,Bittrex!F373,Bittrex!G373))</f>
        <v/>
      </c>
    </row>
    <row r="374" spans="3:11" x14ac:dyDescent="0.2">
      <c r="C374" t="str">
        <f>IF('Bittrex Data'!A374="","",IF(AND('Bittrex Data'!C374="LIMIT_SELL",Bittrex!D374="USD"),"Sale",IF(AND('Bittrex Data'!C374="LIMIT_BUY",Bittrex!D374="USD"),"Buy","Trade")))</f>
        <v/>
      </c>
      <c r="D374" t="str">
        <f>IF('Bittrex Data'!B374="","",LEFT(LEFT('Bittrex Data'!B374,SEARCH("-",'Bittrex Data'!B374,1)),LEN(LEFT('Bittrex Data'!B374,SEARCH("-",'Bittrex Data'!B374,1)))-1))</f>
        <v/>
      </c>
      <c r="E374" t="str">
        <f>IF('Bittrex Data'!B374="","",RIGHT(RIGHT('Bittrex Data'!B374,LEN('Bittrex Data'!B374)-SEARCH("-",'Bittrex Data'!B374,1)+1),LEN(RIGHT('Bittrex Data'!B374,LEN('Bittrex Data'!B374)-SEARCH("-",'Bittrex Data'!B374,1)+1))-1))</f>
        <v/>
      </c>
      <c r="F374" t="str">
        <f>IF('Bittrex Data'!C374="","",IF('Bittrex Data'!C374="Limit_Sell",'Bittrex Data'!G374-'Bittrex Data'!F374,IF('Bittrex Data'!C374="Limit_Buy",'Bittrex Data'!G374+'Bittrex Data'!F374,"")))</f>
        <v/>
      </c>
      <c r="G374" t="str">
        <f>IF('Bittrex Data'!B374="","",'Bittrex Data'!D374)</f>
        <v/>
      </c>
      <c r="H374" t="str">
        <f>IF('Bittrex Data'!C374="","",IF(Bittrex!C374="Buy",Bittrex!D374,IF(Bittrex!C374="Sale",Bittrex!E374,IF(AND(Bittrex!C374="Trade",'Bittrex Data'!C374="Limit_Sell"),Bittrex!E374,IF(AND(Bittrex!C374="Trade",'Bittrex Data'!C374="Limit_Buy"),Bittrex!D374,"")))))</f>
        <v/>
      </c>
      <c r="I374" t="str">
        <f>IF('Bittrex Data'!C374="","",IF(Bittrex!C374="Buy",F374,IF(C374="Sale",Bittrex!G374,IF(AND(C374="Trade",'Bittrex Data'!C374="Limit_Sell"),Bittrex!G374,IF(AND(Bittrex!C374="Trade",'Bittrex Data'!C374="Limit_Buy"),F374,"")))))</f>
        <v/>
      </c>
      <c r="J374" t="str">
        <f>IF('Bittrex Data'!B374="","",IF('Bittrex Data'!B374="","",IF(Bittrex!H374=Bittrex!E374,D374,Bittrex!E374)))</f>
        <v/>
      </c>
      <c r="K374" t="str">
        <f>IF('Bittrex Data'!B374="","",IF(Bittrex!I374=Bittrex!G374,Bittrex!F374,Bittrex!G374))</f>
        <v/>
      </c>
    </row>
    <row r="375" spans="3:11" x14ac:dyDescent="0.2">
      <c r="C375" t="str">
        <f>IF('Bittrex Data'!A375="","",IF(AND('Bittrex Data'!C375="LIMIT_SELL",Bittrex!D375="USD"),"Sale",IF(AND('Bittrex Data'!C375="LIMIT_BUY",Bittrex!D375="USD"),"Buy","Trade")))</f>
        <v/>
      </c>
      <c r="D375" t="str">
        <f>IF('Bittrex Data'!B375="","",LEFT(LEFT('Bittrex Data'!B375,SEARCH("-",'Bittrex Data'!B375,1)),LEN(LEFT('Bittrex Data'!B375,SEARCH("-",'Bittrex Data'!B375,1)))-1))</f>
        <v/>
      </c>
      <c r="E375" t="str">
        <f>IF('Bittrex Data'!B375="","",RIGHT(RIGHT('Bittrex Data'!B375,LEN('Bittrex Data'!B375)-SEARCH("-",'Bittrex Data'!B375,1)+1),LEN(RIGHT('Bittrex Data'!B375,LEN('Bittrex Data'!B375)-SEARCH("-",'Bittrex Data'!B375,1)+1))-1))</f>
        <v/>
      </c>
      <c r="F375" t="str">
        <f>IF('Bittrex Data'!C375="","",IF('Bittrex Data'!C375="Limit_Sell",'Bittrex Data'!G375-'Bittrex Data'!F375,IF('Bittrex Data'!C375="Limit_Buy",'Bittrex Data'!G375+'Bittrex Data'!F375,"")))</f>
        <v/>
      </c>
      <c r="G375" t="str">
        <f>IF('Bittrex Data'!B375="","",'Bittrex Data'!D375)</f>
        <v/>
      </c>
      <c r="H375" t="str">
        <f>IF('Bittrex Data'!C375="","",IF(Bittrex!C375="Buy",Bittrex!D375,IF(Bittrex!C375="Sale",Bittrex!E375,IF(AND(Bittrex!C375="Trade",'Bittrex Data'!C375="Limit_Sell"),Bittrex!E375,IF(AND(Bittrex!C375="Trade",'Bittrex Data'!C375="Limit_Buy"),Bittrex!D375,"")))))</f>
        <v/>
      </c>
      <c r="I375" t="str">
        <f>IF('Bittrex Data'!C375="","",IF(Bittrex!C375="Buy",F375,IF(C375="Sale",Bittrex!G375,IF(AND(C375="Trade",'Bittrex Data'!C375="Limit_Sell"),Bittrex!G375,IF(AND(Bittrex!C375="Trade",'Bittrex Data'!C375="Limit_Buy"),F375,"")))))</f>
        <v/>
      </c>
      <c r="J375" t="str">
        <f>IF('Bittrex Data'!B375="","",IF('Bittrex Data'!B375="","",IF(Bittrex!H375=Bittrex!E375,D375,Bittrex!E375)))</f>
        <v/>
      </c>
      <c r="K375" t="str">
        <f>IF('Bittrex Data'!B375="","",IF(Bittrex!I375=Bittrex!G375,Bittrex!F375,Bittrex!G375))</f>
        <v/>
      </c>
    </row>
    <row r="376" spans="3:11" x14ac:dyDescent="0.2">
      <c r="C376" t="str">
        <f>IF('Bittrex Data'!A376="","",IF(AND('Bittrex Data'!C376="LIMIT_SELL",Bittrex!D376="USD"),"Sale",IF(AND('Bittrex Data'!C376="LIMIT_BUY",Bittrex!D376="USD"),"Buy","Trade")))</f>
        <v/>
      </c>
      <c r="D376" t="str">
        <f>IF('Bittrex Data'!B376="","",LEFT(LEFT('Bittrex Data'!B376,SEARCH("-",'Bittrex Data'!B376,1)),LEN(LEFT('Bittrex Data'!B376,SEARCH("-",'Bittrex Data'!B376,1)))-1))</f>
        <v/>
      </c>
      <c r="E376" t="str">
        <f>IF('Bittrex Data'!B376="","",RIGHT(RIGHT('Bittrex Data'!B376,LEN('Bittrex Data'!B376)-SEARCH("-",'Bittrex Data'!B376,1)+1),LEN(RIGHT('Bittrex Data'!B376,LEN('Bittrex Data'!B376)-SEARCH("-",'Bittrex Data'!B376,1)+1))-1))</f>
        <v/>
      </c>
      <c r="F376" t="str">
        <f>IF('Bittrex Data'!C376="","",IF('Bittrex Data'!C376="Limit_Sell",'Bittrex Data'!G376-'Bittrex Data'!F376,IF('Bittrex Data'!C376="Limit_Buy",'Bittrex Data'!G376+'Bittrex Data'!F376,"")))</f>
        <v/>
      </c>
      <c r="G376" t="str">
        <f>IF('Bittrex Data'!B376="","",'Bittrex Data'!D376)</f>
        <v/>
      </c>
      <c r="H376" t="str">
        <f>IF('Bittrex Data'!C376="","",IF(Bittrex!C376="Buy",Bittrex!D376,IF(Bittrex!C376="Sale",Bittrex!E376,IF(AND(Bittrex!C376="Trade",'Bittrex Data'!C376="Limit_Sell"),Bittrex!E376,IF(AND(Bittrex!C376="Trade",'Bittrex Data'!C376="Limit_Buy"),Bittrex!D376,"")))))</f>
        <v/>
      </c>
      <c r="I376" t="str">
        <f>IF('Bittrex Data'!C376="","",IF(Bittrex!C376="Buy",F376,IF(C376="Sale",Bittrex!G376,IF(AND(C376="Trade",'Bittrex Data'!C376="Limit_Sell"),Bittrex!G376,IF(AND(Bittrex!C376="Trade",'Bittrex Data'!C376="Limit_Buy"),F376,"")))))</f>
        <v/>
      </c>
      <c r="J376" t="str">
        <f>IF('Bittrex Data'!B376="","",IF('Bittrex Data'!B376="","",IF(Bittrex!H376=Bittrex!E376,D376,Bittrex!E376)))</f>
        <v/>
      </c>
      <c r="K376" t="str">
        <f>IF('Bittrex Data'!B376="","",IF(Bittrex!I376=Bittrex!G376,Bittrex!F376,Bittrex!G376))</f>
        <v/>
      </c>
    </row>
    <row r="377" spans="3:11" x14ac:dyDescent="0.2">
      <c r="C377" t="str">
        <f>IF('Bittrex Data'!A377="","",IF(AND('Bittrex Data'!C377="LIMIT_SELL",Bittrex!D377="USD"),"Sale",IF(AND('Bittrex Data'!C377="LIMIT_BUY",Bittrex!D377="USD"),"Buy","Trade")))</f>
        <v/>
      </c>
      <c r="D377" t="str">
        <f>IF('Bittrex Data'!B377="","",LEFT(LEFT('Bittrex Data'!B377,SEARCH("-",'Bittrex Data'!B377,1)),LEN(LEFT('Bittrex Data'!B377,SEARCH("-",'Bittrex Data'!B377,1)))-1))</f>
        <v/>
      </c>
      <c r="E377" t="str">
        <f>IF('Bittrex Data'!B377="","",RIGHT(RIGHT('Bittrex Data'!B377,LEN('Bittrex Data'!B377)-SEARCH("-",'Bittrex Data'!B377,1)+1),LEN(RIGHT('Bittrex Data'!B377,LEN('Bittrex Data'!B377)-SEARCH("-",'Bittrex Data'!B377,1)+1))-1))</f>
        <v/>
      </c>
      <c r="F377" t="str">
        <f>IF('Bittrex Data'!C377="","",IF('Bittrex Data'!C377="Limit_Sell",'Bittrex Data'!G377-'Bittrex Data'!F377,IF('Bittrex Data'!C377="Limit_Buy",'Bittrex Data'!G377+'Bittrex Data'!F377,"")))</f>
        <v/>
      </c>
      <c r="G377" t="str">
        <f>IF('Bittrex Data'!B377="","",'Bittrex Data'!D377)</f>
        <v/>
      </c>
      <c r="H377" t="str">
        <f>IF('Bittrex Data'!C377="","",IF(Bittrex!C377="Buy",Bittrex!D377,IF(Bittrex!C377="Sale",Bittrex!E377,IF(AND(Bittrex!C377="Trade",'Bittrex Data'!C377="Limit_Sell"),Bittrex!E377,IF(AND(Bittrex!C377="Trade",'Bittrex Data'!C377="Limit_Buy"),Bittrex!D377,"")))))</f>
        <v/>
      </c>
      <c r="I377" t="str">
        <f>IF('Bittrex Data'!C377="","",IF(Bittrex!C377="Buy",F377,IF(C377="Sale",Bittrex!G377,IF(AND(C377="Trade",'Bittrex Data'!C377="Limit_Sell"),Bittrex!G377,IF(AND(Bittrex!C377="Trade",'Bittrex Data'!C377="Limit_Buy"),F377,"")))))</f>
        <v/>
      </c>
      <c r="J377" t="str">
        <f>IF('Bittrex Data'!B377="","",IF('Bittrex Data'!B377="","",IF(Bittrex!H377=Bittrex!E377,D377,Bittrex!E377)))</f>
        <v/>
      </c>
      <c r="K377" t="str">
        <f>IF('Bittrex Data'!B377="","",IF(Bittrex!I377=Bittrex!G377,Bittrex!F377,Bittrex!G377))</f>
        <v/>
      </c>
    </row>
    <row r="378" spans="3:11" x14ac:dyDescent="0.2">
      <c r="C378" t="str">
        <f>IF('Bittrex Data'!A378="","",IF(AND('Bittrex Data'!C378="LIMIT_SELL",Bittrex!D378="USD"),"Sale",IF(AND('Bittrex Data'!C378="LIMIT_BUY",Bittrex!D378="USD"),"Buy","Trade")))</f>
        <v/>
      </c>
      <c r="D378" t="str">
        <f>IF('Bittrex Data'!B378="","",LEFT(LEFT('Bittrex Data'!B378,SEARCH("-",'Bittrex Data'!B378,1)),LEN(LEFT('Bittrex Data'!B378,SEARCH("-",'Bittrex Data'!B378,1)))-1))</f>
        <v/>
      </c>
      <c r="E378" t="str">
        <f>IF('Bittrex Data'!B378="","",RIGHT(RIGHT('Bittrex Data'!B378,LEN('Bittrex Data'!B378)-SEARCH("-",'Bittrex Data'!B378,1)+1),LEN(RIGHT('Bittrex Data'!B378,LEN('Bittrex Data'!B378)-SEARCH("-",'Bittrex Data'!B378,1)+1))-1))</f>
        <v/>
      </c>
      <c r="F378" t="str">
        <f>IF('Bittrex Data'!C378="","",IF('Bittrex Data'!C378="Limit_Sell",'Bittrex Data'!G378-'Bittrex Data'!F378,IF('Bittrex Data'!C378="Limit_Buy",'Bittrex Data'!G378+'Bittrex Data'!F378,"")))</f>
        <v/>
      </c>
      <c r="G378" t="str">
        <f>IF('Bittrex Data'!B378="","",'Bittrex Data'!D378)</f>
        <v/>
      </c>
      <c r="H378" t="str">
        <f>IF('Bittrex Data'!C378="","",IF(Bittrex!C378="Buy",Bittrex!D378,IF(Bittrex!C378="Sale",Bittrex!E378,IF(AND(Bittrex!C378="Trade",'Bittrex Data'!C378="Limit_Sell"),Bittrex!E378,IF(AND(Bittrex!C378="Trade",'Bittrex Data'!C378="Limit_Buy"),Bittrex!D378,"")))))</f>
        <v/>
      </c>
      <c r="I378" t="str">
        <f>IF('Bittrex Data'!C378="","",IF(Bittrex!C378="Buy",F378,IF(C378="Sale",Bittrex!G378,IF(AND(C378="Trade",'Bittrex Data'!C378="Limit_Sell"),Bittrex!G378,IF(AND(Bittrex!C378="Trade",'Bittrex Data'!C378="Limit_Buy"),F378,"")))))</f>
        <v/>
      </c>
      <c r="J378" t="str">
        <f>IF('Bittrex Data'!B378="","",IF('Bittrex Data'!B378="","",IF(Bittrex!H378=Bittrex!E378,D378,Bittrex!E378)))</f>
        <v/>
      </c>
      <c r="K378" t="str">
        <f>IF('Bittrex Data'!B378="","",IF(Bittrex!I378=Bittrex!G378,Bittrex!F378,Bittrex!G378))</f>
        <v/>
      </c>
    </row>
    <row r="379" spans="3:11" x14ac:dyDescent="0.2">
      <c r="C379" t="str">
        <f>IF('Bittrex Data'!A379="","",IF(AND('Bittrex Data'!C379="LIMIT_SELL",Bittrex!D379="USD"),"Sale",IF(AND('Bittrex Data'!C379="LIMIT_BUY",Bittrex!D379="USD"),"Buy","Trade")))</f>
        <v/>
      </c>
      <c r="D379" t="str">
        <f>IF('Bittrex Data'!B379="","",LEFT(LEFT('Bittrex Data'!B379,SEARCH("-",'Bittrex Data'!B379,1)),LEN(LEFT('Bittrex Data'!B379,SEARCH("-",'Bittrex Data'!B379,1)))-1))</f>
        <v/>
      </c>
      <c r="E379" t="str">
        <f>IF('Bittrex Data'!B379="","",RIGHT(RIGHT('Bittrex Data'!B379,LEN('Bittrex Data'!B379)-SEARCH("-",'Bittrex Data'!B379,1)+1),LEN(RIGHT('Bittrex Data'!B379,LEN('Bittrex Data'!B379)-SEARCH("-",'Bittrex Data'!B379,1)+1))-1))</f>
        <v/>
      </c>
      <c r="F379" t="str">
        <f>IF('Bittrex Data'!C379="","",IF('Bittrex Data'!C379="Limit_Sell",'Bittrex Data'!G379-'Bittrex Data'!F379,IF('Bittrex Data'!C379="Limit_Buy",'Bittrex Data'!G379+'Bittrex Data'!F379,"")))</f>
        <v/>
      </c>
      <c r="G379" t="str">
        <f>IF('Bittrex Data'!B379="","",'Bittrex Data'!D379)</f>
        <v/>
      </c>
      <c r="H379" t="str">
        <f>IF('Bittrex Data'!C379="","",IF(Bittrex!C379="Buy",Bittrex!D379,IF(Bittrex!C379="Sale",Bittrex!E379,IF(AND(Bittrex!C379="Trade",'Bittrex Data'!C379="Limit_Sell"),Bittrex!E379,IF(AND(Bittrex!C379="Trade",'Bittrex Data'!C379="Limit_Buy"),Bittrex!D379,"")))))</f>
        <v/>
      </c>
      <c r="I379" t="str">
        <f>IF('Bittrex Data'!C379="","",IF(Bittrex!C379="Buy",F379,IF(C379="Sale",Bittrex!G379,IF(AND(C379="Trade",'Bittrex Data'!C379="Limit_Sell"),Bittrex!G379,IF(AND(Bittrex!C379="Trade",'Bittrex Data'!C379="Limit_Buy"),F379,"")))))</f>
        <v/>
      </c>
      <c r="J379" t="str">
        <f>IF('Bittrex Data'!B379="","",IF('Bittrex Data'!B379="","",IF(Bittrex!H379=Bittrex!E379,D379,Bittrex!E379)))</f>
        <v/>
      </c>
      <c r="K379" t="str">
        <f>IF('Bittrex Data'!B379="","",IF(Bittrex!I379=Bittrex!G379,Bittrex!F379,Bittrex!G379))</f>
        <v/>
      </c>
    </row>
    <row r="380" spans="3:11" x14ac:dyDescent="0.2">
      <c r="C380" t="str">
        <f>IF('Bittrex Data'!A380="","",IF(AND('Bittrex Data'!C380="LIMIT_SELL",Bittrex!D380="USD"),"Sale",IF(AND('Bittrex Data'!C380="LIMIT_BUY",Bittrex!D380="USD"),"Buy","Trade")))</f>
        <v/>
      </c>
      <c r="D380" t="str">
        <f>IF('Bittrex Data'!B380="","",LEFT(LEFT('Bittrex Data'!B380,SEARCH("-",'Bittrex Data'!B380,1)),LEN(LEFT('Bittrex Data'!B380,SEARCH("-",'Bittrex Data'!B380,1)))-1))</f>
        <v/>
      </c>
      <c r="E380" t="str">
        <f>IF('Bittrex Data'!B380="","",RIGHT(RIGHT('Bittrex Data'!B380,LEN('Bittrex Data'!B380)-SEARCH("-",'Bittrex Data'!B380,1)+1),LEN(RIGHT('Bittrex Data'!B380,LEN('Bittrex Data'!B380)-SEARCH("-",'Bittrex Data'!B380,1)+1))-1))</f>
        <v/>
      </c>
      <c r="F380" t="str">
        <f>IF('Bittrex Data'!C380="","",IF('Bittrex Data'!C380="Limit_Sell",'Bittrex Data'!G380-'Bittrex Data'!F380,IF('Bittrex Data'!C380="Limit_Buy",'Bittrex Data'!G380+'Bittrex Data'!F380,"")))</f>
        <v/>
      </c>
      <c r="G380" t="str">
        <f>IF('Bittrex Data'!B380="","",'Bittrex Data'!D380)</f>
        <v/>
      </c>
      <c r="H380" t="str">
        <f>IF('Bittrex Data'!C380="","",IF(Bittrex!C380="Buy",Bittrex!D380,IF(Bittrex!C380="Sale",Bittrex!E380,IF(AND(Bittrex!C380="Trade",'Bittrex Data'!C380="Limit_Sell"),Bittrex!E380,IF(AND(Bittrex!C380="Trade",'Bittrex Data'!C380="Limit_Buy"),Bittrex!D380,"")))))</f>
        <v/>
      </c>
      <c r="I380" t="str">
        <f>IF('Bittrex Data'!C380="","",IF(Bittrex!C380="Buy",F380,IF(C380="Sale",Bittrex!G380,IF(AND(C380="Trade",'Bittrex Data'!C380="Limit_Sell"),Bittrex!G380,IF(AND(Bittrex!C380="Trade",'Bittrex Data'!C380="Limit_Buy"),F380,"")))))</f>
        <v/>
      </c>
      <c r="J380" t="str">
        <f>IF('Bittrex Data'!B380="","",IF('Bittrex Data'!B380="","",IF(Bittrex!H380=Bittrex!E380,D380,Bittrex!E380)))</f>
        <v/>
      </c>
      <c r="K380" t="str">
        <f>IF('Bittrex Data'!B380="","",IF(Bittrex!I380=Bittrex!G380,Bittrex!F380,Bittrex!G380))</f>
        <v/>
      </c>
    </row>
    <row r="381" spans="3:11" x14ac:dyDescent="0.2">
      <c r="C381" t="str">
        <f>IF('Bittrex Data'!A381="","",IF(AND('Bittrex Data'!C381="LIMIT_SELL",Bittrex!D381="USD"),"Sale",IF(AND('Bittrex Data'!C381="LIMIT_BUY",Bittrex!D381="USD"),"Buy","Trade")))</f>
        <v/>
      </c>
      <c r="D381" t="str">
        <f>IF('Bittrex Data'!B381="","",LEFT(LEFT('Bittrex Data'!B381,SEARCH("-",'Bittrex Data'!B381,1)),LEN(LEFT('Bittrex Data'!B381,SEARCH("-",'Bittrex Data'!B381,1)))-1))</f>
        <v/>
      </c>
      <c r="E381" t="str">
        <f>IF('Bittrex Data'!B381="","",RIGHT(RIGHT('Bittrex Data'!B381,LEN('Bittrex Data'!B381)-SEARCH("-",'Bittrex Data'!B381,1)+1),LEN(RIGHT('Bittrex Data'!B381,LEN('Bittrex Data'!B381)-SEARCH("-",'Bittrex Data'!B381,1)+1))-1))</f>
        <v/>
      </c>
      <c r="F381" t="str">
        <f>IF('Bittrex Data'!C381="","",IF('Bittrex Data'!C381="Limit_Sell",'Bittrex Data'!G381-'Bittrex Data'!F381,IF('Bittrex Data'!C381="Limit_Buy",'Bittrex Data'!G381+'Bittrex Data'!F381,"")))</f>
        <v/>
      </c>
      <c r="G381" t="str">
        <f>IF('Bittrex Data'!B381="","",'Bittrex Data'!D381)</f>
        <v/>
      </c>
      <c r="H381" t="str">
        <f>IF('Bittrex Data'!C381="","",IF(Bittrex!C381="Buy",Bittrex!D381,IF(Bittrex!C381="Sale",Bittrex!E381,IF(AND(Bittrex!C381="Trade",'Bittrex Data'!C381="Limit_Sell"),Bittrex!E381,IF(AND(Bittrex!C381="Trade",'Bittrex Data'!C381="Limit_Buy"),Bittrex!D381,"")))))</f>
        <v/>
      </c>
      <c r="I381" t="str">
        <f>IF('Bittrex Data'!C381="","",IF(Bittrex!C381="Buy",F381,IF(C381="Sale",Bittrex!G381,IF(AND(C381="Trade",'Bittrex Data'!C381="Limit_Sell"),Bittrex!G381,IF(AND(Bittrex!C381="Trade",'Bittrex Data'!C381="Limit_Buy"),F381,"")))))</f>
        <v/>
      </c>
      <c r="J381" t="str">
        <f>IF('Bittrex Data'!B381="","",IF('Bittrex Data'!B381="","",IF(Bittrex!H381=Bittrex!E381,D381,Bittrex!E381)))</f>
        <v/>
      </c>
      <c r="K381" t="str">
        <f>IF('Bittrex Data'!B381="","",IF(Bittrex!I381=Bittrex!G381,Bittrex!F381,Bittrex!G381))</f>
        <v/>
      </c>
    </row>
    <row r="382" spans="3:11" x14ac:dyDescent="0.2">
      <c r="C382" t="str">
        <f>IF('Bittrex Data'!A382="","",IF(AND('Bittrex Data'!C382="LIMIT_SELL",Bittrex!D382="USD"),"Sale",IF(AND('Bittrex Data'!C382="LIMIT_BUY",Bittrex!D382="USD"),"Buy","Trade")))</f>
        <v/>
      </c>
      <c r="D382" t="str">
        <f>IF('Bittrex Data'!B382="","",LEFT(LEFT('Bittrex Data'!B382,SEARCH("-",'Bittrex Data'!B382,1)),LEN(LEFT('Bittrex Data'!B382,SEARCH("-",'Bittrex Data'!B382,1)))-1))</f>
        <v/>
      </c>
      <c r="E382" t="str">
        <f>IF('Bittrex Data'!B382="","",RIGHT(RIGHT('Bittrex Data'!B382,LEN('Bittrex Data'!B382)-SEARCH("-",'Bittrex Data'!B382,1)+1),LEN(RIGHT('Bittrex Data'!B382,LEN('Bittrex Data'!B382)-SEARCH("-",'Bittrex Data'!B382,1)+1))-1))</f>
        <v/>
      </c>
      <c r="F382" t="str">
        <f>IF('Bittrex Data'!C382="","",IF('Bittrex Data'!C382="Limit_Sell",'Bittrex Data'!G382-'Bittrex Data'!F382,IF('Bittrex Data'!C382="Limit_Buy",'Bittrex Data'!G382+'Bittrex Data'!F382,"")))</f>
        <v/>
      </c>
      <c r="G382" t="str">
        <f>IF('Bittrex Data'!B382="","",'Bittrex Data'!D382)</f>
        <v/>
      </c>
      <c r="H382" t="str">
        <f>IF('Bittrex Data'!C382="","",IF(Bittrex!C382="Buy",Bittrex!D382,IF(Bittrex!C382="Sale",Bittrex!E382,IF(AND(Bittrex!C382="Trade",'Bittrex Data'!C382="Limit_Sell"),Bittrex!E382,IF(AND(Bittrex!C382="Trade",'Bittrex Data'!C382="Limit_Buy"),Bittrex!D382,"")))))</f>
        <v/>
      </c>
      <c r="I382" t="str">
        <f>IF('Bittrex Data'!C382="","",IF(Bittrex!C382="Buy",F382,IF(C382="Sale",Bittrex!G382,IF(AND(C382="Trade",'Bittrex Data'!C382="Limit_Sell"),Bittrex!G382,IF(AND(Bittrex!C382="Trade",'Bittrex Data'!C382="Limit_Buy"),F382,"")))))</f>
        <v/>
      </c>
      <c r="J382" t="str">
        <f>IF('Bittrex Data'!B382="","",IF('Bittrex Data'!B382="","",IF(Bittrex!H382=Bittrex!E382,D382,Bittrex!E382)))</f>
        <v/>
      </c>
      <c r="K382" t="str">
        <f>IF('Bittrex Data'!B382="","",IF(Bittrex!I382=Bittrex!G382,Bittrex!F382,Bittrex!G382))</f>
        <v/>
      </c>
    </row>
    <row r="383" spans="3:11" x14ac:dyDescent="0.2">
      <c r="C383" t="str">
        <f>IF('Bittrex Data'!A383="","",IF(AND('Bittrex Data'!C383="LIMIT_SELL",Bittrex!D383="USD"),"Sale",IF(AND('Bittrex Data'!C383="LIMIT_BUY",Bittrex!D383="USD"),"Buy","Trade")))</f>
        <v/>
      </c>
      <c r="D383" t="str">
        <f>IF('Bittrex Data'!B383="","",LEFT(LEFT('Bittrex Data'!B383,SEARCH("-",'Bittrex Data'!B383,1)),LEN(LEFT('Bittrex Data'!B383,SEARCH("-",'Bittrex Data'!B383,1)))-1))</f>
        <v/>
      </c>
      <c r="E383" t="str">
        <f>IF('Bittrex Data'!B383="","",RIGHT(RIGHT('Bittrex Data'!B383,LEN('Bittrex Data'!B383)-SEARCH("-",'Bittrex Data'!B383,1)+1),LEN(RIGHT('Bittrex Data'!B383,LEN('Bittrex Data'!B383)-SEARCH("-",'Bittrex Data'!B383,1)+1))-1))</f>
        <v/>
      </c>
      <c r="F383" t="str">
        <f>IF('Bittrex Data'!C383="","",IF('Bittrex Data'!C383="Limit_Sell",'Bittrex Data'!G383-'Bittrex Data'!F383,IF('Bittrex Data'!C383="Limit_Buy",'Bittrex Data'!G383+'Bittrex Data'!F383,"")))</f>
        <v/>
      </c>
      <c r="G383" t="str">
        <f>IF('Bittrex Data'!B383="","",'Bittrex Data'!D383)</f>
        <v/>
      </c>
      <c r="H383" t="str">
        <f>IF('Bittrex Data'!C383="","",IF(Bittrex!C383="Buy",Bittrex!D383,IF(Bittrex!C383="Sale",Bittrex!E383,IF(AND(Bittrex!C383="Trade",'Bittrex Data'!C383="Limit_Sell"),Bittrex!E383,IF(AND(Bittrex!C383="Trade",'Bittrex Data'!C383="Limit_Buy"),Bittrex!D383,"")))))</f>
        <v/>
      </c>
      <c r="I383" t="str">
        <f>IF('Bittrex Data'!C383="","",IF(Bittrex!C383="Buy",F383,IF(C383="Sale",Bittrex!G383,IF(AND(C383="Trade",'Bittrex Data'!C383="Limit_Sell"),Bittrex!G383,IF(AND(Bittrex!C383="Trade",'Bittrex Data'!C383="Limit_Buy"),F383,"")))))</f>
        <v/>
      </c>
      <c r="J383" t="str">
        <f>IF('Bittrex Data'!B383="","",IF('Bittrex Data'!B383="","",IF(Bittrex!H383=Bittrex!E383,D383,Bittrex!E383)))</f>
        <v/>
      </c>
      <c r="K383" t="str">
        <f>IF('Bittrex Data'!B383="","",IF(Bittrex!I383=Bittrex!G383,Bittrex!F383,Bittrex!G383))</f>
        <v/>
      </c>
    </row>
    <row r="384" spans="3:11" x14ac:dyDescent="0.2">
      <c r="C384" t="str">
        <f>IF('Bittrex Data'!A384="","",IF(AND('Bittrex Data'!C384="LIMIT_SELL",Bittrex!D384="USD"),"Sale",IF(AND('Bittrex Data'!C384="LIMIT_BUY",Bittrex!D384="USD"),"Buy","Trade")))</f>
        <v/>
      </c>
      <c r="D384" t="str">
        <f>IF('Bittrex Data'!B384="","",LEFT(LEFT('Bittrex Data'!B384,SEARCH("-",'Bittrex Data'!B384,1)),LEN(LEFT('Bittrex Data'!B384,SEARCH("-",'Bittrex Data'!B384,1)))-1))</f>
        <v/>
      </c>
      <c r="E384" t="str">
        <f>IF('Bittrex Data'!B384="","",RIGHT(RIGHT('Bittrex Data'!B384,LEN('Bittrex Data'!B384)-SEARCH("-",'Bittrex Data'!B384,1)+1),LEN(RIGHT('Bittrex Data'!B384,LEN('Bittrex Data'!B384)-SEARCH("-",'Bittrex Data'!B384,1)+1))-1))</f>
        <v/>
      </c>
      <c r="F384" t="str">
        <f>IF('Bittrex Data'!C384="","",IF('Bittrex Data'!C384="Limit_Sell",'Bittrex Data'!G384-'Bittrex Data'!F384,IF('Bittrex Data'!C384="Limit_Buy",'Bittrex Data'!G384+'Bittrex Data'!F384,"")))</f>
        <v/>
      </c>
      <c r="G384" t="str">
        <f>IF('Bittrex Data'!B384="","",'Bittrex Data'!D384)</f>
        <v/>
      </c>
      <c r="H384" t="str">
        <f>IF('Bittrex Data'!C384="","",IF(Bittrex!C384="Buy",Bittrex!D384,IF(Bittrex!C384="Sale",Bittrex!E384,IF(AND(Bittrex!C384="Trade",'Bittrex Data'!C384="Limit_Sell"),Bittrex!E384,IF(AND(Bittrex!C384="Trade",'Bittrex Data'!C384="Limit_Buy"),Bittrex!D384,"")))))</f>
        <v/>
      </c>
      <c r="I384" t="str">
        <f>IF('Bittrex Data'!C384="","",IF(Bittrex!C384="Buy",F384,IF(C384="Sale",Bittrex!G384,IF(AND(C384="Trade",'Bittrex Data'!C384="Limit_Sell"),Bittrex!G384,IF(AND(Bittrex!C384="Trade",'Bittrex Data'!C384="Limit_Buy"),F384,"")))))</f>
        <v/>
      </c>
      <c r="J384" t="str">
        <f>IF('Bittrex Data'!B384="","",IF('Bittrex Data'!B384="","",IF(Bittrex!H384=Bittrex!E384,D384,Bittrex!E384)))</f>
        <v/>
      </c>
      <c r="K384" t="str">
        <f>IF('Bittrex Data'!B384="","",IF(Bittrex!I384=Bittrex!G384,Bittrex!F384,Bittrex!G384))</f>
        <v/>
      </c>
    </row>
    <row r="385" spans="3:11" x14ac:dyDescent="0.2">
      <c r="C385" t="str">
        <f>IF('Bittrex Data'!A385="","",IF(AND('Bittrex Data'!C385="LIMIT_SELL",Bittrex!D385="USD"),"Sale",IF(AND('Bittrex Data'!C385="LIMIT_BUY",Bittrex!D385="USD"),"Buy","Trade")))</f>
        <v/>
      </c>
      <c r="D385" t="str">
        <f>IF('Bittrex Data'!B385="","",LEFT(LEFT('Bittrex Data'!B385,SEARCH("-",'Bittrex Data'!B385,1)),LEN(LEFT('Bittrex Data'!B385,SEARCH("-",'Bittrex Data'!B385,1)))-1))</f>
        <v/>
      </c>
      <c r="E385" t="str">
        <f>IF('Bittrex Data'!B385="","",RIGHT(RIGHT('Bittrex Data'!B385,LEN('Bittrex Data'!B385)-SEARCH("-",'Bittrex Data'!B385,1)+1),LEN(RIGHT('Bittrex Data'!B385,LEN('Bittrex Data'!B385)-SEARCH("-",'Bittrex Data'!B385,1)+1))-1))</f>
        <v/>
      </c>
      <c r="F385" t="str">
        <f>IF('Bittrex Data'!C385="","",IF('Bittrex Data'!C385="Limit_Sell",'Bittrex Data'!G385-'Bittrex Data'!F385,IF('Bittrex Data'!C385="Limit_Buy",'Bittrex Data'!G385+'Bittrex Data'!F385,"")))</f>
        <v/>
      </c>
      <c r="G385" t="str">
        <f>IF('Bittrex Data'!B385="","",'Bittrex Data'!D385)</f>
        <v/>
      </c>
      <c r="H385" t="str">
        <f>IF('Bittrex Data'!C385="","",IF(Bittrex!C385="Buy",Bittrex!D385,IF(Bittrex!C385="Sale",Bittrex!E385,IF(AND(Bittrex!C385="Trade",'Bittrex Data'!C385="Limit_Sell"),Bittrex!E385,IF(AND(Bittrex!C385="Trade",'Bittrex Data'!C385="Limit_Buy"),Bittrex!D385,"")))))</f>
        <v/>
      </c>
      <c r="I385" t="str">
        <f>IF('Bittrex Data'!C385="","",IF(Bittrex!C385="Buy",F385,IF(C385="Sale",Bittrex!G385,IF(AND(C385="Trade",'Bittrex Data'!C385="Limit_Sell"),Bittrex!G385,IF(AND(Bittrex!C385="Trade",'Bittrex Data'!C385="Limit_Buy"),F385,"")))))</f>
        <v/>
      </c>
      <c r="J385" t="str">
        <f>IF('Bittrex Data'!B385="","",IF('Bittrex Data'!B385="","",IF(Bittrex!H385=Bittrex!E385,D385,Bittrex!E385)))</f>
        <v/>
      </c>
      <c r="K385" t="str">
        <f>IF('Bittrex Data'!B385="","",IF(Bittrex!I385=Bittrex!G385,Bittrex!F385,Bittrex!G385))</f>
        <v/>
      </c>
    </row>
    <row r="386" spans="3:11" x14ac:dyDescent="0.2">
      <c r="C386" t="str">
        <f>IF('Bittrex Data'!A386="","",IF(AND('Bittrex Data'!C386="LIMIT_SELL",Bittrex!D386="USD"),"Sale",IF(AND('Bittrex Data'!C386="LIMIT_BUY",Bittrex!D386="USD"),"Buy","Trade")))</f>
        <v/>
      </c>
      <c r="D386" t="str">
        <f>IF('Bittrex Data'!B386="","",LEFT(LEFT('Bittrex Data'!B386,SEARCH("-",'Bittrex Data'!B386,1)),LEN(LEFT('Bittrex Data'!B386,SEARCH("-",'Bittrex Data'!B386,1)))-1))</f>
        <v/>
      </c>
      <c r="E386" t="str">
        <f>IF('Bittrex Data'!B386="","",RIGHT(RIGHT('Bittrex Data'!B386,LEN('Bittrex Data'!B386)-SEARCH("-",'Bittrex Data'!B386,1)+1),LEN(RIGHT('Bittrex Data'!B386,LEN('Bittrex Data'!B386)-SEARCH("-",'Bittrex Data'!B386,1)+1))-1))</f>
        <v/>
      </c>
      <c r="F386" t="str">
        <f>IF('Bittrex Data'!C386="","",IF('Bittrex Data'!C386="Limit_Sell",'Bittrex Data'!G386-'Bittrex Data'!F386,IF('Bittrex Data'!C386="Limit_Buy",'Bittrex Data'!G386+'Bittrex Data'!F386,"")))</f>
        <v/>
      </c>
      <c r="G386" t="str">
        <f>IF('Bittrex Data'!B386="","",'Bittrex Data'!D386)</f>
        <v/>
      </c>
      <c r="H386" t="str">
        <f>IF('Bittrex Data'!C386="","",IF(Bittrex!C386="Buy",Bittrex!D386,IF(Bittrex!C386="Sale",Bittrex!E386,IF(AND(Bittrex!C386="Trade",'Bittrex Data'!C386="Limit_Sell"),Bittrex!E386,IF(AND(Bittrex!C386="Trade",'Bittrex Data'!C386="Limit_Buy"),Bittrex!D386,"")))))</f>
        <v/>
      </c>
      <c r="I386" t="str">
        <f>IF('Bittrex Data'!C386="","",IF(Bittrex!C386="Buy",F386,IF(C386="Sale",Bittrex!G386,IF(AND(C386="Trade",'Bittrex Data'!C386="Limit_Sell"),Bittrex!G386,IF(AND(Bittrex!C386="Trade",'Bittrex Data'!C386="Limit_Buy"),F386,"")))))</f>
        <v/>
      </c>
      <c r="J386" t="str">
        <f>IF('Bittrex Data'!B386="","",IF('Bittrex Data'!B386="","",IF(Bittrex!H386=Bittrex!E386,D386,Bittrex!E386)))</f>
        <v/>
      </c>
      <c r="K386" t="str">
        <f>IF('Bittrex Data'!B386="","",IF(Bittrex!I386=Bittrex!G386,Bittrex!F386,Bittrex!G386))</f>
        <v/>
      </c>
    </row>
    <row r="387" spans="3:11" x14ac:dyDescent="0.2">
      <c r="C387" t="str">
        <f>IF('Bittrex Data'!A387="","",IF(AND('Bittrex Data'!C387="LIMIT_SELL",Bittrex!D387="USD"),"Sale",IF(AND('Bittrex Data'!C387="LIMIT_BUY",Bittrex!D387="USD"),"Buy","Trade")))</f>
        <v/>
      </c>
      <c r="D387" t="str">
        <f>IF('Bittrex Data'!B387="","",LEFT(LEFT('Bittrex Data'!B387,SEARCH("-",'Bittrex Data'!B387,1)),LEN(LEFT('Bittrex Data'!B387,SEARCH("-",'Bittrex Data'!B387,1)))-1))</f>
        <v/>
      </c>
      <c r="E387" t="str">
        <f>IF('Bittrex Data'!B387="","",RIGHT(RIGHT('Bittrex Data'!B387,LEN('Bittrex Data'!B387)-SEARCH("-",'Bittrex Data'!B387,1)+1),LEN(RIGHT('Bittrex Data'!B387,LEN('Bittrex Data'!B387)-SEARCH("-",'Bittrex Data'!B387,1)+1))-1))</f>
        <v/>
      </c>
      <c r="F387" t="str">
        <f>IF('Bittrex Data'!C387="","",IF('Bittrex Data'!C387="Limit_Sell",'Bittrex Data'!G387-'Bittrex Data'!F387,IF('Bittrex Data'!C387="Limit_Buy",'Bittrex Data'!G387+'Bittrex Data'!F387,"")))</f>
        <v/>
      </c>
      <c r="G387" t="str">
        <f>IF('Bittrex Data'!B387="","",'Bittrex Data'!D387)</f>
        <v/>
      </c>
      <c r="H387" t="str">
        <f>IF('Bittrex Data'!C387="","",IF(Bittrex!C387="Buy",Bittrex!D387,IF(Bittrex!C387="Sale",Bittrex!E387,IF(AND(Bittrex!C387="Trade",'Bittrex Data'!C387="Limit_Sell"),Bittrex!E387,IF(AND(Bittrex!C387="Trade",'Bittrex Data'!C387="Limit_Buy"),Bittrex!D387,"")))))</f>
        <v/>
      </c>
      <c r="I387" t="str">
        <f>IF('Bittrex Data'!C387="","",IF(Bittrex!C387="Buy",F387,IF(C387="Sale",Bittrex!G387,IF(AND(C387="Trade",'Bittrex Data'!C387="Limit_Sell"),Bittrex!G387,IF(AND(Bittrex!C387="Trade",'Bittrex Data'!C387="Limit_Buy"),F387,"")))))</f>
        <v/>
      </c>
      <c r="J387" t="str">
        <f>IF('Bittrex Data'!B387="","",IF('Bittrex Data'!B387="","",IF(Bittrex!H387=Bittrex!E387,D387,Bittrex!E387)))</f>
        <v/>
      </c>
      <c r="K387" t="str">
        <f>IF('Bittrex Data'!B387="","",IF(Bittrex!I387=Bittrex!G387,Bittrex!F387,Bittrex!G387))</f>
        <v/>
      </c>
    </row>
    <row r="388" spans="3:11" x14ac:dyDescent="0.2">
      <c r="C388" t="str">
        <f>IF('Bittrex Data'!A388="","",IF(AND('Bittrex Data'!C388="LIMIT_SELL",Bittrex!D388="USD"),"Sale",IF(AND('Bittrex Data'!C388="LIMIT_BUY",Bittrex!D388="USD"),"Buy","Trade")))</f>
        <v/>
      </c>
      <c r="D388" t="str">
        <f>IF('Bittrex Data'!B388="","",LEFT(LEFT('Bittrex Data'!B388,SEARCH("-",'Bittrex Data'!B388,1)),LEN(LEFT('Bittrex Data'!B388,SEARCH("-",'Bittrex Data'!B388,1)))-1))</f>
        <v/>
      </c>
      <c r="E388" t="str">
        <f>IF('Bittrex Data'!B388="","",RIGHT(RIGHT('Bittrex Data'!B388,LEN('Bittrex Data'!B388)-SEARCH("-",'Bittrex Data'!B388,1)+1),LEN(RIGHT('Bittrex Data'!B388,LEN('Bittrex Data'!B388)-SEARCH("-",'Bittrex Data'!B388,1)+1))-1))</f>
        <v/>
      </c>
      <c r="F388" t="str">
        <f>IF('Bittrex Data'!C388="","",IF('Bittrex Data'!C388="Limit_Sell",'Bittrex Data'!G388-'Bittrex Data'!F388,IF('Bittrex Data'!C388="Limit_Buy",'Bittrex Data'!G388+'Bittrex Data'!F388,"")))</f>
        <v/>
      </c>
      <c r="G388" t="str">
        <f>IF('Bittrex Data'!B388="","",'Bittrex Data'!D388)</f>
        <v/>
      </c>
      <c r="H388" t="str">
        <f>IF('Bittrex Data'!C388="","",IF(Bittrex!C388="Buy",Bittrex!D388,IF(Bittrex!C388="Sale",Bittrex!E388,IF(AND(Bittrex!C388="Trade",'Bittrex Data'!C388="Limit_Sell"),Bittrex!E388,IF(AND(Bittrex!C388="Trade",'Bittrex Data'!C388="Limit_Buy"),Bittrex!D388,"")))))</f>
        <v/>
      </c>
      <c r="I388" t="str">
        <f>IF('Bittrex Data'!C388="","",IF(Bittrex!C388="Buy",F388,IF(C388="Sale",Bittrex!G388,IF(AND(C388="Trade",'Bittrex Data'!C388="Limit_Sell"),Bittrex!G388,IF(AND(Bittrex!C388="Trade",'Bittrex Data'!C388="Limit_Buy"),F388,"")))))</f>
        <v/>
      </c>
      <c r="J388" t="str">
        <f>IF('Bittrex Data'!B388="","",IF('Bittrex Data'!B388="","",IF(Bittrex!H388=Bittrex!E388,D388,Bittrex!E388)))</f>
        <v/>
      </c>
      <c r="K388" t="str">
        <f>IF('Bittrex Data'!B388="","",IF(Bittrex!I388=Bittrex!G388,Bittrex!F388,Bittrex!G388))</f>
        <v/>
      </c>
    </row>
    <row r="389" spans="3:11" x14ac:dyDescent="0.2">
      <c r="C389" t="str">
        <f>IF('Bittrex Data'!A389="","",IF(AND('Bittrex Data'!C389="LIMIT_SELL",Bittrex!D389="USD"),"Sale",IF(AND('Bittrex Data'!C389="LIMIT_BUY",Bittrex!D389="USD"),"Buy","Trade")))</f>
        <v/>
      </c>
      <c r="D389" t="str">
        <f>IF('Bittrex Data'!B389="","",LEFT(LEFT('Bittrex Data'!B389,SEARCH("-",'Bittrex Data'!B389,1)),LEN(LEFT('Bittrex Data'!B389,SEARCH("-",'Bittrex Data'!B389,1)))-1))</f>
        <v/>
      </c>
      <c r="E389" t="str">
        <f>IF('Bittrex Data'!B389="","",RIGHT(RIGHT('Bittrex Data'!B389,LEN('Bittrex Data'!B389)-SEARCH("-",'Bittrex Data'!B389,1)+1),LEN(RIGHT('Bittrex Data'!B389,LEN('Bittrex Data'!B389)-SEARCH("-",'Bittrex Data'!B389,1)+1))-1))</f>
        <v/>
      </c>
      <c r="F389" t="str">
        <f>IF('Bittrex Data'!C389="","",IF('Bittrex Data'!C389="Limit_Sell",'Bittrex Data'!G389-'Bittrex Data'!F389,IF('Bittrex Data'!C389="Limit_Buy",'Bittrex Data'!G389+'Bittrex Data'!F389,"")))</f>
        <v/>
      </c>
      <c r="G389" t="str">
        <f>IF('Bittrex Data'!B389="","",'Bittrex Data'!D389)</f>
        <v/>
      </c>
      <c r="H389" t="str">
        <f>IF('Bittrex Data'!C389="","",IF(Bittrex!C389="Buy",Bittrex!D389,IF(Bittrex!C389="Sale",Bittrex!E389,IF(AND(Bittrex!C389="Trade",'Bittrex Data'!C389="Limit_Sell"),Bittrex!E389,IF(AND(Bittrex!C389="Trade",'Bittrex Data'!C389="Limit_Buy"),Bittrex!D389,"")))))</f>
        <v/>
      </c>
      <c r="I389" t="str">
        <f>IF('Bittrex Data'!C389="","",IF(Bittrex!C389="Buy",F389,IF(C389="Sale",Bittrex!G389,IF(AND(C389="Trade",'Bittrex Data'!C389="Limit_Sell"),Bittrex!G389,IF(AND(Bittrex!C389="Trade",'Bittrex Data'!C389="Limit_Buy"),F389,"")))))</f>
        <v/>
      </c>
      <c r="J389" t="str">
        <f>IF('Bittrex Data'!B389="","",IF('Bittrex Data'!B389="","",IF(Bittrex!H389=Bittrex!E389,D389,Bittrex!E389)))</f>
        <v/>
      </c>
      <c r="K389" t="str">
        <f>IF('Bittrex Data'!B389="","",IF(Bittrex!I389=Bittrex!G389,Bittrex!F389,Bittrex!G389))</f>
        <v/>
      </c>
    </row>
    <row r="390" spans="3:11" x14ac:dyDescent="0.2">
      <c r="C390" t="str">
        <f>IF('Bittrex Data'!A390="","",IF(AND('Bittrex Data'!C390="LIMIT_SELL",Bittrex!D390="USD"),"Sale",IF(AND('Bittrex Data'!C390="LIMIT_BUY",Bittrex!D390="USD"),"Buy","Trade")))</f>
        <v/>
      </c>
      <c r="D390" t="str">
        <f>IF('Bittrex Data'!B390="","",LEFT(LEFT('Bittrex Data'!B390,SEARCH("-",'Bittrex Data'!B390,1)),LEN(LEFT('Bittrex Data'!B390,SEARCH("-",'Bittrex Data'!B390,1)))-1))</f>
        <v/>
      </c>
      <c r="E390" t="str">
        <f>IF('Bittrex Data'!B390="","",RIGHT(RIGHT('Bittrex Data'!B390,LEN('Bittrex Data'!B390)-SEARCH("-",'Bittrex Data'!B390,1)+1),LEN(RIGHT('Bittrex Data'!B390,LEN('Bittrex Data'!B390)-SEARCH("-",'Bittrex Data'!B390,1)+1))-1))</f>
        <v/>
      </c>
      <c r="F390" t="str">
        <f>IF('Bittrex Data'!C390="","",IF('Bittrex Data'!C390="Limit_Sell",'Bittrex Data'!G390-'Bittrex Data'!F390,IF('Bittrex Data'!C390="Limit_Buy",'Bittrex Data'!G390+'Bittrex Data'!F390,"")))</f>
        <v/>
      </c>
      <c r="G390" t="str">
        <f>IF('Bittrex Data'!B390="","",'Bittrex Data'!D390)</f>
        <v/>
      </c>
      <c r="H390" t="str">
        <f>IF('Bittrex Data'!C390="","",IF(Bittrex!C390="Buy",Bittrex!D390,IF(Bittrex!C390="Sale",Bittrex!E390,IF(AND(Bittrex!C390="Trade",'Bittrex Data'!C390="Limit_Sell"),Bittrex!E390,IF(AND(Bittrex!C390="Trade",'Bittrex Data'!C390="Limit_Buy"),Bittrex!D390,"")))))</f>
        <v/>
      </c>
      <c r="I390" t="str">
        <f>IF('Bittrex Data'!C390="","",IF(Bittrex!C390="Buy",F390,IF(C390="Sale",Bittrex!G390,IF(AND(C390="Trade",'Bittrex Data'!C390="Limit_Sell"),Bittrex!G390,IF(AND(Bittrex!C390="Trade",'Bittrex Data'!C390="Limit_Buy"),F390,"")))))</f>
        <v/>
      </c>
      <c r="J390" t="str">
        <f>IF('Bittrex Data'!B390="","",IF('Bittrex Data'!B390="","",IF(Bittrex!H390=Bittrex!E390,D390,Bittrex!E390)))</f>
        <v/>
      </c>
      <c r="K390" t="str">
        <f>IF('Bittrex Data'!B390="","",IF(Bittrex!I390=Bittrex!G390,Bittrex!F390,Bittrex!G390))</f>
        <v/>
      </c>
    </row>
    <row r="391" spans="3:11" x14ac:dyDescent="0.2">
      <c r="C391" t="str">
        <f>IF('Bittrex Data'!A391="","",IF(AND('Bittrex Data'!C391="LIMIT_SELL",Bittrex!D391="USD"),"Sale",IF(AND('Bittrex Data'!C391="LIMIT_BUY",Bittrex!D391="USD"),"Buy","Trade")))</f>
        <v/>
      </c>
      <c r="D391" t="str">
        <f>IF('Bittrex Data'!B391="","",LEFT(LEFT('Bittrex Data'!B391,SEARCH("-",'Bittrex Data'!B391,1)),LEN(LEFT('Bittrex Data'!B391,SEARCH("-",'Bittrex Data'!B391,1)))-1))</f>
        <v/>
      </c>
      <c r="E391" t="str">
        <f>IF('Bittrex Data'!B391="","",RIGHT(RIGHT('Bittrex Data'!B391,LEN('Bittrex Data'!B391)-SEARCH("-",'Bittrex Data'!B391,1)+1),LEN(RIGHT('Bittrex Data'!B391,LEN('Bittrex Data'!B391)-SEARCH("-",'Bittrex Data'!B391,1)+1))-1))</f>
        <v/>
      </c>
      <c r="F391" t="str">
        <f>IF('Bittrex Data'!C391="","",IF('Bittrex Data'!C391="Limit_Sell",'Bittrex Data'!G391-'Bittrex Data'!F391,IF('Bittrex Data'!C391="Limit_Buy",'Bittrex Data'!G391+'Bittrex Data'!F391,"")))</f>
        <v/>
      </c>
      <c r="G391" t="str">
        <f>IF('Bittrex Data'!B391="","",'Bittrex Data'!D391)</f>
        <v/>
      </c>
      <c r="H391" t="str">
        <f>IF('Bittrex Data'!C391="","",IF(Bittrex!C391="Buy",Bittrex!D391,IF(Bittrex!C391="Sale",Bittrex!E391,IF(AND(Bittrex!C391="Trade",'Bittrex Data'!C391="Limit_Sell"),Bittrex!E391,IF(AND(Bittrex!C391="Trade",'Bittrex Data'!C391="Limit_Buy"),Bittrex!D391,"")))))</f>
        <v/>
      </c>
      <c r="I391" t="str">
        <f>IF('Bittrex Data'!C391="","",IF(Bittrex!C391="Buy",F391,IF(C391="Sale",Bittrex!G391,IF(AND(C391="Trade",'Bittrex Data'!C391="Limit_Sell"),Bittrex!G391,IF(AND(Bittrex!C391="Trade",'Bittrex Data'!C391="Limit_Buy"),F391,"")))))</f>
        <v/>
      </c>
      <c r="J391" t="str">
        <f>IF('Bittrex Data'!B391="","",IF('Bittrex Data'!B391="","",IF(Bittrex!H391=Bittrex!E391,D391,Bittrex!E391)))</f>
        <v/>
      </c>
      <c r="K391" t="str">
        <f>IF('Bittrex Data'!B391="","",IF(Bittrex!I391=Bittrex!G391,Bittrex!F391,Bittrex!G391))</f>
        <v/>
      </c>
    </row>
    <row r="392" spans="3:11" x14ac:dyDescent="0.2">
      <c r="C392" t="str">
        <f>IF('Bittrex Data'!A392="","",IF(AND('Bittrex Data'!C392="LIMIT_SELL",Bittrex!D392="USD"),"Sale",IF(AND('Bittrex Data'!C392="LIMIT_BUY",Bittrex!D392="USD"),"Buy","Trade")))</f>
        <v/>
      </c>
      <c r="D392" t="str">
        <f>IF('Bittrex Data'!B392="","",LEFT(LEFT('Bittrex Data'!B392,SEARCH("-",'Bittrex Data'!B392,1)),LEN(LEFT('Bittrex Data'!B392,SEARCH("-",'Bittrex Data'!B392,1)))-1))</f>
        <v/>
      </c>
      <c r="E392" t="str">
        <f>IF('Bittrex Data'!B392="","",RIGHT(RIGHT('Bittrex Data'!B392,LEN('Bittrex Data'!B392)-SEARCH("-",'Bittrex Data'!B392,1)+1),LEN(RIGHT('Bittrex Data'!B392,LEN('Bittrex Data'!B392)-SEARCH("-",'Bittrex Data'!B392,1)+1))-1))</f>
        <v/>
      </c>
      <c r="F392" t="str">
        <f>IF('Bittrex Data'!C392="","",IF('Bittrex Data'!C392="Limit_Sell",'Bittrex Data'!G392-'Bittrex Data'!F392,IF('Bittrex Data'!C392="Limit_Buy",'Bittrex Data'!G392+'Bittrex Data'!F392,"")))</f>
        <v/>
      </c>
      <c r="G392" t="str">
        <f>IF('Bittrex Data'!B392="","",'Bittrex Data'!D392)</f>
        <v/>
      </c>
      <c r="H392" t="str">
        <f>IF('Bittrex Data'!C392="","",IF(Bittrex!C392="Buy",Bittrex!D392,IF(Bittrex!C392="Sale",Bittrex!E392,IF(AND(Bittrex!C392="Trade",'Bittrex Data'!C392="Limit_Sell"),Bittrex!E392,IF(AND(Bittrex!C392="Trade",'Bittrex Data'!C392="Limit_Buy"),Bittrex!D392,"")))))</f>
        <v/>
      </c>
      <c r="I392" t="str">
        <f>IF('Bittrex Data'!C392="","",IF(Bittrex!C392="Buy",F392,IF(C392="Sale",Bittrex!G392,IF(AND(C392="Trade",'Bittrex Data'!C392="Limit_Sell"),Bittrex!G392,IF(AND(Bittrex!C392="Trade",'Bittrex Data'!C392="Limit_Buy"),F392,"")))))</f>
        <v/>
      </c>
      <c r="J392" t="str">
        <f>IF('Bittrex Data'!B392="","",IF('Bittrex Data'!B392="","",IF(Bittrex!H392=Bittrex!E392,D392,Bittrex!E392)))</f>
        <v/>
      </c>
      <c r="K392" t="str">
        <f>IF('Bittrex Data'!B392="","",IF(Bittrex!I392=Bittrex!G392,Bittrex!F392,Bittrex!G392))</f>
        <v/>
      </c>
    </row>
    <row r="393" spans="3:11" x14ac:dyDescent="0.2">
      <c r="C393" t="str">
        <f>IF('Bittrex Data'!A393="","",IF(AND('Bittrex Data'!C393="LIMIT_SELL",Bittrex!D393="USD"),"Sale",IF(AND('Bittrex Data'!C393="LIMIT_BUY",Bittrex!D393="USD"),"Buy","Trade")))</f>
        <v/>
      </c>
      <c r="D393" t="str">
        <f>IF('Bittrex Data'!B393="","",LEFT(LEFT('Bittrex Data'!B393,SEARCH("-",'Bittrex Data'!B393,1)),LEN(LEFT('Bittrex Data'!B393,SEARCH("-",'Bittrex Data'!B393,1)))-1))</f>
        <v/>
      </c>
      <c r="E393" t="str">
        <f>IF('Bittrex Data'!B393="","",RIGHT(RIGHT('Bittrex Data'!B393,LEN('Bittrex Data'!B393)-SEARCH("-",'Bittrex Data'!B393,1)+1),LEN(RIGHT('Bittrex Data'!B393,LEN('Bittrex Data'!B393)-SEARCH("-",'Bittrex Data'!B393,1)+1))-1))</f>
        <v/>
      </c>
      <c r="F393" t="str">
        <f>IF('Bittrex Data'!C393="","",IF('Bittrex Data'!C393="Limit_Sell",'Bittrex Data'!G393-'Bittrex Data'!F393,IF('Bittrex Data'!C393="Limit_Buy",'Bittrex Data'!G393+'Bittrex Data'!F393,"")))</f>
        <v/>
      </c>
      <c r="G393" t="str">
        <f>IF('Bittrex Data'!B393="","",'Bittrex Data'!D393)</f>
        <v/>
      </c>
      <c r="H393" t="str">
        <f>IF('Bittrex Data'!C393="","",IF(Bittrex!C393="Buy",Bittrex!D393,IF(Bittrex!C393="Sale",Bittrex!E393,IF(AND(Bittrex!C393="Trade",'Bittrex Data'!C393="Limit_Sell"),Bittrex!E393,IF(AND(Bittrex!C393="Trade",'Bittrex Data'!C393="Limit_Buy"),Bittrex!D393,"")))))</f>
        <v/>
      </c>
      <c r="I393" t="str">
        <f>IF('Bittrex Data'!C393="","",IF(Bittrex!C393="Buy",F393,IF(C393="Sale",Bittrex!G393,IF(AND(C393="Trade",'Bittrex Data'!C393="Limit_Sell"),Bittrex!G393,IF(AND(Bittrex!C393="Trade",'Bittrex Data'!C393="Limit_Buy"),F393,"")))))</f>
        <v/>
      </c>
      <c r="J393" t="str">
        <f>IF('Bittrex Data'!B393="","",IF('Bittrex Data'!B393="","",IF(Bittrex!H393=Bittrex!E393,D393,Bittrex!E393)))</f>
        <v/>
      </c>
      <c r="K393" t="str">
        <f>IF('Bittrex Data'!B393="","",IF(Bittrex!I393=Bittrex!G393,Bittrex!F393,Bittrex!G393))</f>
        <v/>
      </c>
    </row>
    <row r="394" spans="3:11" x14ac:dyDescent="0.2">
      <c r="C394" t="str">
        <f>IF('Bittrex Data'!A394="","",IF(AND('Bittrex Data'!C394="LIMIT_SELL",Bittrex!D394="USD"),"Sale",IF(AND('Bittrex Data'!C394="LIMIT_BUY",Bittrex!D394="USD"),"Buy","Trade")))</f>
        <v/>
      </c>
      <c r="D394" t="str">
        <f>IF('Bittrex Data'!B394="","",LEFT(LEFT('Bittrex Data'!B394,SEARCH("-",'Bittrex Data'!B394,1)),LEN(LEFT('Bittrex Data'!B394,SEARCH("-",'Bittrex Data'!B394,1)))-1))</f>
        <v/>
      </c>
      <c r="E394" t="str">
        <f>IF('Bittrex Data'!B394="","",RIGHT(RIGHT('Bittrex Data'!B394,LEN('Bittrex Data'!B394)-SEARCH("-",'Bittrex Data'!B394,1)+1),LEN(RIGHT('Bittrex Data'!B394,LEN('Bittrex Data'!B394)-SEARCH("-",'Bittrex Data'!B394,1)+1))-1))</f>
        <v/>
      </c>
      <c r="F394" t="str">
        <f>IF('Bittrex Data'!C394="","",IF('Bittrex Data'!C394="Limit_Sell",'Bittrex Data'!G394-'Bittrex Data'!F394,IF('Bittrex Data'!C394="Limit_Buy",'Bittrex Data'!G394+'Bittrex Data'!F394,"")))</f>
        <v/>
      </c>
      <c r="G394" t="str">
        <f>IF('Bittrex Data'!B394="","",'Bittrex Data'!D394)</f>
        <v/>
      </c>
      <c r="H394" t="str">
        <f>IF('Bittrex Data'!C394="","",IF(Bittrex!C394="Buy",Bittrex!D394,IF(Bittrex!C394="Sale",Bittrex!E394,IF(AND(Bittrex!C394="Trade",'Bittrex Data'!C394="Limit_Sell"),Bittrex!E394,IF(AND(Bittrex!C394="Trade",'Bittrex Data'!C394="Limit_Buy"),Bittrex!D394,"")))))</f>
        <v/>
      </c>
      <c r="I394" t="str">
        <f>IF('Bittrex Data'!C394="","",IF(Bittrex!C394="Buy",F394,IF(C394="Sale",Bittrex!G394,IF(AND(C394="Trade",'Bittrex Data'!C394="Limit_Sell"),Bittrex!G394,IF(AND(Bittrex!C394="Trade",'Bittrex Data'!C394="Limit_Buy"),F394,"")))))</f>
        <v/>
      </c>
      <c r="J394" t="str">
        <f>IF('Bittrex Data'!B394="","",IF('Bittrex Data'!B394="","",IF(Bittrex!H394=Bittrex!E394,D394,Bittrex!E394)))</f>
        <v/>
      </c>
      <c r="K394" t="str">
        <f>IF('Bittrex Data'!B394="","",IF(Bittrex!I394=Bittrex!G394,Bittrex!F394,Bittrex!G394))</f>
        <v/>
      </c>
    </row>
    <row r="395" spans="3:11" x14ac:dyDescent="0.2">
      <c r="C395" t="str">
        <f>IF('Bittrex Data'!A395="","",IF(AND('Bittrex Data'!C395="LIMIT_SELL",Bittrex!D395="USD"),"Sale",IF(AND('Bittrex Data'!C395="LIMIT_BUY",Bittrex!D395="USD"),"Buy","Trade")))</f>
        <v/>
      </c>
      <c r="D395" t="str">
        <f>IF('Bittrex Data'!B395="","",LEFT(LEFT('Bittrex Data'!B395,SEARCH("-",'Bittrex Data'!B395,1)),LEN(LEFT('Bittrex Data'!B395,SEARCH("-",'Bittrex Data'!B395,1)))-1))</f>
        <v/>
      </c>
      <c r="E395" t="str">
        <f>IF('Bittrex Data'!B395="","",RIGHT(RIGHT('Bittrex Data'!B395,LEN('Bittrex Data'!B395)-SEARCH("-",'Bittrex Data'!B395,1)+1),LEN(RIGHT('Bittrex Data'!B395,LEN('Bittrex Data'!B395)-SEARCH("-",'Bittrex Data'!B395,1)+1))-1))</f>
        <v/>
      </c>
      <c r="F395" t="str">
        <f>IF('Bittrex Data'!C395="","",IF('Bittrex Data'!C395="Limit_Sell",'Bittrex Data'!G395-'Bittrex Data'!F395,IF('Bittrex Data'!C395="Limit_Buy",'Bittrex Data'!G395+'Bittrex Data'!F395,"")))</f>
        <v/>
      </c>
      <c r="G395" t="str">
        <f>IF('Bittrex Data'!B395="","",'Bittrex Data'!D395)</f>
        <v/>
      </c>
      <c r="H395" t="str">
        <f>IF('Bittrex Data'!C395="","",IF(Bittrex!C395="Buy",Bittrex!D395,IF(Bittrex!C395="Sale",Bittrex!E395,IF(AND(Bittrex!C395="Trade",'Bittrex Data'!C395="Limit_Sell"),Bittrex!E395,IF(AND(Bittrex!C395="Trade",'Bittrex Data'!C395="Limit_Buy"),Bittrex!D395,"")))))</f>
        <v/>
      </c>
      <c r="I395" t="str">
        <f>IF('Bittrex Data'!C395="","",IF(Bittrex!C395="Buy",F395,IF(C395="Sale",Bittrex!G395,IF(AND(C395="Trade",'Bittrex Data'!C395="Limit_Sell"),Bittrex!G395,IF(AND(Bittrex!C395="Trade",'Bittrex Data'!C395="Limit_Buy"),F395,"")))))</f>
        <v/>
      </c>
      <c r="J395" t="str">
        <f>IF('Bittrex Data'!B395="","",IF('Bittrex Data'!B395="","",IF(Bittrex!H395=Bittrex!E395,D395,Bittrex!E395)))</f>
        <v/>
      </c>
      <c r="K395" t="str">
        <f>IF('Bittrex Data'!B395="","",IF(Bittrex!I395=Bittrex!G395,Bittrex!F395,Bittrex!G395))</f>
        <v/>
      </c>
    </row>
    <row r="396" spans="3:11" x14ac:dyDescent="0.2">
      <c r="C396" t="str">
        <f>IF('Bittrex Data'!A396="","",IF(AND('Bittrex Data'!C396="LIMIT_SELL",Bittrex!D396="USD"),"Sale",IF(AND('Bittrex Data'!C396="LIMIT_BUY",Bittrex!D396="USD"),"Buy","Trade")))</f>
        <v/>
      </c>
      <c r="D396" t="str">
        <f>IF('Bittrex Data'!B396="","",LEFT(LEFT('Bittrex Data'!B396,SEARCH("-",'Bittrex Data'!B396,1)),LEN(LEFT('Bittrex Data'!B396,SEARCH("-",'Bittrex Data'!B396,1)))-1))</f>
        <v/>
      </c>
      <c r="E396" t="str">
        <f>IF('Bittrex Data'!B396="","",RIGHT(RIGHT('Bittrex Data'!B396,LEN('Bittrex Data'!B396)-SEARCH("-",'Bittrex Data'!B396,1)+1),LEN(RIGHT('Bittrex Data'!B396,LEN('Bittrex Data'!B396)-SEARCH("-",'Bittrex Data'!B396,1)+1))-1))</f>
        <v/>
      </c>
      <c r="F396" t="str">
        <f>IF('Bittrex Data'!C396="","",IF('Bittrex Data'!C396="Limit_Sell",'Bittrex Data'!G396-'Bittrex Data'!F396,IF('Bittrex Data'!C396="Limit_Buy",'Bittrex Data'!G396+'Bittrex Data'!F396,"")))</f>
        <v/>
      </c>
      <c r="G396" t="str">
        <f>IF('Bittrex Data'!B396="","",'Bittrex Data'!D396)</f>
        <v/>
      </c>
      <c r="H396" t="str">
        <f>IF('Bittrex Data'!C396="","",IF(Bittrex!C396="Buy",Bittrex!D396,IF(Bittrex!C396="Sale",Bittrex!E396,IF(AND(Bittrex!C396="Trade",'Bittrex Data'!C396="Limit_Sell"),Bittrex!E396,IF(AND(Bittrex!C396="Trade",'Bittrex Data'!C396="Limit_Buy"),Bittrex!D396,"")))))</f>
        <v/>
      </c>
      <c r="I396" t="str">
        <f>IF('Bittrex Data'!C396="","",IF(Bittrex!C396="Buy",F396,IF(C396="Sale",Bittrex!G396,IF(AND(C396="Trade",'Bittrex Data'!C396="Limit_Sell"),Bittrex!G396,IF(AND(Bittrex!C396="Trade",'Bittrex Data'!C396="Limit_Buy"),F396,"")))))</f>
        <v/>
      </c>
      <c r="J396" t="str">
        <f>IF('Bittrex Data'!B396="","",IF('Bittrex Data'!B396="","",IF(Bittrex!H396=Bittrex!E396,D396,Bittrex!E396)))</f>
        <v/>
      </c>
      <c r="K396" t="str">
        <f>IF('Bittrex Data'!B396="","",IF(Bittrex!I396=Bittrex!G396,Bittrex!F396,Bittrex!G396))</f>
        <v/>
      </c>
    </row>
    <row r="397" spans="3:11" x14ac:dyDescent="0.2">
      <c r="C397" t="str">
        <f>IF('Bittrex Data'!A397="","",IF(AND('Bittrex Data'!C397="LIMIT_SELL",Bittrex!D397="USD"),"Sale",IF(AND('Bittrex Data'!C397="LIMIT_BUY",Bittrex!D397="USD"),"Buy","Trade")))</f>
        <v/>
      </c>
      <c r="D397" t="str">
        <f>IF('Bittrex Data'!B397="","",LEFT(LEFT('Bittrex Data'!B397,SEARCH("-",'Bittrex Data'!B397,1)),LEN(LEFT('Bittrex Data'!B397,SEARCH("-",'Bittrex Data'!B397,1)))-1))</f>
        <v/>
      </c>
      <c r="E397" t="str">
        <f>IF('Bittrex Data'!B397="","",RIGHT(RIGHT('Bittrex Data'!B397,LEN('Bittrex Data'!B397)-SEARCH("-",'Bittrex Data'!B397,1)+1),LEN(RIGHT('Bittrex Data'!B397,LEN('Bittrex Data'!B397)-SEARCH("-",'Bittrex Data'!B397,1)+1))-1))</f>
        <v/>
      </c>
      <c r="F397" t="str">
        <f>IF('Bittrex Data'!C397="","",IF('Bittrex Data'!C397="Limit_Sell",'Bittrex Data'!G397-'Bittrex Data'!F397,IF('Bittrex Data'!C397="Limit_Buy",'Bittrex Data'!G397+'Bittrex Data'!F397,"")))</f>
        <v/>
      </c>
      <c r="G397" t="str">
        <f>IF('Bittrex Data'!B397="","",'Bittrex Data'!D397)</f>
        <v/>
      </c>
      <c r="H397" t="str">
        <f>IF('Bittrex Data'!C397="","",IF(Bittrex!C397="Buy",Bittrex!D397,IF(Bittrex!C397="Sale",Bittrex!E397,IF(AND(Bittrex!C397="Trade",'Bittrex Data'!C397="Limit_Sell"),Bittrex!E397,IF(AND(Bittrex!C397="Trade",'Bittrex Data'!C397="Limit_Buy"),Bittrex!D397,"")))))</f>
        <v/>
      </c>
      <c r="I397" t="str">
        <f>IF('Bittrex Data'!C397="","",IF(Bittrex!C397="Buy",F397,IF(C397="Sale",Bittrex!G397,IF(AND(C397="Trade",'Bittrex Data'!C397="Limit_Sell"),Bittrex!G397,IF(AND(Bittrex!C397="Trade",'Bittrex Data'!C397="Limit_Buy"),F397,"")))))</f>
        <v/>
      </c>
      <c r="J397" t="str">
        <f>IF('Bittrex Data'!B397="","",IF('Bittrex Data'!B397="","",IF(Bittrex!H397=Bittrex!E397,D397,Bittrex!E397)))</f>
        <v/>
      </c>
      <c r="K397" t="str">
        <f>IF('Bittrex Data'!B397="","",IF(Bittrex!I397=Bittrex!G397,Bittrex!F397,Bittrex!G397))</f>
        <v/>
      </c>
    </row>
    <row r="398" spans="3:11" x14ac:dyDescent="0.2">
      <c r="C398" t="str">
        <f>IF('Bittrex Data'!A398="","",IF(AND('Bittrex Data'!C398="LIMIT_SELL",Bittrex!D398="USD"),"Sale",IF(AND('Bittrex Data'!C398="LIMIT_BUY",Bittrex!D398="USD"),"Buy","Trade")))</f>
        <v/>
      </c>
      <c r="D398" t="str">
        <f>IF('Bittrex Data'!B398="","",LEFT(LEFT('Bittrex Data'!B398,SEARCH("-",'Bittrex Data'!B398,1)),LEN(LEFT('Bittrex Data'!B398,SEARCH("-",'Bittrex Data'!B398,1)))-1))</f>
        <v/>
      </c>
      <c r="E398" t="str">
        <f>IF('Bittrex Data'!B398="","",RIGHT(RIGHT('Bittrex Data'!B398,LEN('Bittrex Data'!B398)-SEARCH("-",'Bittrex Data'!B398,1)+1),LEN(RIGHT('Bittrex Data'!B398,LEN('Bittrex Data'!B398)-SEARCH("-",'Bittrex Data'!B398,1)+1))-1))</f>
        <v/>
      </c>
      <c r="F398" t="str">
        <f>IF('Bittrex Data'!C398="","",IF('Bittrex Data'!C398="Limit_Sell",'Bittrex Data'!G398-'Bittrex Data'!F398,IF('Bittrex Data'!C398="Limit_Buy",'Bittrex Data'!G398+'Bittrex Data'!F398,"")))</f>
        <v/>
      </c>
      <c r="G398" t="str">
        <f>IF('Bittrex Data'!B398="","",'Bittrex Data'!D398)</f>
        <v/>
      </c>
      <c r="H398" t="str">
        <f>IF('Bittrex Data'!C398="","",IF(Bittrex!C398="Buy",Bittrex!D398,IF(Bittrex!C398="Sale",Bittrex!E398,IF(AND(Bittrex!C398="Trade",'Bittrex Data'!C398="Limit_Sell"),Bittrex!E398,IF(AND(Bittrex!C398="Trade",'Bittrex Data'!C398="Limit_Buy"),Bittrex!D398,"")))))</f>
        <v/>
      </c>
      <c r="I398" t="str">
        <f>IF('Bittrex Data'!C398="","",IF(Bittrex!C398="Buy",F398,IF(C398="Sale",Bittrex!G398,IF(AND(C398="Trade",'Bittrex Data'!C398="Limit_Sell"),Bittrex!G398,IF(AND(Bittrex!C398="Trade",'Bittrex Data'!C398="Limit_Buy"),F398,"")))))</f>
        <v/>
      </c>
      <c r="J398" t="str">
        <f>IF('Bittrex Data'!B398="","",IF('Bittrex Data'!B398="","",IF(Bittrex!H398=Bittrex!E398,D398,Bittrex!E398)))</f>
        <v/>
      </c>
      <c r="K398" t="str">
        <f>IF('Bittrex Data'!B398="","",IF(Bittrex!I398=Bittrex!G398,Bittrex!F398,Bittrex!G398))</f>
        <v/>
      </c>
    </row>
    <row r="399" spans="3:11" x14ac:dyDescent="0.2">
      <c r="C399" t="str">
        <f>IF('Bittrex Data'!A399="","",IF(AND('Bittrex Data'!C399="LIMIT_SELL",Bittrex!D399="USD"),"Sale",IF(AND('Bittrex Data'!C399="LIMIT_BUY",Bittrex!D399="USD"),"Buy","Trade")))</f>
        <v/>
      </c>
      <c r="D399" t="str">
        <f>IF('Bittrex Data'!B399="","",LEFT(LEFT('Bittrex Data'!B399,SEARCH("-",'Bittrex Data'!B399,1)),LEN(LEFT('Bittrex Data'!B399,SEARCH("-",'Bittrex Data'!B399,1)))-1))</f>
        <v/>
      </c>
      <c r="E399" t="str">
        <f>IF('Bittrex Data'!B399="","",RIGHT(RIGHT('Bittrex Data'!B399,LEN('Bittrex Data'!B399)-SEARCH("-",'Bittrex Data'!B399,1)+1),LEN(RIGHT('Bittrex Data'!B399,LEN('Bittrex Data'!B399)-SEARCH("-",'Bittrex Data'!B399,1)+1))-1))</f>
        <v/>
      </c>
      <c r="F399" t="str">
        <f>IF('Bittrex Data'!C399="","",IF('Bittrex Data'!C399="Limit_Sell",'Bittrex Data'!G399-'Bittrex Data'!F399,IF('Bittrex Data'!C399="Limit_Buy",'Bittrex Data'!G399+'Bittrex Data'!F399,"")))</f>
        <v/>
      </c>
      <c r="G399" t="str">
        <f>IF('Bittrex Data'!B399="","",'Bittrex Data'!D399)</f>
        <v/>
      </c>
      <c r="H399" t="str">
        <f>IF('Bittrex Data'!C399="","",IF(Bittrex!C399="Buy",Bittrex!D399,IF(Bittrex!C399="Sale",Bittrex!E399,IF(AND(Bittrex!C399="Trade",'Bittrex Data'!C399="Limit_Sell"),Bittrex!E399,IF(AND(Bittrex!C399="Trade",'Bittrex Data'!C399="Limit_Buy"),Bittrex!D399,"")))))</f>
        <v/>
      </c>
      <c r="I399" t="str">
        <f>IF('Bittrex Data'!C399="","",IF(Bittrex!C399="Buy",F399,IF(C399="Sale",Bittrex!G399,IF(AND(C399="Trade",'Bittrex Data'!C399="Limit_Sell"),Bittrex!G399,IF(AND(Bittrex!C399="Trade",'Bittrex Data'!C399="Limit_Buy"),F399,"")))))</f>
        <v/>
      </c>
      <c r="J399" t="str">
        <f>IF('Bittrex Data'!B399="","",IF('Bittrex Data'!B399="","",IF(Bittrex!H399=Bittrex!E399,D399,Bittrex!E399)))</f>
        <v/>
      </c>
      <c r="K399" t="str">
        <f>IF('Bittrex Data'!B399="","",IF(Bittrex!I399=Bittrex!G399,Bittrex!F399,Bittrex!G399))</f>
        <v/>
      </c>
    </row>
    <row r="400" spans="3:11" x14ac:dyDescent="0.2">
      <c r="C400" t="str">
        <f>IF('Bittrex Data'!A400="","",IF(AND('Bittrex Data'!C400="LIMIT_SELL",Bittrex!D400="USD"),"Sale",IF(AND('Bittrex Data'!C400="LIMIT_BUY",Bittrex!D400="USD"),"Buy","Trade")))</f>
        <v/>
      </c>
      <c r="D400" t="str">
        <f>IF('Bittrex Data'!B400="","",LEFT(LEFT('Bittrex Data'!B400,SEARCH("-",'Bittrex Data'!B400,1)),LEN(LEFT('Bittrex Data'!B400,SEARCH("-",'Bittrex Data'!B400,1)))-1))</f>
        <v/>
      </c>
      <c r="E400" t="str">
        <f>IF('Bittrex Data'!B400="","",RIGHT(RIGHT('Bittrex Data'!B400,LEN('Bittrex Data'!B400)-SEARCH("-",'Bittrex Data'!B400,1)+1),LEN(RIGHT('Bittrex Data'!B400,LEN('Bittrex Data'!B400)-SEARCH("-",'Bittrex Data'!B400,1)+1))-1))</f>
        <v/>
      </c>
      <c r="F400" t="str">
        <f>IF('Bittrex Data'!C400="","",IF('Bittrex Data'!C400="Limit_Sell",'Bittrex Data'!G400-'Bittrex Data'!F400,IF('Bittrex Data'!C400="Limit_Buy",'Bittrex Data'!G400+'Bittrex Data'!F400,"")))</f>
        <v/>
      </c>
      <c r="G400" t="str">
        <f>IF('Bittrex Data'!B400="","",'Bittrex Data'!D400)</f>
        <v/>
      </c>
      <c r="H400" t="str">
        <f>IF('Bittrex Data'!C400="","",IF(Bittrex!C400="Buy",Bittrex!D400,IF(Bittrex!C400="Sale",Bittrex!E400,IF(AND(Bittrex!C400="Trade",'Bittrex Data'!C400="Limit_Sell"),Bittrex!E400,IF(AND(Bittrex!C400="Trade",'Bittrex Data'!C400="Limit_Buy"),Bittrex!D400,"")))))</f>
        <v/>
      </c>
      <c r="I400" t="str">
        <f>IF('Bittrex Data'!C400="","",IF(Bittrex!C400="Buy",F400,IF(C400="Sale",Bittrex!G400,IF(AND(C400="Trade",'Bittrex Data'!C400="Limit_Sell"),Bittrex!G400,IF(AND(Bittrex!C400="Trade",'Bittrex Data'!C400="Limit_Buy"),F400,"")))))</f>
        <v/>
      </c>
      <c r="J400" t="str">
        <f>IF('Bittrex Data'!B400="","",IF('Bittrex Data'!B400="","",IF(Bittrex!H400=Bittrex!E400,D400,Bittrex!E400)))</f>
        <v/>
      </c>
      <c r="K400" t="str">
        <f>IF('Bittrex Data'!B400="","",IF(Bittrex!I400=Bittrex!G400,Bittrex!F400,Bittrex!G400))</f>
        <v/>
      </c>
    </row>
    <row r="401" spans="3:11" x14ac:dyDescent="0.2">
      <c r="C401" t="str">
        <f>IF('Bittrex Data'!A401="","",IF(AND('Bittrex Data'!C401="LIMIT_SELL",Bittrex!D401="USD"),"Sale",IF(AND('Bittrex Data'!C401="LIMIT_BUY",Bittrex!D401="USD"),"Buy","Trade")))</f>
        <v/>
      </c>
      <c r="D401" t="str">
        <f>IF('Bittrex Data'!B401="","",LEFT(LEFT('Bittrex Data'!B401,SEARCH("-",'Bittrex Data'!B401,1)),LEN(LEFT('Bittrex Data'!B401,SEARCH("-",'Bittrex Data'!B401,1)))-1))</f>
        <v/>
      </c>
      <c r="E401" t="str">
        <f>IF('Bittrex Data'!B401="","",RIGHT(RIGHT('Bittrex Data'!B401,LEN('Bittrex Data'!B401)-SEARCH("-",'Bittrex Data'!B401,1)+1),LEN(RIGHT('Bittrex Data'!B401,LEN('Bittrex Data'!B401)-SEARCH("-",'Bittrex Data'!B401,1)+1))-1))</f>
        <v/>
      </c>
      <c r="F401" t="str">
        <f>IF('Bittrex Data'!C401="","",IF('Bittrex Data'!C401="Limit_Sell",'Bittrex Data'!G401-'Bittrex Data'!F401,IF('Bittrex Data'!C401="Limit_Buy",'Bittrex Data'!G401+'Bittrex Data'!F401,"")))</f>
        <v/>
      </c>
      <c r="G401" t="str">
        <f>IF('Bittrex Data'!B401="","",'Bittrex Data'!D401)</f>
        <v/>
      </c>
      <c r="H401" t="str">
        <f>IF('Bittrex Data'!C401="","",IF(Bittrex!C401="Buy",Bittrex!D401,IF(Bittrex!C401="Sale",Bittrex!E401,IF(AND(Bittrex!C401="Trade",'Bittrex Data'!C401="Limit_Sell"),Bittrex!E401,IF(AND(Bittrex!C401="Trade",'Bittrex Data'!C401="Limit_Buy"),Bittrex!D401,"")))))</f>
        <v/>
      </c>
      <c r="I401" t="str">
        <f>IF('Bittrex Data'!C401="","",IF(Bittrex!C401="Buy",F401,IF(C401="Sale",Bittrex!G401,IF(AND(C401="Trade",'Bittrex Data'!C401="Limit_Sell"),Bittrex!G401,IF(AND(Bittrex!C401="Trade",'Bittrex Data'!C401="Limit_Buy"),F401,"")))))</f>
        <v/>
      </c>
      <c r="J401" t="str">
        <f>IF('Bittrex Data'!B401="","",IF('Bittrex Data'!B401="","",IF(Bittrex!H401=Bittrex!E401,D401,Bittrex!E401)))</f>
        <v/>
      </c>
      <c r="K401" t="str">
        <f>IF('Bittrex Data'!B401="","",IF(Bittrex!I401=Bittrex!G401,Bittrex!F401,Bittrex!G401))</f>
        <v/>
      </c>
    </row>
    <row r="402" spans="3:11" x14ac:dyDescent="0.2">
      <c r="C402" t="str">
        <f>IF('Bittrex Data'!A402="","",IF(AND('Bittrex Data'!C402="LIMIT_SELL",Bittrex!D402="USD"),"Sale",IF(AND('Bittrex Data'!C402="LIMIT_BUY",Bittrex!D402="USD"),"Buy","Trade")))</f>
        <v/>
      </c>
      <c r="D402" t="str">
        <f>IF('Bittrex Data'!B402="","",LEFT(LEFT('Bittrex Data'!B402,SEARCH("-",'Bittrex Data'!B402,1)),LEN(LEFT('Bittrex Data'!B402,SEARCH("-",'Bittrex Data'!B402,1)))-1))</f>
        <v/>
      </c>
      <c r="E402" t="str">
        <f>IF('Bittrex Data'!B402="","",RIGHT(RIGHT('Bittrex Data'!B402,LEN('Bittrex Data'!B402)-SEARCH("-",'Bittrex Data'!B402,1)+1),LEN(RIGHT('Bittrex Data'!B402,LEN('Bittrex Data'!B402)-SEARCH("-",'Bittrex Data'!B402,1)+1))-1))</f>
        <v/>
      </c>
      <c r="F402" t="str">
        <f>IF('Bittrex Data'!C402="","",IF('Bittrex Data'!C402="Limit_Sell",'Bittrex Data'!G402-'Bittrex Data'!F402,IF('Bittrex Data'!C402="Limit_Buy",'Bittrex Data'!G402+'Bittrex Data'!F402,"")))</f>
        <v/>
      </c>
      <c r="G402" t="str">
        <f>IF('Bittrex Data'!B402="","",'Bittrex Data'!D402)</f>
        <v/>
      </c>
      <c r="H402" t="str">
        <f>IF('Bittrex Data'!C402="","",IF(Bittrex!C402="Buy",Bittrex!D402,IF(Bittrex!C402="Sale",Bittrex!E402,IF(AND(Bittrex!C402="Trade",'Bittrex Data'!C402="Limit_Sell"),Bittrex!E402,IF(AND(Bittrex!C402="Trade",'Bittrex Data'!C402="Limit_Buy"),Bittrex!D402,"")))))</f>
        <v/>
      </c>
      <c r="I402" t="str">
        <f>IF('Bittrex Data'!C402="","",IF(Bittrex!C402="Buy",F402,IF(C402="Sale",Bittrex!G402,IF(AND(C402="Trade",'Bittrex Data'!C402="Limit_Sell"),Bittrex!G402,IF(AND(Bittrex!C402="Trade",'Bittrex Data'!C402="Limit_Buy"),F402,"")))))</f>
        <v/>
      </c>
      <c r="J402" t="str">
        <f>IF('Bittrex Data'!B402="","",IF('Bittrex Data'!B402="","",IF(Bittrex!H402=Bittrex!E402,D402,Bittrex!E402)))</f>
        <v/>
      </c>
      <c r="K402" t="str">
        <f>IF('Bittrex Data'!B402="","",IF(Bittrex!I402=Bittrex!G402,Bittrex!F402,Bittrex!G402))</f>
        <v/>
      </c>
    </row>
    <row r="403" spans="3:11" x14ac:dyDescent="0.2">
      <c r="C403" t="str">
        <f>IF('Bittrex Data'!A403="","",IF(AND('Bittrex Data'!C403="LIMIT_SELL",Bittrex!D403="USD"),"Sale",IF(AND('Bittrex Data'!C403="LIMIT_BUY",Bittrex!D403="USD"),"Buy","Trade")))</f>
        <v/>
      </c>
      <c r="D403" t="str">
        <f>IF('Bittrex Data'!B403="","",LEFT(LEFT('Bittrex Data'!B403,SEARCH("-",'Bittrex Data'!B403,1)),LEN(LEFT('Bittrex Data'!B403,SEARCH("-",'Bittrex Data'!B403,1)))-1))</f>
        <v/>
      </c>
      <c r="E403" t="str">
        <f>IF('Bittrex Data'!B403="","",RIGHT(RIGHT('Bittrex Data'!B403,LEN('Bittrex Data'!B403)-SEARCH("-",'Bittrex Data'!B403,1)+1),LEN(RIGHT('Bittrex Data'!B403,LEN('Bittrex Data'!B403)-SEARCH("-",'Bittrex Data'!B403,1)+1))-1))</f>
        <v/>
      </c>
      <c r="F403" t="str">
        <f>IF('Bittrex Data'!C403="","",IF('Bittrex Data'!C403="Limit_Sell",'Bittrex Data'!G403-'Bittrex Data'!F403,IF('Bittrex Data'!C403="Limit_Buy",'Bittrex Data'!G403+'Bittrex Data'!F403,"")))</f>
        <v/>
      </c>
      <c r="G403" t="str">
        <f>IF('Bittrex Data'!B403="","",'Bittrex Data'!D403)</f>
        <v/>
      </c>
      <c r="H403" t="str">
        <f>IF('Bittrex Data'!C403="","",IF(Bittrex!C403="Buy",Bittrex!D403,IF(Bittrex!C403="Sale",Bittrex!E403,IF(AND(Bittrex!C403="Trade",'Bittrex Data'!C403="Limit_Sell"),Bittrex!E403,IF(AND(Bittrex!C403="Trade",'Bittrex Data'!C403="Limit_Buy"),Bittrex!D403,"")))))</f>
        <v/>
      </c>
      <c r="I403" t="str">
        <f>IF('Bittrex Data'!C403="","",IF(Bittrex!C403="Buy",F403,IF(C403="Sale",Bittrex!G403,IF(AND(C403="Trade",'Bittrex Data'!C403="Limit_Sell"),Bittrex!G403,IF(AND(Bittrex!C403="Trade",'Bittrex Data'!C403="Limit_Buy"),F403,"")))))</f>
        <v/>
      </c>
      <c r="J403" t="str">
        <f>IF('Bittrex Data'!B403="","",IF('Bittrex Data'!B403="","",IF(Bittrex!H403=Bittrex!E403,D403,Bittrex!E403)))</f>
        <v/>
      </c>
      <c r="K403" t="str">
        <f>IF('Bittrex Data'!B403="","",IF(Bittrex!I403=Bittrex!G403,Bittrex!F403,Bittrex!G403))</f>
        <v/>
      </c>
    </row>
    <row r="404" spans="3:11" x14ac:dyDescent="0.2">
      <c r="C404" t="str">
        <f>IF('Bittrex Data'!A404="","",IF(AND('Bittrex Data'!C404="LIMIT_SELL",Bittrex!D404="USD"),"Sale",IF(AND('Bittrex Data'!C404="LIMIT_BUY",Bittrex!D404="USD"),"Buy","Trade")))</f>
        <v/>
      </c>
      <c r="D404" t="str">
        <f>IF('Bittrex Data'!B404="","",LEFT(LEFT('Bittrex Data'!B404,SEARCH("-",'Bittrex Data'!B404,1)),LEN(LEFT('Bittrex Data'!B404,SEARCH("-",'Bittrex Data'!B404,1)))-1))</f>
        <v/>
      </c>
      <c r="E404" t="str">
        <f>IF('Bittrex Data'!B404="","",RIGHT(RIGHT('Bittrex Data'!B404,LEN('Bittrex Data'!B404)-SEARCH("-",'Bittrex Data'!B404,1)+1),LEN(RIGHT('Bittrex Data'!B404,LEN('Bittrex Data'!B404)-SEARCH("-",'Bittrex Data'!B404,1)+1))-1))</f>
        <v/>
      </c>
      <c r="F404" t="str">
        <f>IF('Bittrex Data'!C404="","",IF('Bittrex Data'!C404="Limit_Sell",'Bittrex Data'!G404-'Bittrex Data'!F404,IF('Bittrex Data'!C404="Limit_Buy",'Bittrex Data'!G404+'Bittrex Data'!F404,"")))</f>
        <v/>
      </c>
      <c r="G404" t="str">
        <f>IF('Bittrex Data'!B404="","",'Bittrex Data'!D404)</f>
        <v/>
      </c>
      <c r="H404" t="str">
        <f>IF('Bittrex Data'!C404="","",IF(Bittrex!C404="Buy",Bittrex!D404,IF(Bittrex!C404="Sale",Bittrex!E404,IF(AND(Bittrex!C404="Trade",'Bittrex Data'!C404="Limit_Sell"),Bittrex!E404,IF(AND(Bittrex!C404="Trade",'Bittrex Data'!C404="Limit_Buy"),Bittrex!D404,"")))))</f>
        <v/>
      </c>
      <c r="I404" t="str">
        <f>IF('Bittrex Data'!C404="","",IF(Bittrex!C404="Buy",F404,IF(C404="Sale",Bittrex!G404,IF(AND(C404="Trade",'Bittrex Data'!C404="Limit_Sell"),Bittrex!G404,IF(AND(Bittrex!C404="Trade",'Bittrex Data'!C404="Limit_Buy"),F404,"")))))</f>
        <v/>
      </c>
      <c r="J404" t="str">
        <f>IF('Bittrex Data'!B404="","",IF('Bittrex Data'!B404="","",IF(Bittrex!H404=Bittrex!E404,D404,Bittrex!E404)))</f>
        <v/>
      </c>
      <c r="K404" t="str">
        <f>IF('Bittrex Data'!B404="","",IF(Bittrex!I404=Bittrex!G404,Bittrex!F404,Bittrex!G404))</f>
        <v/>
      </c>
    </row>
    <row r="405" spans="3:11" x14ac:dyDescent="0.2">
      <c r="C405" t="str">
        <f>IF('Bittrex Data'!A405="","",IF(AND('Bittrex Data'!C405="LIMIT_SELL",Bittrex!D405="USD"),"Sale",IF(AND('Bittrex Data'!C405="LIMIT_BUY",Bittrex!D405="USD"),"Buy","Trade")))</f>
        <v/>
      </c>
      <c r="D405" t="str">
        <f>IF('Bittrex Data'!B405="","",LEFT(LEFT('Bittrex Data'!B405,SEARCH("-",'Bittrex Data'!B405,1)),LEN(LEFT('Bittrex Data'!B405,SEARCH("-",'Bittrex Data'!B405,1)))-1))</f>
        <v/>
      </c>
      <c r="E405" t="str">
        <f>IF('Bittrex Data'!B405="","",RIGHT(RIGHT('Bittrex Data'!B405,LEN('Bittrex Data'!B405)-SEARCH("-",'Bittrex Data'!B405,1)+1),LEN(RIGHT('Bittrex Data'!B405,LEN('Bittrex Data'!B405)-SEARCH("-",'Bittrex Data'!B405,1)+1))-1))</f>
        <v/>
      </c>
      <c r="F405" t="str">
        <f>IF('Bittrex Data'!C405="","",IF('Bittrex Data'!C405="Limit_Sell",'Bittrex Data'!G405-'Bittrex Data'!F405,IF('Bittrex Data'!C405="Limit_Buy",'Bittrex Data'!G405+'Bittrex Data'!F405,"")))</f>
        <v/>
      </c>
      <c r="G405" t="str">
        <f>IF('Bittrex Data'!B405="","",'Bittrex Data'!D405)</f>
        <v/>
      </c>
      <c r="H405" t="str">
        <f>IF('Bittrex Data'!C405="","",IF(Bittrex!C405="Buy",Bittrex!D405,IF(Bittrex!C405="Sale",Bittrex!E405,IF(AND(Bittrex!C405="Trade",'Bittrex Data'!C405="Limit_Sell"),Bittrex!E405,IF(AND(Bittrex!C405="Trade",'Bittrex Data'!C405="Limit_Buy"),Bittrex!D405,"")))))</f>
        <v/>
      </c>
      <c r="I405" t="str">
        <f>IF('Bittrex Data'!C405="","",IF(Bittrex!C405="Buy",F405,IF(C405="Sale",Bittrex!G405,IF(AND(C405="Trade",'Bittrex Data'!C405="Limit_Sell"),Bittrex!G405,IF(AND(Bittrex!C405="Trade",'Bittrex Data'!C405="Limit_Buy"),F405,"")))))</f>
        <v/>
      </c>
      <c r="J405" t="str">
        <f>IF('Bittrex Data'!B405="","",IF('Bittrex Data'!B405="","",IF(Bittrex!H405=Bittrex!E405,D405,Bittrex!E405)))</f>
        <v/>
      </c>
      <c r="K405" t="str">
        <f>IF('Bittrex Data'!B405="","",IF(Bittrex!I405=Bittrex!G405,Bittrex!F405,Bittrex!G405))</f>
        <v/>
      </c>
    </row>
    <row r="406" spans="3:11" x14ac:dyDescent="0.2">
      <c r="C406" t="str">
        <f>IF('Bittrex Data'!A406="","",IF(AND('Bittrex Data'!C406="LIMIT_SELL",Bittrex!D406="USD"),"Sale",IF(AND('Bittrex Data'!C406="LIMIT_BUY",Bittrex!D406="USD"),"Buy","Trade")))</f>
        <v/>
      </c>
      <c r="D406" t="str">
        <f>IF('Bittrex Data'!B406="","",LEFT(LEFT('Bittrex Data'!B406,SEARCH("-",'Bittrex Data'!B406,1)),LEN(LEFT('Bittrex Data'!B406,SEARCH("-",'Bittrex Data'!B406,1)))-1))</f>
        <v/>
      </c>
      <c r="E406" t="str">
        <f>IF('Bittrex Data'!B406="","",RIGHT(RIGHT('Bittrex Data'!B406,LEN('Bittrex Data'!B406)-SEARCH("-",'Bittrex Data'!B406,1)+1),LEN(RIGHT('Bittrex Data'!B406,LEN('Bittrex Data'!B406)-SEARCH("-",'Bittrex Data'!B406,1)+1))-1))</f>
        <v/>
      </c>
      <c r="F406" t="str">
        <f>IF('Bittrex Data'!C406="","",IF('Bittrex Data'!C406="Limit_Sell",'Bittrex Data'!G406-'Bittrex Data'!F406,IF('Bittrex Data'!C406="Limit_Buy",'Bittrex Data'!G406+'Bittrex Data'!F406,"")))</f>
        <v/>
      </c>
      <c r="G406" t="str">
        <f>IF('Bittrex Data'!B406="","",'Bittrex Data'!D406)</f>
        <v/>
      </c>
      <c r="H406" t="str">
        <f>IF('Bittrex Data'!C406="","",IF(Bittrex!C406="Buy",Bittrex!D406,IF(Bittrex!C406="Sale",Bittrex!E406,IF(AND(Bittrex!C406="Trade",'Bittrex Data'!C406="Limit_Sell"),Bittrex!E406,IF(AND(Bittrex!C406="Trade",'Bittrex Data'!C406="Limit_Buy"),Bittrex!D406,"")))))</f>
        <v/>
      </c>
      <c r="I406" t="str">
        <f>IF('Bittrex Data'!C406="","",IF(Bittrex!C406="Buy",F406,IF(C406="Sale",Bittrex!G406,IF(AND(C406="Trade",'Bittrex Data'!C406="Limit_Sell"),Bittrex!G406,IF(AND(Bittrex!C406="Trade",'Bittrex Data'!C406="Limit_Buy"),F406,"")))))</f>
        <v/>
      </c>
      <c r="J406" t="str">
        <f>IF('Bittrex Data'!B406="","",IF('Bittrex Data'!B406="","",IF(Bittrex!H406=Bittrex!E406,D406,Bittrex!E406)))</f>
        <v/>
      </c>
      <c r="K406" t="str">
        <f>IF('Bittrex Data'!B406="","",IF(Bittrex!I406=Bittrex!G406,Bittrex!F406,Bittrex!G406))</f>
        <v/>
      </c>
    </row>
    <row r="407" spans="3:11" x14ac:dyDescent="0.2">
      <c r="C407" t="str">
        <f>IF('Bittrex Data'!A407="","",IF(AND('Bittrex Data'!C407="LIMIT_SELL",Bittrex!D407="USD"),"Sale",IF(AND('Bittrex Data'!C407="LIMIT_BUY",Bittrex!D407="USD"),"Buy","Trade")))</f>
        <v/>
      </c>
      <c r="D407" t="str">
        <f>IF('Bittrex Data'!B407="","",LEFT(LEFT('Bittrex Data'!B407,SEARCH("-",'Bittrex Data'!B407,1)),LEN(LEFT('Bittrex Data'!B407,SEARCH("-",'Bittrex Data'!B407,1)))-1))</f>
        <v/>
      </c>
      <c r="E407" t="str">
        <f>IF('Bittrex Data'!B407="","",RIGHT(RIGHT('Bittrex Data'!B407,LEN('Bittrex Data'!B407)-SEARCH("-",'Bittrex Data'!B407,1)+1),LEN(RIGHT('Bittrex Data'!B407,LEN('Bittrex Data'!B407)-SEARCH("-",'Bittrex Data'!B407,1)+1))-1))</f>
        <v/>
      </c>
      <c r="F407" t="str">
        <f>IF('Bittrex Data'!C407="","",IF('Bittrex Data'!C407="Limit_Sell",'Bittrex Data'!G407-'Bittrex Data'!F407,IF('Bittrex Data'!C407="Limit_Buy",'Bittrex Data'!G407+'Bittrex Data'!F407,"")))</f>
        <v/>
      </c>
      <c r="G407" t="str">
        <f>IF('Bittrex Data'!B407="","",'Bittrex Data'!D407)</f>
        <v/>
      </c>
      <c r="H407" t="str">
        <f>IF('Bittrex Data'!C407="","",IF(Bittrex!C407="Buy",Bittrex!D407,IF(Bittrex!C407="Sale",Bittrex!E407,IF(AND(Bittrex!C407="Trade",'Bittrex Data'!C407="Limit_Sell"),Bittrex!E407,IF(AND(Bittrex!C407="Trade",'Bittrex Data'!C407="Limit_Buy"),Bittrex!D407,"")))))</f>
        <v/>
      </c>
      <c r="I407" t="str">
        <f>IF('Bittrex Data'!C407="","",IF(Bittrex!C407="Buy",F407,IF(C407="Sale",Bittrex!G407,IF(AND(C407="Trade",'Bittrex Data'!C407="Limit_Sell"),Bittrex!G407,IF(AND(Bittrex!C407="Trade",'Bittrex Data'!C407="Limit_Buy"),F407,"")))))</f>
        <v/>
      </c>
      <c r="J407" t="str">
        <f>IF('Bittrex Data'!B407="","",IF('Bittrex Data'!B407="","",IF(Bittrex!H407=Bittrex!E407,D407,Bittrex!E407)))</f>
        <v/>
      </c>
      <c r="K407" t="str">
        <f>IF('Bittrex Data'!B407="","",IF(Bittrex!I407=Bittrex!G407,Bittrex!F407,Bittrex!G407))</f>
        <v/>
      </c>
    </row>
    <row r="408" spans="3:11" x14ac:dyDescent="0.2">
      <c r="C408" t="str">
        <f>IF('Bittrex Data'!A408="","",IF(AND('Bittrex Data'!C408="LIMIT_SELL",Bittrex!D408="USD"),"Sale",IF(AND('Bittrex Data'!C408="LIMIT_BUY",Bittrex!D408="USD"),"Buy","Trade")))</f>
        <v/>
      </c>
      <c r="D408" t="str">
        <f>IF('Bittrex Data'!B408="","",LEFT(LEFT('Bittrex Data'!B408,SEARCH("-",'Bittrex Data'!B408,1)),LEN(LEFT('Bittrex Data'!B408,SEARCH("-",'Bittrex Data'!B408,1)))-1))</f>
        <v/>
      </c>
      <c r="E408" t="str">
        <f>IF('Bittrex Data'!B408="","",RIGHT(RIGHT('Bittrex Data'!B408,LEN('Bittrex Data'!B408)-SEARCH("-",'Bittrex Data'!B408,1)+1),LEN(RIGHT('Bittrex Data'!B408,LEN('Bittrex Data'!B408)-SEARCH("-",'Bittrex Data'!B408,1)+1))-1))</f>
        <v/>
      </c>
      <c r="F408" t="str">
        <f>IF('Bittrex Data'!C408="","",IF('Bittrex Data'!C408="Limit_Sell",'Bittrex Data'!G408-'Bittrex Data'!F408,IF('Bittrex Data'!C408="Limit_Buy",'Bittrex Data'!G408+'Bittrex Data'!F408,"")))</f>
        <v/>
      </c>
      <c r="G408" t="str">
        <f>IF('Bittrex Data'!B408="","",'Bittrex Data'!D408)</f>
        <v/>
      </c>
      <c r="H408" t="str">
        <f>IF('Bittrex Data'!C408="","",IF(Bittrex!C408="Buy",Bittrex!D408,IF(Bittrex!C408="Sale",Bittrex!E408,IF(AND(Bittrex!C408="Trade",'Bittrex Data'!C408="Limit_Sell"),Bittrex!E408,IF(AND(Bittrex!C408="Trade",'Bittrex Data'!C408="Limit_Buy"),Bittrex!D408,"")))))</f>
        <v/>
      </c>
      <c r="I408" t="str">
        <f>IF('Bittrex Data'!C408="","",IF(Bittrex!C408="Buy",F408,IF(C408="Sale",Bittrex!G408,IF(AND(C408="Trade",'Bittrex Data'!C408="Limit_Sell"),Bittrex!G408,IF(AND(Bittrex!C408="Trade",'Bittrex Data'!C408="Limit_Buy"),F408,"")))))</f>
        <v/>
      </c>
      <c r="J408" t="str">
        <f>IF('Bittrex Data'!B408="","",IF('Bittrex Data'!B408="","",IF(Bittrex!H408=Bittrex!E408,D408,Bittrex!E408)))</f>
        <v/>
      </c>
      <c r="K408" t="str">
        <f>IF('Bittrex Data'!B408="","",IF(Bittrex!I408=Bittrex!G408,Bittrex!F408,Bittrex!G408))</f>
        <v/>
      </c>
    </row>
    <row r="409" spans="3:11" x14ac:dyDescent="0.2">
      <c r="C409" t="str">
        <f>IF('Bittrex Data'!A409="","",IF(AND('Bittrex Data'!C409="LIMIT_SELL",Bittrex!D409="USD"),"Sale",IF(AND('Bittrex Data'!C409="LIMIT_BUY",Bittrex!D409="USD"),"Buy","Trade")))</f>
        <v/>
      </c>
      <c r="D409" t="str">
        <f>IF('Bittrex Data'!B409="","",LEFT(LEFT('Bittrex Data'!B409,SEARCH("-",'Bittrex Data'!B409,1)),LEN(LEFT('Bittrex Data'!B409,SEARCH("-",'Bittrex Data'!B409,1)))-1))</f>
        <v/>
      </c>
      <c r="E409" t="str">
        <f>IF('Bittrex Data'!B409="","",RIGHT(RIGHT('Bittrex Data'!B409,LEN('Bittrex Data'!B409)-SEARCH("-",'Bittrex Data'!B409,1)+1),LEN(RIGHT('Bittrex Data'!B409,LEN('Bittrex Data'!B409)-SEARCH("-",'Bittrex Data'!B409,1)+1))-1))</f>
        <v/>
      </c>
      <c r="F409" t="str">
        <f>IF('Bittrex Data'!C409="","",IF('Bittrex Data'!C409="Limit_Sell",'Bittrex Data'!G409-'Bittrex Data'!F409,IF('Bittrex Data'!C409="Limit_Buy",'Bittrex Data'!G409+'Bittrex Data'!F409,"")))</f>
        <v/>
      </c>
      <c r="G409" t="str">
        <f>IF('Bittrex Data'!B409="","",'Bittrex Data'!D409)</f>
        <v/>
      </c>
      <c r="H409" t="str">
        <f>IF('Bittrex Data'!C409="","",IF(Bittrex!C409="Buy",Bittrex!D409,IF(Bittrex!C409="Sale",Bittrex!E409,IF(AND(Bittrex!C409="Trade",'Bittrex Data'!C409="Limit_Sell"),Bittrex!E409,IF(AND(Bittrex!C409="Trade",'Bittrex Data'!C409="Limit_Buy"),Bittrex!D409,"")))))</f>
        <v/>
      </c>
      <c r="I409" t="str">
        <f>IF('Bittrex Data'!C409="","",IF(Bittrex!C409="Buy",F409,IF(C409="Sale",Bittrex!G409,IF(AND(C409="Trade",'Bittrex Data'!C409="Limit_Sell"),Bittrex!G409,IF(AND(Bittrex!C409="Trade",'Bittrex Data'!C409="Limit_Buy"),F409,"")))))</f>
        <v/>
      </c>
      <c r="J409" t="str">
        <f>IF('Bittrex Data'!B409="","",IF('Bittrex Data'!B409="","",IF(Bittrex!H409=Bittrex!E409,D409,Bittrex!E409)))</f>
        <v/>
      </c>
      <c r="K409" t="str">
        <f>IF('Bittrex Data'!B409="","",IF(Bittrex!I409=Bittrex!G409,Bittrex!F409,Bittrex!G409))</f>
        <v/>
      </c>
    </row>
    <row r="410" spans="3:11" x14ac:dyDescent="0.2">
      <c r="C410" t="str">
        <f>IF('Bittrex Data'!A410="","",IF(AND('Bittrex Data'!C410="LIMIT_SELL",Bittrex!D410="USD"),"Sale",IF(AND('Bittrex Data'!C410="LIMIT_BUY",Bittrex!D410="USD"),"Buy","Trade")))</f>
        <v/>
      </c>
      <c r="D410" t="str">
        <f>IF('Bittrex Data'!B410="","",LEFT(LEFT('Bittrex Data'!B410,SEARCH("-",'Bittrex Data'!B410,1)),LEN(LEFT('Bittrex Data'!B410,SEARCH("-",'Bittrex Data'!B410,1)))-1))</f>
        <v/>
      </c>
      <c r="E410" t="str">
        <f>IF('Bittrex Data'!B410="","",RIGHT(RIGHT('Bittrex Data'!B410,LEN('Bittrex Data'!B410)-SEARCH("-",'Bittrex Data'!B410,1)+1),LEN(RIGHT('Bittrex Data'!B410,LEN('Bittrex Data'!B410)-SEARCH("-",'Bittrex Data'!B410,1)+1))-1))</f>
        <v/>
      </c>
      <c r="F410" t="str">
        <f>IF('Bittrex Data'!C410="","",IF('Bittrex Data'!C410="Limit_Sell",'Bittrex Data'!G410-'Bittrex Data'!F410,IF('Bittrex Data'!C410="Limit_Buy",'Bittrex Data'!G410+'Bittrex Data'!F410,"")))</f>
        <v/>
      </c>
      <c r="G410" t="str">
        <f>IF('Bittrex Data'!B410="","",'Bittrex Data'!D410)</f>
        <v/>
      </c>
      <c r="H410" t="str">
        <f>IF('Bittrex Data'!C410="","",IF(Bittrex!C410="Buy",Bittrex!D410,IF(Bittrex!C410="Sale",Bittrex!E410,IF(AND(Bittrex!C410="Trade",'Bittrex Data'!C410="Limit_Sell"),Bittrex!E410,IF(AND(Bittrex!C410="Trade",'Bittrex Data'!C410="Limit_Buy"),Bittrex!D410,"")))))</f>
        <v/>
      </c>
      <c r="I410" t="str">
        <f>IF('Bittrex Data'!C410="","",IF(Bittrex!C410="Buy",F410,IF(C410="Sale",Bittrex!G410,IF(AND(C410="Trade",'Bittrex Data'!C410="Limit_Sell"),Bittrex!G410,IF(AND(Bittrex!C410="Trade",'Bittrex Data'!C410="Limit_Buy"),F410,"")))))</f>
        <v/>
      </c>
      <c r="J410" t="str">
        <f>IF('Bittrex Data'!B410="","",IF('Bittrex Data'!B410="","",IF(Bittrex!H410=Bittrex!E410,D410,Bittrex!E410)))</f>
        <v/>
      </c>
      <c r="K410" t="str">
        <f>IF('Bittrex Data'!B410="","",IF(Bittrex!I410=Bittrex!G410,Bittrex!F410,Bittrex!G410))</f>
        <v/>
      </c>
    </row>
    <row r="411" spans="3:11" x14ac:dyDescent="0.2">
      <c r="C411" t="str">
        <f>IF('Bittrex Data'!A411="","",IF(AND('Bittrex Data'!C411="LIMIT_SELL",Bittrex!D411="USD"),"Sale",IF(AND('Bittrex Data'!C411="LIMIT_BUY",Bittrex!D411="USD"),"Buy","Trade")))</f>
        <v/>
      </c>
      <c r="D411" t="str">
        <f>IF('Bittrex Data'!B411="","",LEFT(LEFT('Bittrex Data'!B411,SEARCH("-",'Bittrex Data'!B411,1)),LEN(LEFT('Bittrex Data'!B411,SEARCH("-",'Bittrex Data'!B411,1)))-1))</f>
        <v/>
      </c>
      <c r="E411" t="str">
        <f>IF('Bittrex Data'!B411="","",RIGHT(RIGHT('Bittrex Data'!B411,LEN('Bittrex Data'!B411)-SEARCH("-",'Bittrex Data'!B411,1)+1),LEN(RIGHT('Bittrex Data'!B411,LEN('Bittrex Data'!B411)-SEARCH("-",'Bittrex Data'!B411,1)+1))-1))</f>
        <v/>
      </c>
      <c r="F411" t="str">
        <f>IF('Bittrex Data'!C411="","",IF('Bittrex Data'!C411="Limit_Sell",'Bittrex Data'!G411-'Bittrex Data'!F411,IF('Bittrex Data'!C411="Limit_Buy",'Bittrex Data'!G411+'Bittrex Data'!F411,"")))</f>
        <v/>
      </c>
      <c r="G411" t="str">
        <f>IF('Bittrex Data'!B411="","",'Bittrex Data'!D411)</f>
        <v/>
      </c>
      <c r="H411" t="str">
        <f>IF('Bittrex Data'!C411="","",IF(Bittrex!C411="Buy",Bittrex!D411,IF(Bittrex!C411="Sale",Bittrex!E411,IF(AND(Bittrex!C411="Trade",'Bittrex Data'!C411="Limit_Sell"),Bittrex!E411,IF(AND(Bittrex!C411="Trade",'Bittrex Data'!C411="Limit_Buy"),Bittrex!D411,"")))))</f>
        <v/>
      </c>
      <c r="I411" t="str">
        <f>IF('Bittrex Data'!C411="","",IF(Bittrex!C411="Buy",F411,IF(C411="Sale",Bittrex!G411,IF(AND(C411="Trade",'Bittrex Data'!C411="Limit_Sell"),Bittrex!G411,IF(AND(Bittrex!C411="Trade",'Bittrex Data'!C411="Limit_Buy"),F411,"")))))</f>
        <v/>
      </c>
      <c r="J411" t="str">
        <f>IF('Bittrex Data'!B411="","",IF('Bittrex Data'!B411="","",IF(Bittrex!H411=Bittrex!E411,D411,Bittrex!E411)))</f>
        <v/>
      </c>
      <c r="K411" t="str">
        <f>IF('Bittrex Data'!B411="","",IF(Bittrex!I411=Bittrex!G411,Bittrex!F411,Bittrex!G411))</f>
        <v/>
      </c>
    </row>
    <row r="412" spans="3:11" x14ac:dyDescent="0.2">
      <c r="C412" t="str">
        <f>IF('Bittrex Data'!A412="","",IF(AND('Bittrex Data'!C412="LIMIT_SELL",Bittrex!D412="USD"),"Sale",IF(AND('Bittrex Data'!C412="LIMIT_BUY",Bittrex!D412="USD"),"Buy","Trade")))</f>
        <v/>
      </c>
      <c r="D412" t="str">
        <f>IF('Bittrex Data'!B412="","",LEFT(LEFT('Bittrex Data'!B412,SEARCH("-",'Bittrex Data'!B412,1)),LEN(LEFT('Bittrex Data'!B412,SEARCH("-",'Bittrex Data'!B412,1)))-1))</f>
        <v/>
      </c>
      <c r="E412" t="str">
        <f>IF('Bittrex Data'!B412="","",RIGHT(RIGHT('Bittrex Data'!B412,LEN('Bittrex Data'!B412)-SEARCH("-",'Bittrex Data'!B412,1)+1),LEN(RIGHT('Bittrex Data'!B412,LEN('Bittrex Data'!B412)-SEARCH("-",'Bittrex Data'!B412,1)+1))-1))</f>
        <v/>
      </c>
      <c r="F412" t="str">
        <f>IF('Bittrex Data'!C412="","",IF('Bittrex Data'!C412="Limit_Sell",'Bittrex Data'!G412-'Bittrex Data'!F412,IF('Bittrex Data'!C412="Limit_Buy",'Bittrex Data'!G412+'Bittrex Data'!F412,"")))</f>
        <v/>
      </c>
      <c r="G412" t="str">
        <f>IF('Bittrex Data'!B412="","",'Bittrex Data'!D412)</f>
        <v/>
      </c>
      <c r="H412" t="str">
        <f>IF('Bittrex Data'!C412="","",IF(Bittrex!C412="Buy",Bittrex!D412,IF(Bittrex!C412="Sale",Bittrex!E412,IF(AND(Bittrex!C412="Trade",'Bittrex Data'!C412="Limit_Sell"),Bittrex!E412,IF(AND(Bittrex!C412="Trade",'Bittrex Data'!C412="Limit_Buy"),Bittrex!D412,"")))))</f>
        <v/>
      </c>
      <c r="I412" t="str">
        <f>IF('Bittrex Data'!C412="","",IF(Bittrex!C412="Buy",F412,IF(C412="Sale",Bittrex!G412,IF(AND(C412="Trade",'Bittrex Data'!C412="Limit_Sell"),Bittrex!G412,IF(AND(Bittrex!C412="Trade",'Bittrex Data'!C412="Limit_Buy"),F412,"")))))</f>
        <v/>
      </c>
      <c r="J412" t="str">
        <f>IF('Bittrex Data'!B412="","",IF('Bittrex Data'!B412="","",IF(Bittrex!H412=Bittrex!E412,D412,Bittrex!E412)))</f>
        <v/>
      </c>
      <c r="K412" t="str">
        <f>IF('Bittrex Data'!B412="","",IF(Bittrex!I412=Bittrex!G412,Bittrex!F412,Bittrex!G412))</f>
        <v/>
      </c>
    </row>
    <row r="413" spans="3:11" x14ac:dyDescent="0.2">
      <c r="C413" t="str">
        <f>IF('Bittrex Data'!A413="","",IF(AND('Bittrex Data'!C413="LIMIT_SELL",Bittrex!D413="USD"),"Sale",IF(AND('Bittrex Data'!C413="LIMIT_BUY",Bittrex!D413="USD"),"Buy","Trade")))</f>
        <v/>
      </c>
      <c r="D413" t="str">
        <f>IF('Bittrex Data'!B413="","",LEFT(LEFT('Bittrex Data'!B413,SEARCH("-",'Bittrex Data'!B413,1)),LEN(LEFT('Bittrex Data'!B413,SEARCH("-",'Bittrex Data'!B413,1)))-1))</f>
        <v/>
      </c>
      <c r="E413" t="str">
        <f>IF('Bittrex Data'!B413="","",RIGHT(RIGHT('Bittrex Data'!B413,LEN('Bittrex Data'!B413)-SEARCH("-",'Bittrex Data'!B413,1)+1),LEN(RIGHT('Bittrex Data'!B413,LEN('Bittrex Data'!B413)-SEARCH("-",'Bittrex Data'!B413,1)+1))-1))</f>
        <v/>
      </c>
      <c r="F413" t="str">
        <f>IF('Bittrex Data'!C413="","",IF('Bittrex Data'!C413="Limit_Sell",'Bittrex Data'!G413-'Bittrex Data'!F413,IF('Bittrex Data'!C413="Limit_Buy",'Bittrex Data'!G413+'Bittrex Data'!F413,"")))</f>
        <v/>
      </c>
      <c r="G413" t="str">
        <f>IF('Bittrex Data'!B413="","",'Bittrex Data'!D413)</f>
        <v/>
      </c>
      <c r="H413" t="str">
        <f>IF('Bittrex Data'!C413="","",IF(Bittrex!C413="Buy",Bittrex!D413,IF(Bittrex!C413="Sale",Bittrex!E413,IF(AND(Bittrex!C413="Trade",'Bittrex Data'!C413="Limit_Sell"),Bittrex!E413,IF(AND(Bittrex!C413="Trade",'Bittrex Data'!C413="Limit_Buy"),Bittrex!D413,"")))))</f>
        <v/>
      </c>
      <c r="I413" t="str">
        <f>IF('Bittrex Data'!C413="","",IF(Bittrex!C413="Buy",F413,IF(C413="Sale",Bittrex!G413,IF(AND(C413="Trade",'Bittrex Data'!C413="Limit_Sell"),Bittrex!G413,IF(AND(Bittrex!C413="Trade",'Bittrex Data'!C413="Limit_Buy"),F413,"")))))</f>
        <v/>
      </c>
      <c r="J413" t="str">
        <f>IF('Bittrex Data'!B413="","",IF('Bittrex Data'!B413="","",IF(Bittrex!H413=Bittrex!E413,D413,Bittrex!E413)))</f>
        <v/>
      </c>
      <c r="K413" t="str">
        <f>IF('Bittrex Data'!B413="","",IF(Bittrex!I413=Bittrex!G413,Bittrex!F413,Bittrex!G413))</f>
        <v/>
      </c>
    </row>
    <row r="414" spans="3:11" x14ac:dyDescent="0.2">
      <c r="C414" t="str">
        <f>IF('Bittrex Data'!A414="","",IF(AND('Bittrex Data'!C414="LIMIT_SELL",Bittrex!D414="USD"),"Sale",IF(AND('Bittrex Data'!C414="LIMIT_BUY",Bittrex!D414="USD"),"Buy","Trade")))</f>
        <v/>
      </c>
      <c r="D414" t="str">
        <f>IF('Bittrex Data'!B414="","",LEFT(LEFT('Bittrex Data'!B414,SEARCH("-",'Bittrex Data'!B414,1)),LEN(LEFT('Bittrex Data'!B414,SEARCH("-",'Bittrex Data'!B414,1)))-1))</f>
        <v/>
      </c>
      <c r="E414" t="str">
        <f>IF('Bittrex Data'!B414="","",RIGHT(RIGHT('Bittrex Data'!B414,LEN('Bittrex Data'!B414)-SEARCH("-",'Bittrex Data'!B414,1)+1),LEN(RIGHT('Bittrex Data'!B414,LEN('Bittrex Data'!B414)-SEARCH("-",'Bittrex Data'!B414,1)+1))-1))</f>
        <v/>
      </c>
      <c r="F414" t="str">
        <f>IF('Bittrex Data'!C414="","",IF('Bittrex Data'!C414="Limit_Sell",'Bittrex Data'!G414-'Bittrex Data'!F414,IF('Bittrex Data'!C414="Limit_Buy",'Bittrex Data'!G414+'Bittrex Data'!F414,"")))</f>
        <v/>
      </c>
      <c r="G414" t="str">
        <f>IF('Bittrex Data'!B414="","",'Bittrex Data'!D414)</f>
        <v/>
      </c>
      <c r="H414" t="str">
        <f>IF('Bittrex Data'!C414="","",IF(Bittrex!C414="Buy",Bittrex!D414,IF(Bittrex!C414="Sale",Bittrex!E414,IF(AND(Bittrex!C414="Trade",'Bittrex Data'!C414="Limit_Sell"),Bittrex!E414,IF(AND(Bittrex!C414="Trade",'Bittrex Data'!C414="Limit_Buy"),Bittrex!D414,"")))))</f>
        <v/>
      </c>
      <c r="I414" t="str">
        <f>IF('Bittrex Data'!C414="","",IF(Bittrex!C414="Buy",F414,IF(C414="Sale",Bittrex!G414,IF(AND(C414="Trade",'Bittrex Data'!C414="Limit_Sell"),Bittrex!G414,IF(AND(Bittrex!C414="Trade",'Bittrex Data'!C414="Limit_Buy"),F414,"")))))</f>
        <v/>
      </c>
      <c r="J414" t="str">
        <f>IF('Bittrex Data'!B414="","",IF('Bittrex Data'!B414="","",IF(Bittrex!H414=Bittrex!E414,D414,Bittrex!E414)))</f>
        <v/>
      </c>
      <c r="K414" t="str">
        <f>IF('Bittrex Data'!B414="","",IF(Bittrex!I414=Bittrex!G414,Bittrex!F414,Bittrex!G414))</f>
        <v/>
      </c>
    </row>
    <row r="415" spans="3:11" x14ac:dyDescent="0.2">
      <c r="C415" t="str">
        <f>IF('Bittrex Data'!A415="","",IF(AND('Bittrex Data'!C415="LIMIT_SELL",Bittrex!D415="USD"),"Sale",IF(AND('Bittrex Data'!C415="LIMIT_BUY",Bittrex!D415="USD"),"Buy","Trade")))</f>
        <v/>
      </c>
      <c r="D415" t="str">
        <f>IF('Bittrex Data'!B415="","",LEFT(LEFT('Bittrex Data'!B415,SEARCH("-",'Bittrex Data'!B415,1)),LEN(LEFT('Bittrex Data'!B415,SEARCH("-",'Bittrex Data'!B415,1)))-1))</f>
        <v/>
      </c>
      <c r="E415" t="str">
        <f>IF('Bittrex Data'!B415="","",RIGHT(RIGHT('Bittrex Data'!B415,LEN('Bittrex Data'!B415)-SEARCH("-",'Bittrex Data'!B415,1)+1),LEN(RIGHT('Bittrex Data'!B415,LEN('Bittrex Data'!B415)-SEARCH("-",'Bittrex Data'!B415,1)+1))-1))</f>
        <v/>
      </c>
      <c r="F415" t="str">
        <f>IF('Bittrex Data'!C415="","",IF('Bittrex Data'!C415="Limit_Sell",'Bittrex Data'!G415-'Bittrex Data'!F415,IF('Bittrex Data'!C415="Limit_Buy",'Bittrex Data'!G415+'Bittrex Data'!F415,"")))</f>
        <v/>
      </c>
      <c r="G415" t="str">
        <f>IF('Bittrex Data'!B415="","",'Bittrex Data'!D415)</f>
        <v/>
      </c>
      <c r="H415" t="str">
        <f>IF('Bittrex Data'!C415="","",IF(Bittrex!C415="Buy",Bittrex!D415,IF(Bittrex!C415="Sale",Bittrex!E415,IF(AND(Bittrex!C415="Trade",'Bittrex Data'!C415="Limit_Sell"),Bittrex!E415,IF(AND(Bittrex!C415="Trade",'Bittrex Data'!C415="Limit_Buy"),Bittrex!D415,"")))))</f>
        <v/>
      </c>
      <c r="I415" t="str">
        <f>IF('Bittrex Data'!C415="","",IF(Bittrex!C415="Buy",F415,IF(C415="Sale",Bittrex!G415,IF(AND(C415="Trade",'Bittrex Data'!C415="Limit_Sell"),Bittrex!G415,IF(AND(Bittrex!C415="Trade",'Bittrex Data'!C415="Limit_Buy"),F415,"")))))</f>
        <v/>
      </c>
      <c r="J415" t="str">
        <f>IF('Bittrex Data'!B415="","",IF('Bittrex Data'!B415="","",IF(Bittrex!H415=Bittrex!E415,D415,Bittrex!E415)))</f>
        <v/>
      </c>
      <c r="K415" t="str">
        <f>IF('Bittrex Data'!B415="","",IF(Bittrex!I415=Bittrex!G415,Bittrex!F415,Bittrex!G415))</f>
        <v/>
      </c>
    </row>
    <row r="416" spans="3:11" x14ac:dyDescent="0.2">
      <c r="C416" t="str">
        <f>IF('Bittrex Data'!A416="","",IF(AND('Bittrex Data'!C416="LIMIT_SELL",Bittrex!D416="USD"),"Sale",IF(AND('Bittrex Data'!C416="LIMIT_BUY",Bittrex!D416="USD"),"Buy","Trade")))</f>
        <v/>
      </c>
      <c r="D416" t="str">
        <f>IF('Bittrex Data'!B416="","",LEFT(LEFT('Bittrex Data'!B416,SEARCH("-",'Bittrex Data'!B416,1)),LEN(LEFT('Bittrex Data'!B416,SEARCH("-",'Bittrex Data'!B416,1)))-1))</f>
        <v/>
      </c>
      <c r="E416" t="str">
        <f>IF('Bittrex Data'!B416="","",RIGHT(RIGHT('Bittrex Data'!B416,LEN('Bittrex Data'!B416)-SEARCH("-",'Bittrex Data'!B416,1)+1),LEN(RIGHT('Bittrex Data'!B416,LEN('Bittrex Data'!B416)-SEARCH("-",'Bittrex Data'!B416,1)+1))-1))</f>
        <v/>
      </c>
      <c r="F416" t="str">
        <f>IF('Bittrex Data'!C416="","",IF('Bittrex Data'!C416="Limit_Sell",'Bittrex Data'!G416-'Bittrex Data'!F416,IF('Bittrex Data'!C416="Limit_Buy",'Bittrex Data'!G416+'Bittrex Data'!F416,"")))</f>
        <v/>
      </c>
      <c r="G416" t="str">
        <f>IF('Bittrex Data'!B416="","",'Bittrex Data'!D416)</f>
        <v/>
      </c>
      <c r="H416" t="str">
        <f>IF('Bittrex Data'!C416="","",IF(Bittrex!C416="Buy",Bittrex!D416,IF(Bittrex!C416="Sale",Bittrex!E416,IF(AND(Bittrex!C416="Trade",'Bittrex Data'!C416="Limit_Sell"),Bittrex!E416,IF(AND(Bittrex!C416="Trade",'Bittrex Data'!C416="Limit_Buy"),Bittrex!D416,"")))))</f>
        <v/>
      </c>
      <c r="I416" t="str">
        <f>IF('Bittrex Data'!C416="","",IF(Bittrex!C416="Buy",F416,IF(C416="Sale",Bittrex!G416,IF(AND(C416="Trade",'Bittrex Data'!C416="Limit_Sell"),Bittrex!G416,IF(AND(Bittrex!C416="Trade",'Bittrex Data'!C416="Limit_Buy"),F416,"")))))</f>
        <v/>
      </c>
      <c r="J416" t="str">
        <f>IF('Bittrex Data'!B416="","",IF('Bittrex Data'!B416="","",IF(Bittrex!H416=Bittrex!E416,D416,Bittrex!E416)))</f>
        <v/>
      </c>
      <c r="K416" t="str">
        <f>IF('Bittrex Data'!B416="","",IF(Bittrex!I416=Bittrex!G416,Bittrex!F416,Bittrex!G416))</f>
        <v/>
      </c>
    </row>
    <row r="417" spans="3:11" x14ac:dyDescent="0.2">
      <c r="C417" t="str">
        <f>IF('Bittrex Data'!A417="","",IF(AND('Bittrex Data'!C417="LIMIT_SELL",Bittrex!D417="USD"),"Sale",IF(AND('Bittrex Data'!C417="LIMIT_BUY",Bittrex!D417="USD"),"Buy","Trade")))</f>
        <v/>
      </c>
      <c r="D417" t="str">
        <f>IF('Bittrex Data'!B417="","",LEFT(LEFT('Bittrex Data'!B417,SEARCH("-",'Bittrex Data'!B417,1)),LEN(LEFT('Bittrex Data'!B417,SEARCH("-",'Bittrex Data'!B417,1)))-1))</f>
        <v/>
      </c>
      <c r="E417" t="str">
        <f>IF('Bittrex Data'!B417="","",RIGHT(RIGHT('Bittrex Data'!B417,LEN('Bittrex Data'!B417)-SEARCH("-",'Bittrex Data'!B417,1)+1),LEN(RIGHT('Bittrex Data'!B417,LEN('Bittrex Data'!B417)-SEARCH("-",'Bittrex Data'!B417,1)+1))-1))</f>
        <v/>
      </c>
      <c r="F417" t="str">
        <f>IF('Bittrex Data'!C417="","",IF('Bittrex Data'!C417="Limit_Sell",'Bittrex Data'!G417-'Bittrex Data'!F417,IF('Bittrex Data'!C417="Limit_Buy",'Bittrex Data'!G417+'Bittrex Data'!F417,"")))</f>
        <v/>
      </c>
      <c r="G417" t="str">
        <f>IF('Bittrex Data'!B417="","",'Bittrex Data'!D417)</f>
        <v/>
      </c>
      <c r="H417" t="str">
        <f>IF('Bittrex Data'!C417="","",IF(Bittrex!C417="Buy",Bittrex!D417,IF(Bittrex!C417="Sale",Bittrex!E417,IF(AND(Bittrex!C417="Trade",'Bittrex Data'!C417="Limit_Sell"),Bittrex!E417,IF(AND(Bittrex!C417="Trade",'Bittrex Data'!C417="Limit_Buy"),Bittrex!D417,"")))))</f>
        <v/>
      </c>
      <c r="I417" t="str">
        <f>IF('Bittrex Data'!C417="","",IF(Bittrex!C417="Buy",F417,IF(C417="Sale",Bittrex!G417,IF(AND(C417="Trade",'Bittrex Data'!C417="Limit_Sell"),Bittrex!G417,IF(AND(Bittrex!C417="Trade",'Bittrex Data'!C417="Limit_Buy"),F417,"")))))</f>
        <v/>
      </c>
      <c r="J417" t="str">
        <f>IF('Bittrex Data'!B417="","",IF('Bittrex Data'!B417="","",IF(Bittrex!H417=Bittrex!E417,D417,Bittrex!E417)))</f>
        <v/>
      </c>
      <c r="K417" t="str">
        <f>IF('Bittrex Data'!B417="","",IF(Bittrex!I417=Bittrex!G417,Bittrex!F417,Bittrex!G417))</f>
        <v/>
      </c>
    </row>
    <row r="418" spans="3:11" x14ac:dyDescent="0.2">
      <c r="C418" t="str">
        <f>IF('Bittrex Data'!A418="","",IF(AND('Bittrex Data'!C418="LIMIT_SELL",Bittrex!D418="USD"),"Sale",IF(AND('Bittrex Data'!C418="LIMIT_BUY",Bittrex!D418="USD"),"Buy","Trade")))</f>
        <v/>
      </c>
      <c r="D418" t="str">
        <f>IF('Bittrex Data'!B418="","",LEFT(LEFT('Bittrex Data'!B418,SEARCH("-",'Bittrex Data'!B418,1)),LEN(LEFT('Bittrex Data'!B418,SEARCH("-",'Bittrex Data'!B418,1)))-1))</f>
        <v/>
      </c>
      <c r="E418" t="str">
        <f>IF('Bittrex Data'!B418="","",RIGHT(RIGHT('Bittrex Data'!B418,LEN('Bittrex Data'!B418)-SEARCH("-",'Bittrex Data'!B418,1)+1),LEN(RIGHT('Bittrex Data'!B418,LEN('Bittrex Data'!B418)-SEARCH("-",'Bittrex Data'!B418,1)+1))-1))</f>
        <v/>
      </c>
      <c r="F418" t="str">
        <f>IF('Bittrex Data'!C418="","",IF('Bittrex Data'!C418="Limit_Sell",'Bittrex Data'!G418-'Bittrex Data'!F418,IF('Bittrex Data'!C418="Limit_Buy",'Bittrex Data'!G418+'Bittrex Data'!F418,"")))</f>
        <v/>
      </c>
      <c r="G418" t="str">
        <f>IF('Bittrex Data'!B418="","",'Bittrex Data'!D418)</f>
        <v/>
      </c>
      <c r="H418" t="str">
        <f>IF('Bittrex Data'!C418="","",IF(Bittrex!C418="Buy",Bittrex!D418,IF(Bittrex!C418="Sale",Bittrex!E418,IF(AND(Bittrex!C418="Trade",'Bittrex Data'!C418="Limit_Sell"),Bittrex!E418,IF(AND(Bittrex!C418="Trade",'Bittrex Data'!C418="Limit_Buy"),Bittrex!D418,"")))))</f>
        <v/>
      </c>
      <c r="I418" t="str">
        <f>IF('Bittrex Data'!C418="","",IF(Bittrex!C418="Buy",F418,IF(C418="Sale",Bittrex!G418,IF(AND(C418="Trade",'Bittrex Data'!C418="Limit_Sell"),Bittrex!G418,IF(AND(Bittrex!C418="Trade",'Bittrex Data'!C418="Limit_Buy"),F418,"")))))</f>
        <v/>
      </c>
      <c r="J418" t="str">
        <f>IF('Bittrex Data'!B418="","",IF('Bittrex Data'!B418="","",IF(Bittrex!H418=Bittrex!E418,D418,Bittrex!E418)))</f>
        <v/>
      </c>
      <c r="K418" t="str">
        <f>IF('Bittrex Data'!B418="","",IF(Bittrex!I418=Bittrex!G418,Bittrex!F418,Bittrex!G418))</f>
        <v/>
      </c>
    </row>
    <row r="419" spans="3:11" x14ac:dyDescent="0.2">
      <c r="C419" t="str">
        <f>IF('Bittrex Data'!A419="","",IF(AND('Bittrex Data'!C419="LIMIT_SELL",Bittrex!D419="USD"),"Sale",IF(AND('Bittrex Data'!C419="LIMIT_BUY",Bittrex!D419="USD"),"Buy","Trade")))</f>
        <v/>
      </c>
      <c r="D419" t="str">
        <f>IF('Bittrex Data'!B419="","",LEFT(LEFT('Bittrex Data'!B419,SEARCH("-",'Bittrex Data'!B419,1)),LEN(LEFT('Bittrex Data'!B419,SEARCH("-",'Bittrex Data'!B419,1)))-1))</f>
        <v/>
      </c>
      <c r="E419" t="str">
        <f>IF('Bittrex Data'!B419="","",RIGHT(RIGHT('Bittrex Data'!B419,LEN('Bittrex Data'!B419)-SEARCH("-",'Bittrex Data'!B419,1)+1),LEN(RIGHT('Bittrex Data'!B419,LEN('Bittrex Data'!B419)-SEARCH("-",'Bittrex Data'!B419,1)+1))-1))</f>
        <v/>
      </c>
      <c r="F419" t="str">
        <f>IF('Bittrex Data'!C419="","",IF('Bittrex Data'!C419="Limit_Sell",'Bittrex Data'!G419-'Bittrex Data'!F419,IF('Bittrex Data'!C419="Limit_Buy",'Bittrex Data'!G419+'Bittrex Data'!F419,"")))</f>
        <v/>
      </c>
      <c r="G419" t="str">
        <f>IF('Bittrex Data'!B419="","",'Bittrex Data'!D419)</f>
        <v/>
      </c>
      <c r="H419" t="str">
        <f>IF('Bittrex Data'!C419="","",IF(Bittrex!C419="Buy",Bittrex!D419,IF(Bittrex!C419="Sale",Bittrex!E419,IF(AND(Bittrex!C419="Trade",'Bittrex Data'!C419="Limit_Sell"),Bittrex!E419,IF(AND(Bittrex!C419="Trade",'Bittrex Data'!C419="Limit_Buy"),Bittrex!D419,"")))))</f>
        <v/>
      </c>
      <c r="I419" t="str">
        <f>IF('Bittrex Data'!C419="","",IF(Bittrex!C419="Buy",F419,IF(C419="Sale",Bittrex!G419,IF(AND(C419="Trade",'Bittrex Data'!C419="Limit_Sell"),Bittrex!G419,IF(AND(Bittrex!C419="Trade",'Bittrex Data'!C419="Limit_Buy"),F419,"")))))</f>
        <v/>
      </c>
      <c r="J419" t="str">
        <f>IF('Bittrex Data'!B419="","",IF('Bittrex Data'!B419="","",IF(Bittrex!H419=Bittrex!E419,D419,Bittrex!E419)))</f>
        <v/>
      </c>
      <c r="K419" t="str">
        <f>IF('Bittrex Data'!B419="","",IF(Bittrex!I419=Bittrex!G419,Bittrex!F419,Bittrex!G419))</f>
        <v/>
      </c>
    </row>
    <row r="420" spans="3:11" x14ac:dyDescent="0.2">
      <c r="C420" t="str">
        <f>IF('Bittrex Data'!A420="","",IF(AND('Bittrex Data'!C420="LIMIT_SELL",Bittrex!D420="USD"),"Sale",IF(AND('Bittrex Data'!C420="LIMIT_BUY",Bittrex!D420="USD"),"Buy","Trade")))</f>
        <v/>
      </c>
      <c r="D420" t="str">
        <f>IF('Bittrex Data'!B420="","",LEFT(LEFT('Bittrex Data'!B420,SEARCH("-",'Bittrex Data'!B420,1)),LEN(LEFT('Bittrex Data'!B420,SEARCH("-",'Bittrex Data'!B420,1)))-1))</f>
        <v/>
      </c>
      <c r="E420" t="str">
        <f>IF('Bittrex Data'!B420="","",RIGHT(RIGHT('Bittrex Data'!B420,LEN('Bittrex Data'!B420)-SEARCH("-",'Bittrex Data'!B420,1)+1),LEN(RIGHT('Bittrex Data'!B420,LEN('Bittrex Data'!B420)-SEARCH("-",'Bittrex Data'!B420,1)+1))-1))</f>
        <v/>
      </c>
      <c r="F420" t="str">
        <f>IF('Bittrex Data'!C420="","",IF('Bittrex Data'!C420="Limit_Sell",'Bittrex Data'!G420-'Bittrex Data'!F420,IF('Bittrex Data'!C420="Limit_Buy",'Bittrex Data'!G420+'Bittrex Data'!F420,"")))</f>
        <v/>
      </c>
      <c r="G420" t="str">
        <f>IF('Bittrex Data'!B420="","",'Bittrex Data'!D420)</f>
        <v/>
      </c>
      <c r="H420" t="str">
        <f>IF('Bittrex Data'!C420="","",IF(Bittrex!C420="Buy",Bittrex!D420,IF(Bittrex!C420="Sale",Bittrex!E420,IF(AND(Bittrex!C420="Trade",'Bittrex Data'!C420="Limit_Sell"),Bittrex!E420,IF(AND(Bittrex!C420="Trade",'Bittrex Data'!C420="Limit_Buy"),Bittrex!D420,"")))))</f>
        <v/>
      </c>
      <c r="I420" t="str">
        <f>IF('Bittrex Data'!C420="","",IF(Bittrex!C420="Buy",F420,IF(C420="Sale",Bittrex!G420,IF(AND(C420="Trade",'Bittrex Data'!C420="Limit_Sell"),Bittrex!G420,IF(AND(Bittrex!C420="Trade",'Bittrex Data'!C420="Limit_Buy"),F420,"")))))</f>
        <v/>
      </c>
      <c r="J420" t="str">
        <f>IF('Bittrex Data'!B420="","",IF('Bittrex Data'!B420="","",IF(Bittrex!H420=Bittrex!E420,D420,Bittrex!E420)))</f>
        <v/>
      </c>
      <c r="K420" t="str">
        <f>IF('Bittrex Data'!B420="","",IF(Bittrex!I420=Bittrex!G420,Bittrex!F420,Bittrex!G420))</f>
        <v/>
      </c>
    </row>
    <row r="421" spans="3:11" x14ac:dyDescent="0.2">
      <c r="C421" t="str">
        <f>IF('Bittrex Data'!A421="","",IF(AND('Bittrex Data'!C421="LIMIT_SELL",Bittrex!D421="USD"),"Sale",IF(AND('Bittrex Data'!C421="LIMIT_BUY",Bittrex!D421="USD"),"Buy","Trade")))</f>
        <v/>
      </c>
      <c r="D421" t="str">
        <f>IF('Bittrex Data'!B421="","",LEFT(LEFT('Bittrex Data'!B421,SEARCH("-",'Bittrex Data'!B421,1)),LEN(LEFT('Bittrex Data'!B421,SEARCH("-",'Bittrex Data'!B421,1)))-1))</f>
        <v/>
      </c>
      <c r="E421" t="str">
        <f>IF('Bittrex Data'!B421="","",RIGHT(RIGHT('Bittrex Data'!B421,LEN('Bittrex Data'!B421)-SEARCH("-",'Bittrex Data'!B421,1)+1),LEN(RIGHT('Bittrex Data'!B421,LEN('Bittrex Data'!B421)-SEARCH("-",'Bittrex Data'!B421,1)+1))-1))</f>
        <v/>
      </c>
      <c r="F421" t="str">
        <f>IF('Bittrex Data'!C421="","",IF('Bittrex Data'!C421="Limit_Sell",'Bittrex Data'!G421-'Bittrex Data'!F421,IF('Bittrex Data'!C421="Limit_Buy",'Bittrex Data'!G421+'Bittrex Data'!F421,"")))</f>
        <v/>
      </c>
      <c r="G421" t="str">
        <f>IF('Bittrex Data'!B421="","",'Bittrex Data'!D421)</f>
        <v/>
      </c>
      <c r="H421" t="str">
        <f>IF('Bittrex Data'!C421="","",IF(Bittrex!C421="Buy",Bittrex!D421,IF(Bittrex!C421="Sale",Bittrex!E421,IF(AND(Bittrex!C421="Trade",'Bittrex Data'!C421="Limit_Sell"),Bittrex!E421,IF(AND(Bittrex!C421="Trade",'Bittrex Data'!C421="Limit_Buy"),Bittrex!D421,"")))))</f>
        <v/>
      </c>
      <c r="I421" t="str">
        <f>IF('Bittrex Data'!C421="","",IF(Bittrex!C421="Buy",F421,IF(C421="Sale",Bittrex!G421,IF(AND(C421="Trade",'Bittrex Data'!C421="Limit_Sell"),Bittrex!G421,IF(AND(Bittrex!C421="Trade",'Bittrex Data'!C421="Limit_Buy"),F421,"")))))</f>
        <v/>
      </c>
      <c r="J421" t="str">
        <f>IF('Bittrex Data'!B421="","",IF('Bittrex Data'!B421="","",IF(Bittrex!H421=Bittrex!E421,D421,Bittrex!E421)))</f>
        <v/>
      </c>
      <c r="K421" t="str">
        <f>IF('Bittrex Data'!B421="","",IF(Bittrex!I421=Bittrex!G421,Bittrex!F421,Bittrex!G421))</f>
        <v/>
      </c>
    </row>
    <row r="422" spans="3:11" x14ac:dyDescent="0.2">
      <c r="C422" t="str">
        <f>IF('Bittrex Data'!A422="","",IF(AND('Bittrex Data'!C422="LIMIT_SELL",Bittrex!D422="USD"),"Sale",IF(AND('Bittrex Data'!C422="LIMIT_BUY",Bittrex!D422="USD"),"Buy","Trade")))</f>
        <v/>
      </c>
      <c r="D422" t="str">
        <f>IF('Bittrex Data'!B422="","",LEFT(LEFT('Bittrex Data'!B422,SEARCH("-",'Bittrex Data'!B422,1)),LEN(LEFT('Bittrex Data'!B422,SEARCH("-",'Bittrex Data'!B422,1)))-1))</f>
        <v/>
      </c>
      <c r="E422" t="str">
        <f>IF('Bittrex Data'!B422="","",RIGHT(RIGHT('Bittrex Data'!B422,LEN('Bittrex Data'!B422)-SEARCH("-",'Bittrex Data'!B422,1)+1),LEN(RIGHT('Bittrex Data'!B422,LEN('Bittrex Data'!B422)-SEARCH("-",'Bittrex Data'!B422,1)+1))-1))</f>
        <v/>
      </c>
      <c r="F422" t="str">
        <f>IF('Bittrex Data'!C422="","",IF('Bittrex Data'!C422="Limit_Sell",'Bittrex Data'!G422-'Bittrex Data'!F422,IF('Bittrex Data'!C422="Limit_Buy",'Bittrex Data'!G422+'Bittrex Data'!F422,"")))</f>
        <v/>
      </c>
      <c r="G422" t="str">
        <f>IF('Bittrex Data'!B422="","",'Bittrex Data'!D422)</f>
        <v/>
      </c>
      <c r="H422" t="str">
        <f>IF('Bittrex Data'!C422="","",IF(Bittrex!C422="Buy",Bittrex!D422,IF(Bittrex!C422="Sale",Bittrex!E422,IF(AND(Bittrex!C422="Trade",'Bittrex Data'!C422="Limit_Sell"),Bittrex!E422,IF(AND(Bittrex!C422="Trade",'Bittrex Data'!C422="Limit_Buy"),Bittrex!D422,"")))))</f>
        <v/>
      </c>
      <c r="I422" t="str">
        <f>IF('Bittrex Data'!C422="","",IF(Bittrex!C422="Buy",F422,IF(C422="Sale",Bittrex!G422,IF(AND(C422="Trade",'Bittrex Data'!C422="Limit_Sell"),Bittrex!G422,IF(AND(Bittrex!C422="Trade",'Bittrex Data'!C422="Limit_Buy"),F422,"")))))</f>
        <v/>
      </c>
      <c r="J422" t="str">
        <f>IF('Bittrex Data'!B422="","",IF('Bittrex Data'!B422="","",IF(Bittrex!H422=Bittrex!E422,D422,Bittrex!E422)))</f>
        <v/>
      </c>
      <c r="K422" t="str">
        <f>IF('Bittrex Data'!B422="","",IF(Bittrex!I422=Bittrex!G422,Bittrex!F422,Bittrex!G422))</f>
        <v/>
      </c>
    </row>
    <row r="423" spans="3:11" x14ac:dyDescent="0.2">
      <c r="C423" t="str">
        <f>IF('Bittrex Data'!A423="","",IF(AND('Bittrex Data'!C423="LIMIT_SELL",Bittrex!D423="USD"),"Sale",IF(AND('Bittrex Data'!C423="LIMIT_BUY",Bittrex!D423="USD"),"Buy","Trade")))</f>
        <v/>
      </c>
      <c r="D423" t="str">
        <f>IF('Bittrex Data'!B423="","",LEFT(LEFT('Bittrex Data'!B423,SEARCH("-",'Bittrex Data'!B423,1)),LEN(LEFT('Bittrex Data'!B423,SEARCH("-",'Bittrex Data'!B423,1)))-1))</f>
        <v/>
      </c>
      <c r="E423" t="str">
        <f>IF('Bittrex Data'!B423="","",RIGHT(RIGHT('Bittrex Data'!B423,LEN('Bittrex Data'!B423)-SEARCH("-",'Bittrex Data'!B423,1)+1),LEN(RIGHT('Bittrex Data'!B423,LEN('Bittrex Data'!B423)-SEARCH("-",'Bittrex Data'!B423,1)+1))-1))</f>
        <v/>
      </c>
      <c r="F423" t="str">
        <f>IF('Bittrex Data'!C423="","",IF('Bittrex Data'!C423="Limit_Sell",'Bittrex Data'!G423-'Bittrex Data'!F423,IF('Bittrex Data'!C423="Limit_Buy",'Bittrex Data'!G423+'Bittrex Data'!F423,"")))</f>
        <v/>
      </c>
      <c r="G423" t="str">
        <f>IF('Bittrex Data'!B423="","",'Bittrex Data'!D423)</f>
        <v/>
      </c>
      <c r="H423" t="str">
        <f>IF('Bittrex Data'!C423="","",IF(Bittrex!C423="Buy",Bittrex!D423,IF(Bittrex!C423="Sale",Bittrex!E423,IF(AND(Bittrex!C423="Trade",'Bittrex Data'!C423="Limit_Sell"),Bittrex!E423,IF(AND(Bittrex!C423="Trade",'Bittrex Data'!C423="Limit_Buy"),Bittrex!D423,"")))))</f>
        <v/>
      </c>
      <c r="I423" t="str">
        <f>IF('Bittrex Data'!C423="","",IF(Bittrex!C423="Buy",F423,IF(C423="Sale",Bittrex!G423,IF(AND(C423="Trade",'Bittrex Data'!C423="Limit_Sell"),Bittrex!G423,IF(AND(Bittrex!C423="Trade",'Bittrex Data'!C423="Limit_Buy"),F423,"")))))</f>
        <v/>
      </c>
      <c r="J423" t="str">
        <f>IF('Bittrex Data'!B423="","",IF('Bittrex Data'!B423="","",IF(Bittrex!H423=Bittrex!E423,D423,Bittrex!E423)))</f>
        <v/>
      </c>
      <c r="K423" t="str">
        <f>IF('Bittrex Data'!B423="","",IF(Bittrex!I423=Bittrex!G423,Bittrex!F423,Bittrex!G423))</f>
        <v/>
      </c>
    </row>
    <row r="424" spans="3:11" x14ac:dyDescent="0.2">
      <c r="C424" t="str">
        <f>IF('Bittrex Data'!A424="","",IF(AND('Bittrex Data'!C424="LIMIT_SELL",Bittrex!D424="USD"),"Sale",IF(AND('Bittrex Data'!C424="LIMIT_BUY",Bittrex!D424="USD"),"Buy","Trade")))</f>
        <v/>
      </c>
      <c r="D424" t="str">
        <f>IF('Bittrex Data'!B424="","",LEFT(LEFT('Bittrex Data'!B424,SEARCH("-",'Bittrex Data'!B424,1)),LEN(LEFT('Bittrex Data'!B424,SEARCH("-",'Bittrex Data'!B424,1)))-1))</f>
        <v/>
      </c>
      <c r="E424" t="str">
        <f>IF('Bittrex Data'!B424="","",RIGHT(RIGHT('Bittrex Data'!B424,LEN('Bittrex Data'!B424)-SEARCH("-",'Bittrex Data'!B424,1)+1),LEN(RIGHT('Bittrex Data'!B424,LEN('Bittrex Data'!B424)-SEARCH("-",'Bittrex Data'!B424,1)+1))-1))</f>
        <v/>
      </c>
      <c r="F424" t="str">
        <f>IF('Bittrex Data'!C424="","",IF('Bittrex Data'!C424="Limit_Sell",'Bittrex Data'!G424-'Bittrex Data'!F424,IF('Bittrex Data'!C424="Limit_Buy",'Bittrex Data'!G424+'Bittrex Data'!F424,"")))</f>
        <v/>
      </c>
      <c r="G424" t="str">
        <f>IF('Bittrex Data'!B424="","",'Bittrex Data'!D424)</f>
        <v/>
      </c>
      <c r="H424" t="str">
        <f>IF('Bittrex Data'!C424="","",IF(Bittrex!C424="Buy",Bittrex!D424,IF(Bittrex!C424="Sale",Bittrex!E424,IF(AND(Bittrex!C424="Trade",'Bittrex Data'!C424="Limit_Sell"),Bittrex!E424,IF(AND(Bittrex!C424="Trade",'Bittrex Data'!C424="Limit_Buy"),Bittrex!D424,"")))))</f>
        <v/>
      </c>
      <c r="I424" t="str">
        <f>IF('Bittrex Data'!C424="","",IF(Bittrex!C424="Buy",F424,IF(C424="Sale",Bittrex!G424,IF(AND(C424="Trade",'Bittrex Data'!C424="Limit_Sell"),Bittrex!G424,IF(AND(Bittrex!C424="Trade",'Bittrex Data'!C424="Limit_Buy"),F424,"")))))</f>
        <v/>
      </c>
      <c r="J424" t="str">
        <f>IF('Bittrex Data'!B424="","",IF('Bittrex Data'!B424="","",IF(Bittrex!H424=Bittrex!E424,D424,Bittrex!E424)))</f>
        <v/>
      </c>
      <c r="K424" t="str">
        <f>IF('Bittrex Data'!B424="","",IF(Bittrex!I424=Bittrex!G424,Bittrex!F424,Bittrex!G424))</f>
        <v/>
      </c>
    </row>
    <row r="425" spans="3:11" x14ac:dyDescent="0.2">
      <c r="C425" t="str">
        <f>IF('Bittrex Data'!A425="","",IF(AND('Bittrex Data'!C425="LIMIT_SELL",Bittrex!D425="USD"),"Sale",IF(AND('Bittrex Data'!C425="LIMIT_BUY",Bittrex!D425="USD"),"Buy","Trade")))</f>
        <v/>
      </c>
      <c r="D425" t="str">
        <f>IF('Bittrex Data'!B425="","",LEFT(LEFT('Bittrex Data'!B425,SEARCH("-",'Bittrex Data'!B425,1)),LEN(LEFT('Bittrex Data'!B425,SEARCH("-",'Bittrex Data'!B425,1)))-1))</f>
        <v/>
      </c>
      <c r="E425" t="str">
        <f>IF('Bittrex Data'!B425="","",RIGHT(RIGHT('Bittrex Data'!B425,LEN('Bittrex Data'!B425)-SEARCH("-",'Bittrex Data'!B425,1)+1),LEN(RIGHT('Bittrex Data'!B425,LEN('Bittrex Data'!B425)-SEARCH("-",'Bittrex Data'!B425,1)+1))-1))</f>
        <v/>
      </c>
      <c r="F425" t="str">
        <f>IF('Bittrex Data'!C425="","",IF('Bittrex Data'!C425="Limit_Sell",'Bittrex Data'!G425-'Bittrex Data'!F425,IF('Bittrex Data'!C425="Limit_Buy",'Bittrex Data'!G425+'Bittrex Data'!F425,"")))</f>
        <v/>
      </c>
      <c r="G425" t="str">
        <f>IF('Bittrex Data'!B425="","",'Bittrex Data'!D425)</f>
        <v/>
      </c>
      <c r="H425" t="str">
        <f>IF('Bittrex Data'!C425="","",IF(Bittrex!C425="Buy",Bittrex!D425,IF(Bittrex!C425="Sale",Bittrex!E425,IF(AND(Bittrex!C425="Trade",'Bittrex Data'!C425="Limit_Sell"),Bittrex!E425,IF(AND(Bittrex!C425="Trade",'Bittrex Data'!C425="Limit_Buy"),Bittrex!D425,"")))))</f>
        <v/>
      </c>
      <c r="I425" t="str">
        <f>IF('Bittrex Data'!C425="","",IF(Bittrex!C425="Buy",F425,IF(C425="Sale",Bittrex!G425,IF(AND(C425="Trade",'Bittrex Data'!C425="Limit_Sell"),Bittrex!G425,IF(AND(Bittrex!C425="Trade",'Bittrex Data'!C425="Limit_Buy"),F425,"")))))</f>
        <v/>
      </c>
      <c r="J425" t="str">
        <f>IF('Bittrex Data'!B425="","",IF('Bittrex Data'!B425="","",IF(Bittrex!H425=Bittrex!E425,D425,Bittrex!E425)))</f>
        <v/>
      </c>
      <c r="K425" t="str">
        <f>IF('Bittrex Data'!B425="","",IF(Bittrex!I425=Bittrex!G425,Bittrex!F425,Bittrex!G425))</f>
        <v/>
      </c>
    </row>
    <row r="426" spans="3:11" x14ac:dyDescent="0.2">
      <c r="C426" t="str">
        <f>IF('Bittrex Data'!A426="","",IF(AND('Bittrex Data'!C426="LIMIT_SELL",Bittrex!D426="USD"),"Sale",IF(AND('Bittrex Data'!C426="LIMIT_BUY",Bittrex!D426="USD"),"Buy","Trade")))</f>
        <v/>
      </c>
      <c r="D426" t="str">
        <f>IF('Bittrex Data'!B426="","",LEFT(LEFT('Bittrex Data'!B426,SEARCH("-",'Bittrex Data'!B426,1)),LEN(LEFT('Bittrex Data'!B426,SEARCH("-",'Bittrex Data'!B426,1)))-1))</f>
        <v/>
      </c>
      <c r="E426" t="str">
        <f>IF('Bittrex Data'!B426="","",RIGHT(RIGHT('Bittrex Data'!B426,LEN('Bittrex Data'!B426)-SEARCH("-",'Bittrex Data'!B426,1)+1),LEN(RIGHT('Bittrex Data'!B426,LEN('Bittrex Data'!B426)-SEARCH("-",'Bittrex Data'!B426,1)+1))-1))</f>
        <v/>
      </c>
      <c r="F426" t="str">
        <f>IF('Bittrex Data'!C426="","",IF('Bittrex Data'!C426="Limit_Sell",'Bittrex Data'!G426-'Bittrex Data'!F426,IF('Bittrex Data'!C426="Limit_Buy",'Bittrex Data'!G426+'Bittrex Data'!F426,"")))</f>
        <v/>
      </c>
      <c r="G426" t="str">
        <f>IF('Bittrex Data'!B426="","",'Bittrex Data'!D426)</f>
        <v/>
      </c>
      <c r="H426" t="str">
        <f>IF('Bittrex Data'!C426="","",IF(Bittrex!C426="Buy",Bittrex!D426,IF(Bittrex!C426="Sale",Bittrex!E426,IF(AND(Bittrex!C426="Trade",'Bittrex Data'!C426="Limit_Sell"),Bittrex!E426,IF(AND(Bittrex!C426="Trade",'Bittrex Data'!C426="Limit_Buy"),Bittrex!D426,"")))))</f>
        <v/>
      </c>
      <c r="I426" t="str">
        <f>IF('Bittrex Data'!C426="","",IF(Bittrex!C426="Buy",F426,IF(C426="Sale",Bittrex!G426,IF(AND(C426="Trade",'Bittrex Data'!C426="Limit_Sell"),Bittrex!G426,IF(AND(Bittrex!C426="Trade",'Bittrex Data'!C426="Limit_Buy"),F426,"")))))</f>
        <v/>
      </c>
      <c r="J426" t="str">
        <f>IF('Bittrex Data'!B426="","",IF('Bittrex Data'!B426="","",IF(Bittrex!H426=Bittrex!E426,D426,Bittrex!E426)))</f>
        <v/>
      </c>
      <c r="K426" t="str">
        <f>IF('Bittrex Data'!B426="","",IF(Bittrex!I426=Bittrex!G426,Bittrex!F426,Bittrex!G426))</f>
        <v/>
      </c>
    </row>
    <row r="427" spans="3:11" x14ac:dyDescent="0.2">
      <c r="C427" t="str">
        <f>IF('Bittrex Data'!A427="","",IF(AND('Bittrex Data'!C427="LIMIT_SELL",Bittrex!D427="USD"),"Sale",IF(AND('Bittrex Data'!C427="LIMIT_BUY",Bittrex!D427="USD"),"Buy","Trade")))</f>
        <v/>
      </c>
      <c r="D427" t="str">
        <f>IF('Bittrex Data'!B427="","",LEFT(LEFT('Bittrex Data'!B427,SEARCH("-",'Bittrex Data'!B427,1)),LEN(LEFT('Bittrex Data'!B427,SEARCH("-",'Bittrex Data'!B427,1)))-1))</f>
        <v/>
      </c>
      <c r="E427" t="str">
        <f>IF('Bittrex Data'!B427="","",RIGHT(RIGHT('Bittrex Data'!B427,LEN('Bittrex Data'!B427)-SEARCH("-",'Bittrex Data'!B427,1)+1),LEN(RIGHT('Bittrex Data'!B427,LEN('Bittrex Data'!B427)-SEARCH("-",'Bittrex Data'!B427,1)+1))-1))</f>
        <v/>
      </c>
      <c r="F427" t="str">
        <f>IF('Bittrex Data'!C427="","",IF('Bittrex Data'!C427="Limit_Sell",'Bittrex Data'!G427-'Bittrex Data'!F427,IF('Bittrex Data'!C427="Limit_Buy",'Bittrex Data'!G427+'Bittrex Data'!F427,"")))</f>
        <v/>
      </c>
      <c r="G427" t="str">
        <f>IF('Bittrex Data'!B427="","",'Bittrex Data'!D427)</f>
        <v/>
      </c>
      <c r="H427" t="str">
        <f>IF('Bittrex Data'!C427="","",IF(Bittrex!C427="Buy",Bittrex!D427,IF(Bittrex!C427="Sale",Bittrex!E427,IF(AND(Bittrex!C427="Trade",'Bittrex Data'!C427="Limit_Sell"),Bittrex!E427,IF(AND(Bittrex!C427="Trade",'Bittrex Data'!C427="Limit_Buy"),Bittrex!D427,"")))))</f>
        <v/>
      </c>
      <c r="I427" t="str">
        <f>IF('Bittrex Data'!C427="","",IF(Bittrex!C427="Buy",F427,IF(C427="Sale",Bittrex!G427,IF(AND(C427="Trade",'Bittrex Data'!C427="Limit_Sell"),Bittrex!G427,IF(AND(Bittrex!C427="Trade",'Bittrex Data'!C427="Limit_Buy"),F427,"")))))</f>
        <v/>
      </c>
      <c r="J427" t="str">
        <f>IF('Bittrex Data'!B427="","",IF('Bittrex Data'!B427="","",IF(Bittrex!H427=Bittrex!E427,D427,Bittrex!E427)))</f>
        <v/>
      </c>
      <c r="K427" t="str">
        <f>IF('Bittrex Data'!B427="","",IF(Bittrex!I427=Bittrex!G427,Bittrex!F427,Bittrex!G427))</f>
        <v/>
      </c>
    </row>
    <row r="428" spans="3:11" x14ac:dyDescent="0.2">
      <c r="C428" t="str">
        <f>IF('Bittrex Data'!A428="","",IF(AND('Bittrex Data'!C428="LIMIT_SELL",Bittrex!D428="USD"),"Sale",IF(AND('Bittrex Data'!C428="LIMIT_BUY",Bittrex!D428="USD"),"Buy","Trade")))</f>
        <v/>
      </c>
      <c r="D428" t="str">
        <f>IF('Bittrex Data'!B428="","",LEFT(LEFT('Bittrex Data'!B428,SEARCH("-",'Bittrex Data'!B428,1)),LEN(LEFT('Bittrex Data'!B428,SEARCH("-",'Bittrex Data'!B428,1)))-1))</f>
        <v/>
      </c>
      <c r="E428" t="str">
        <f>IF('Bittrex Data'!B428="","",RIGHT(RIGHT('Bittrex Data'!B428,LEN('Bittrex Data'!B428)-SEARCH("-",'Bittrex Data'!B428,1)+1),LEN(RIGHT('Bittrex Data'!B428,LEN('Bittrex Data'!B428)-SEARCH("-",'Bittrex Data'!B428,1)+1))-1))</f>
        <v/>
      </c>
      <c r="F428" t="str">
        <f>IF('Bittrex Data'!C428="","",IF('Bittrex Data'!C428="Limit_Sell",'Bittrex Data'!G428-'Bittrex Data'!F428,IF('Bittrex Data'!C428="Limit_Buy",'Bittrex Data'!G428+'Bittrex Data'!F428,"")))</f>
        <v/>
      </c>
      <c r="G428" t="str">
        <f>IF('Bittrex Data'!B428="","",'Bittrex Data'!D428)</f>
        <v/>
      </c>
      <c r="H428" t="str">
        <f>IF('Bittrex Data'!C428="","",IF(Bittrex!C428="Buy",Bittrex!D428,IF(Bittrex!C428="Sale",Bittrex!E428,IF(AND(Bittrex!C428="Trade",'Bittrex Data'!C428="Limit_Sell"),Bittrex!E428,IF(AND(Bittrex!C428="Trade",'Bittrex Data'!C428="Limit_Buy"),Bittrex!D428,"")))))</f>
        <v/>
      </c>
      <c r="I428" t="str">
        <f>IF('Bittrex Data'!C428="","",IF(Bittrex!C428="Buy",F428,IF(C428="Sale",Bittrex!G428,IF(AND(C428="Trade",'Bittrex Data'!C428="Limit_Sell"),Bittrex!G428,IF(AND(Bittrex!C428="Trade",'Bittrex Data'!C428="Limit_Buy"),F428,"")))))</f>
        <v/>
      </c>
      <c r="J428" t="str">
        <f>IF('Bittrex Data'!B428="","",IF('Bittrex Data'!B428="","",IF(Bittrex!H428=Bittrex!E428,D428,Bittrex!E428)))</f>
        <v/>
      </c>
      <c r="K428" t="str">
        <f>IF('Bittrex Data'!B428="","",IF(Bittrex!I428=Bittrex!G428,Bittrex!F428,Bittrex!G428))</f>
        <v/>
      </c>
    </row>
    <row r="429" spans="3:11" x14ac:dyDescent="0.2">
      <c r="C429" t="str">
        <f>IF('Bittrex Data'!A429="","",IF(AND('Bittrex Data'!C429="LIMIT_SELL",Bittrex!D429="USD"),"Sale",IF(AND('Bittrex Data'!C429="LIMIT_BUY",Bittrex!D429="USD"),"Buy","Trade")))</f>
        <v/>
      </c>
      <c r="D429" t="str">
        <f>IF('Bittrex Data'!B429="","",LEFT(LEFT('Bittrex Data'!B429,SEARCH("-",'Bittrex Data'!B429,1)),LEN(LEFT('Bittrex Data'!B429,SEARCH("-",'Bittrex Data'!B429,1)))-1))</f>
        <v/>
      </c>
      <c r="E429" t="str">
        <f>IF('Bittrex Data'!B429="","",RIGHT(RIGHT('Bittrex Data'!B429,LEN('Bittrex Data'!B429)-SEARCH("-",'Bittrex Data'!B429,1)+1),LEN(RIGHT('Bittrex Data'!B429,LEN('Bittrex Data'!B429)-SEARCH("-",'Bittrex Data'!B429,1)+1))-1))</f>
        <v/>
      </c>
      <c r="F429" t="str">
        <f>IF('Bittrex Data'!C429="","",IF('Bittrex Data'!C429="Limit_Sell",'Bittrex Data'!G429-'Bittrex Data'!F429,IF('Bittrex Data'!C429="Limit_Buy",'Bittrex Data'!G429+'Bittrex Data'!F429,"")))</f>
        <v/>
      </c>
      <c r="G429" t="str">
        <f>IF('Bittrex Data'!B429="","",'Bittrex Data'!D429)</f>
        <v/>
      </c>
      <c r="H429" t="str">
        <f>IF('Bittrex Data'!C429="","",IF(Bittrex!C429="Buy",Bittrex!D429,IF(Bittrex!C429="Sale",Bittrex!E429,IF(AND(Bittrex!C429="Trade",'Bittrex Data'!C429="Limit_Sell"),Bittrex!E429,IF(AND(Bittrex!C429="Trade",'Bittrex Data'!C429="Limit_Buy"),Bittrex!D429,"")))))</f>
        <v/>
      </c>
      <c r="I429" t="str">
        <f>IF('Bittrex Data'!C429="","",IF(Bittrex!C429="Buy",F429,IF(C429="Sale",Bittrex!G429,IF(AND(C429="Trade",'Bittrex Data'!C429="Limit_Sell"),Bittrex!G429,IF(AND(Bittrex!C429="Trade",'Bittrex Data'!C429="Limit_Buy"),F429,"")))))</f>
        <v/>
      </c>
      <c r="J429" t="str">
        <f>IF('Bittrex Data'!B429="","",IF('Bittrex Data'!B429="","",IF(Bittrex!H429=Bittrex!E429,D429,Bittrex!E429)))</f>
        <v/>
      </c>
      <c r="K429" t="str">
        <f>IF('Bittrex Data'!B429="","",IF(Bittrex!I429=Bittrex!G429,Bittrex!F429,Bittrex!G429))</f>
        <v/>
      </c>
    </row>
    <row r="430" spans="3:11" x14ac:dyDescent="0.2">
      <c r="C430" t="str">
        <f>IF('Bittrex Data'!A430="","",IF(AND('Bittrex Data'!C430="LIMIT_SELL",Bittrex!D430="USD"),"Sale",IF(AND('Bittrex Data'!C430="LIMIT_BUY",Bittrex!D430="USD"),"Buy","Trade")))</f>
        <v/>
      </c>
      <c r="D430" t="str">
        <f>IF('Bittrex Data'!B430="","",LEFT(LEFT('Bittrex Data'!B430,SEARCH("-",'Bittrex Data'!B430,1)),LEN(LEFT('Bittrex Data'!B430,SEARCH("-",'Bittrex Data'!B430,1)))-1))</f>
        <v/>
      </c>
      <c r="E430" t="str">
        <f>IF('Bittrex Data'!B430="","",RIGHT(RIGHT('Bittrex Data'!B430,LEN('Bittrex Data'!B430)-SEARCH("-",'Bittrex Data'!B430,1)+1),LEN(RIGHT('Bittrex Data'!B430,LEN('Bittrex Data'!B430)-SEARCH("-",'Bittrex Data'!B430,1)+1))-1))</f>
        <v/>
      </c>
      <c r="F430" t="str">
        <f>IF('Bittrex Data'!C430="","",IF('Bittrex Data'!C430="Limit_Sell",'Bittrex Data'!G430-'Bittrex Data'!F430,IF('Bittrex Data'!C430="Limit_Buy",'Bittrex Data'!G430+'Bittrex Data'!F430,"")))</f>
        <v/>
      </c>
      <c r="G430" t="str">
        <f>IF('Bittrex Data'!B430="","",'Bittrex Data'!D430)</f>
        <v/>
      </c>
      <c r="H430" t="str">
        <f>IF('Bittrex Data'!C430="","",IF(Bittrex!C430="Buy",Bittrex!D430,IF(Bittrex!C430="Sale",Bittrex!E430,IF(AND(Bittrex!C430="Trade",'Bittrex Data'!C430="Limit_Sell"),Bittrex!E430,IF(AND(Bittrex!C430="Trade",'Bittrex Data'!C430="Limit_Buy"),Bittrex!D430,"")))))</f>
        <v/>
      </c>
      <c r="I430" t="str">
        <f>IF('Bittrex Data'!C430="","",IF(Bittrex!C430="Buy",F430,IF(C430="Sale",Bittrex!G430,IF(AND(C430="Trade",'Bittrex Data'!C430="Limit_Sell"),Bittrex!G430,IF(AND(Bittrex!C430="Trade",'Bittrex Data'!C430="Limit_Buy"),F430,"")))))</f>
        <v/>
      </c>
      <c r="J430" t="str">
        <f>IF('Bittrex Data'!B430="","",IF('Bittrex Data'!B430="","",IF(Bittrex!H430=Bittrex!E430,D430,Bittrex!E430)))</f>
        <v/>
      </c>
      <c r="K430" t="str">
        <f>IF('Bittrex Data'!B430="","",IF(Bittrex!I430=Bittrex!G430,Bittrex!F430,Bittrex!G430))</f>
        <v/>
      </c>
    </row>
    <row r="431" spans="3:11" x14ac:dyDescent="0.2">
      <c r="C431" t="str">
        <f>IF('Bittrex Data'!A431="","",IF(AND('Bittrex Data'!C431="LIMIT_SELL",Bittrex!D431="USD"),"Sale",IF(AND('Bittrex Data'!C431="LIMIT_BUY",Bittrex!D431="USD"),"Buy","Trade")))</f>
        <v/>
      </c>
      <c r="D431" t="str">
        <f>IF('Bittrex Data'!B431="","",LEFT(LEFT('Bittrex Data'!B431,SEARCH("-",'Bittrex Data'!B431,1)),LEN(LEFT('Bittrex Data'!B431,SEARCH("-",'Bittrex Data'!B431,1)))-1))</f>
        <v/>
      </c>
      <c r="E431" t="str">
        <f>IF('Bittrex Data'!B431="","",RIGHT(RIGHT('Bittrex Data'!B431,LEN('Bittrex Data'!B431)-SEARCH("-",'Bittrex Data'!B431,1)+1),LEN(RIGHT('Bittrex Data'!B431,LEN('Bittrex Data'!B431)-SEARCH("-",'Bittrex Data'!B431,1)+1))-1))</f>
        <v/>
      </c>
      <c r="F431" t="str">
        <f>IF('Bittrex Data'!C431="","",IF('Bittrex Data'!C431="Limit_Sell",'Bittrex Data'!G431-'Bittrex Data'!F431,IF('Bittrex Data'!C431="Limit_Buy",'Bittrex Data'!G431+'Bittrex Data'!F431,"")))</f>
        <v/>
      </c>
      <c r="G431" t="str">
        <f>IF('Bittrex Data'!B431="","",'Bittrex Data'!D431)</f>
        <v/>
      </c>
      <c r="H431" t="str">
        <f>IF('Bittrex Data'!C431="","",IF(Bittrex!C431="Buy",Bittrex!D431,IF(Bittrex!C431="Sale",Bittrex!E431,IF(AND(Bittrex!C431="Trade",'Bittrex Data'!C431="Limit_Sell"),Bittrex!E431,IF(AND(Bittrex!C431="Trade",'Bittrex Data'!C431="Limit_Buy"),Bittrex!D431,"")))))</f>
        <v/>
      </c>
      <c r="I431" t="str">
        <f>IF('Bittrex Data'!C431="","",IF(Bittrex!C431="Buy",F431,IF(C431="Sale",Bittrex!G431,IF(AND(C431="Trade",'Bittrex Data'!C431="Limit_Sell"),Bittrex!G431,IF(AND(Bittrex!C431="Trade",'Bittrex Data'!C431="Limit_Buy"),F431,"")))))</f>
        <v/>
      </c>
      <c r="J431" t="str">
        <f>IF('Bittrex Data'!B431="","",IF('Bittrex Data'!B431="","",IF(Bittrex!H431=Bittrex!E431,D431,Bittrex!E431)))</f>
        <v/>
      </c>
      <c r="K431" t="str">
        <f>IF('Bittrex Data'!B431="","",IF(Bittrex!I431=Bittrex!G431,Bittrex!F431,Bittrex!G431))</f>
        <v/>
      </c>
    </row>
    <row r="432" spans="3:11" x14ac:dyDescent="0.2">
      <c r="C432" t="str">
        <f>IF('Bittrex Data'!A432="","",IF(AND('Bittrex Data'!C432="LIMIT_SELL",Bittrex!D432="USD"),"Sale",IF(AND('Bittrex Data'!C432="LIMIT_BUY",Bittrex!D432="USD"),"Buy","Trade")))</f>
        <v/>
      </c>
      <c r="D432" t="str">
        <f>IF('Bittrex Data'!B432="","",LEFT(LEFT('Bittrex Data'!B432,SEARCH("-",'Bittrex Data'!B432,1)),LEN(LEFT('Bittrex Data'!B432,SEARCH("-",'Bittrex Data'!B432,1)))-1))</f>
        <v/>
      </c>
      <c r="E432" t="str">
        <f>IF('Bittrex Data'!B432="","",RIGHT(RIGHT('Bittrex Data'!B432,LEN('Bittrex Data'!B432)-SEARCH("-",'Bittrex Data'!B432,1)+1),LEN(RIGHT('Bittrex Data'!B432,LEN('Bittrex Data'!B432)-SEARCH("-",'Bittrex Data'!B432,1)+1))-1))</f>
        <v/>
      </c>
      <c r="F432" t="str">
        <f>IF('Bittrex Data'!C432="","",IF('Bittrex Data'!C432="Limit_Sell",'Bittrex Data'!G432-'Bittrex Data'!F432,IF('Bittrex Data'!C432="Limit_Buy",'Bittrex Data'!G432+'Bittrex Data'!F432,"")))</f>
        <v/>
      </c>
      <c r="G432" t="str">
        <f>IF('Bittrex Data'!B432="","",'Bittrex Data'!D432)</f>
        <v/>
      </c>
      <c r="H432" t="str">
        <f>IF('Bittrex Data'!C432="","",IF(Bittrex!C432="Buy",Bittrex!D432,IF(Bittrex!C432="Sale",Bittrex!E432,IF(AND(Bittrex!C432="Trade",'Bittrex Data'!C432="Limit_Sell"),Bittrex!E432,IF(AND(Bittrex!C432="Trade",'Bittrex Data'!C432="Limit_Buy"),Bittrex!D432,"")))))</f>
        <v/>
      </c>
      <c r="I432" t="str">
        <f>IF('Bittrex Data'!C432="","",IF(Bittrex!C432="Buy",F432,IF(C432="Sale",Bittrex!G432,IF(AND(C432="Trade",'Bittrex Data'!C432="Limit_Sell"),Bittrex!G432,IF(AND(Bittrex!C432="Trade",'Bittrex Data'!C432="Limit_Buy"),F432,"")))))</f>
        <v/>
      </c>
      <c r="J432" t="str">
        <f>IF('Bittrex Data'!B432="","",IF('Bittrex Data'!B432="","",IF(Bittrex!H432=Bittrex!E432,D432,Bittrex!E432)))</f>
        <v/>
      </c>
      <c r="K432" t="str">
        <f>IF('Bittrex Data'!B432="","",IF(Bittrex!I432=Bittrex!G432,Bittrex!F432,Bittrex!G432))</f>
        <v/>
      </c>
    </row>
    <row r="433" spans="3:11" x14ac:dyDescent="0.2">
      <c r="C433" t="str">
        <f>IF('Bittrex Data'!A433="","",IF(AND('Bittrex Data'!C433="LIMIT_SELL",Bittrex!D433="USD"),"Sale",IF(AND('Bittrex Data'!C433="LIMIT_BUY",Bittrex!D433="USD"),"Buy","Trade")))</f>
        <v/>
      </c>
      <c r="D433" t="str">
        <f>IF('Bittrex Data'!B433="","",LEFT(LEFT('Bittrex Data'!B433,SEARCH("-",'Bittrex Data'!B433,1)),LEN(LEFT('Bittrex Data'!B433,SEARCH("-",'Bittrex Data'!B433,1)))-1))</f>
        <v/>
      </c>
      <c r="E433" t="str">
        <f>IF('Bittrex Data'!B433="","",RIGHT(RIGHT('Bittrex Data'!B433,LEN('Bittrex Data'!B433)-SEARCH("-",'Bittrex Data'!B433,1)+1),LEN(RIGHT('Bittrex Data'!B433,LEN('Bittrex Data'!B433)-SEARCH("-",'Bittrex Data'!B433,1)+1))-1))</f>
        <v/>
      </c>
      <c r="F433" t="str">
        <f>IF('Bittrex Data'!C433="","",IF('Bittrex Data'!C433="Limit_Sell",'Bittrex Data'!G433-'Bittrex Data'!F433,IF('Bittrex Data'!C433="Limit_Buy",'Bittrex Data'!G433+'Bittrex Data'!F433,"")))</f>
        <v/>
      </c>
      <c r="G433" t="str">
        <f>IF('Bittrex Data'!B433="","",'Bittrex Data'!D433)</f>
        <v/>
      </c>
      <c r="H433" t="str">
        <f>IF('Bittrex Data'!C433="","",IF(Bittrex!C433="Buy",Bittrex!D433,IF(Bittrex!C433="Sale",Bittrex!E433,IF(AND(Bittrex!C433="Trade",'Bittrex Data'!C433="Limit_Sell"),Bittrex!E433,IF(AND(Bittrex!C433="Trade",'Bittrex Data'!C433="Limit_Buy"),Bittrex!D433,"")))))</f>
        <v/>
      </c>
      <c r="I433" t="str">
        <f>IF('Bittrex Data'!C433="","",IF(Bittrex!C433="Buy",F433,IF(C433="Sale",Bittrex!G433,IF(AND(C433="Trade",'Bittrex Data'!C433="Limit_Sell"),Bittrex!G433,IF(AND(Bittrex!C433="Trade",'Bittrex Data'!C433="Limit_Buy"),F433,"")))))</f>
        <v/>
      </c>
      <c r="J433" t="str">
        <f>IF('Bittrex Data'!B433="","",IF('Bittrex Data'!B433="","",IF(Bittrex!H433=Bittrex!E433,D433,Bittrex!E433)))</f>
        <v/>
      </c>
      <c r="K433" t="str">
        <f>IF('Bittrex Data'!B433="","",IF(Bittrex!I433=Bittrex!G433,Bittrex!F433,Bittrex!G433))</f>
        <v/>
      </c>
    </row>
    <row r="434" spans="3:11" x14ac:dyDescent="0.2">
      <c r="C434" t="str">
        <f>IF('Bittrex Data'!A434="","",IF(AND('Bittrex Data'!C434="LIMIT_SELL",Bittrex!D434="USD"),"Sale",IF(AND('Bittrex Data'!C434="LIMIT_BUY",Bittrex!D434="USD"),"Buy","Trade")))</f>
        <v/>
      </c>
      <c r="D434" t="str">
        <f>IF('Bittrex Data'!B434="","",LEFT(LEFT('Bittrex Data'!B434,SEARCH("-",'Bittrex Data'!B434,1)),LEN(LEFT('Bittrex Data'!B434,SEARCH("-",'Bittrex Data'!B434,1)))-1))</f>
        <v/>
      </c>
      <c r="E434" t="str">
        <f>IF('Bittrex Data'!B434="","",RIGHT(RIGHT('Bittrex Data'!B434,LEN('Bittrex Data'!B434)-SEARCH("-",'Bittrex Data'!B434,1)+1),LEN(RIGHT('Bittrex Data'!B434,LEN('Bittrex Data'!B434)-SEARCH("-",'Bittrex Data'!B434,1)+1))-1))</f>
        <v/>
      </c>
      <c r="F434" t="str">
        <f>IF('Bittrex Data'!C434="","",IF('Bittrex Data'!C434="Limit_Sell",'Bittrex Data'!G434-'Bittrex Data'!F434,IF('Bittrex Data'!C434="Limit_Buy",'Bittrex Data'!G434+'Bittrex Data'!F434,"")))</f>
        <v/>
      </c>
      <c r="G434" t="str">
        <f>IF('Bittrex Data'!B434="","",'Bittrex Data'!D434)</f>
        <v/>
      </c>
      <c r="H434" t="str">
        <f>IF('Bittrex Data'!C434="","",IF(Bittrex!C434="Buy",Bittrex!D434,IF(Bittrex!C434="Sale",Bittrex!E434,IF(AND(Bittrex!C434="Trade",'Bittrex Data'!C434="Limit_Sell"),Bittrex!E434,IF(AND(Bittrex!C434="Trade",'Bittrex Data'!C434="Limit_Buy"),Bittrex!D434,"")))))</f>
        <v/>
      </c>
      <c r="I434" t="str">
        <f>IF('Bittrex Data'!C434="","",IF(Bittrex!C434="Buy",F434,IF(C434="Sale",Bittrex!G434,IF(AND(C434="Trade",'Bittrex Data'!C434="Limit_Sell"),Bittrex!G434,IF(AND(Bittrex!C434="Trade",'Bittrex Data'!C434="Limit_Buy"),F434,"")))))</f>
        <v/>
      </c>
      <c r="J434" t="str">
        <f>IF('Bittrex Data'!B434="","",IF('Bittrex Data'!B434="","",IF(Bittrex!H434=Bittrex!E434,D434,Bittrex!E434)))</f>
        <v/>
      </c>
      <c r="K434" t="str">
        <f>IF('Bittrex Data'!B434="","",IF(Bittrex!I434=Bittrex!G434,Bittrex!F434,Bittrex!G434))</f>
        <v/>
      </c>
    </row>
    <row r="435" spans="3:11" x14ac:dyDescent="0.2">
      <c r="C435" t="str">
        <f>IF('Bittrex Data'!A435="","",IF(AND('Bittrex Data'!C435="LIMIT_SELL",Bittrex!D435="USD"),"Sale",IF(AND('Bittrex Data'!C435="LIMIT_BUY",Bittrex!D435="USD"),"Buy","Trade")))</f>
        <v/>
      </c>
      <c r="D435" t="str">
        <f>IF('Bittrex Data'!B435="","",LEFT(LEFT('Bittrex Data'!B435,SEARCH("-",'Bittrex Data'!B435,1)),LEN(LEFT('Bittrex Data'!B435,SEARCH("-",'Bittrex Data'!B435,1)))-1))</f>
        <v/>
      </c>
      <c r="E435" t="str">
        <f>IF('Bittrex Data'!B435="","",RIGHT(RIGHT('Bittrex Data'!B435,LEN('Bittrex Data'!B435)-SEARCH("-",'Bittrex Data'!B435,1)+1),LEN(RIGHT('Bittrex Data'!B435,LEN('Bittrex Data'!B435)-SEARCH("-",'Bittrex Data'!B435,1)+1))-1))</f>
        <v/>
      </c>
      <c r="F435" t="str">
        <f>IF('Bittrex Data'!C435="","",IF('Bittrex Data'!C435="Limit_Sell",'Bittrex Data'!G435-'Bittrex Data'!F435,IF('Bittrex Data'!C435="Limit_Buy",'Bittrex Data'!G435+'Bittrex Data'!F435,"")))</f>
        <v/>
      </c>
      <c r="G435" t="str">
        <f>IF('Bittrex Data'!B435="","",'Bittrex Data'!D435)</f>
        <v/>
      </c>
      <c r="H435" t="str">
        <f>IF('Bittrex Data'!C435="","",IF(Bittrex!C435="Buy",Bittrex!D435,IF(Bittrex!C435="Sale",Bittrex!E435,IF(AND(Bittrex!C435="Trade",'Bittrex Data'!C435="Limit_Sell"),Bittrex!E435,IF(AND(Bittrex!C435="Trade",'Bittrex Data'!C435="Limit_Buy"),Bittrex!D435,"")))))</f>
        <v/>
      </c>
      <c r="I435" t="str">
        <f>IF('Bittrex Data'!C435="","",IF(Bittrex!C435="Buy",F435,IF(C435="Sale",Bittrex!G435,IF(AND(C435="Trade",'Bittrex Data'!C435="Limit_Sell"),Bittrex!G435,IF(AND(Bittrex!C435="Trade",'Bittrex Data'!C435="Limit_Buy"),F435,"")))))</f>
        <v/>
      </c>
      <c r="J435" t="str">
        <f>IF('Bittrex Data'!B435="","",IF('Bittrex Data'!B435="","",IF(Bittrex!H435=Bittrex!E435,D435,Bittrex!E435)))</f>
        <v/>
      </c>
      <c r="K435" t="str">
        <f>IF('Bittrex Data'!B435="","",IF(Bittrex!I435=Bittrex!G435,Bittrex!F435,Bittrex!G435))</f>
        <v/>
      </c>
    </row>
    <row r="436" spans="3:11" x14ac:dyDescent="0.2">
      <c r="C436" t="str">
        <f>IF('Bittrex Data'!A436="","",IF(AND('Bittrex Data'!C436="LIMIT_SELL",Bittrex!D436="USD"),"Sale",IF(AND('Bittrex Data'!C436="LIMIT_BUY",Bittrex!D436="USD"),"Buy","Trade")))</f>
        <v/>
      </c>
      <c r="D436" t="str">
        <f>IF('Bittrex Data'!B436="","",LEFT(LEFT('Bittrex Data'!B436,SEARCH("-",'Bittrex Data'!B436,1)),LEN(LEFT('Bittrex Data'!B436,SEARCH("-",'Bittrex Data'!B436,1)))-1))</f>
        <v/>
      </c>
      <c r="E436" t="str">
        <f>IF('Bittrex Data'!B436="","",RIGHT(RIGHT('Bittrex Data'!B436,LEN('Bittrex Data'!B436)-SEARCH("-",'Bittrex Data'!B436,1)+1),LEN(RIGHT('Bittrex Data'!B436,LEN('Bittrex Data'!B436)-SEARCH("-",'Bittrex Data'!B436,1)+1))-1))</f>
        <v/>
      </c>
      <c r="F436" t="str">
        <f>IF('Bittrex Data'!C436="","",IF('Bittrex Data'!C436="Limit_Sell",'Bittrex Data'!G436-'Bittrex Data'!F436,IF('Bittrex Data'!C436="Limit_Buy",'Bittrex Data'!G436+'Bittrex Data'!F436,"")))</f>
        <v/>
      </c>
      <c r="G436" t="str">
        <f>IF('Bittrex Data'!B436="","",'Bittrex Data'!D436)</f>
        <v/>
      </c>
      <c r="H436" t="str">
        <f>IF('Bittrex Data'!C436="","",IF(Bittrex!C436="Buy",Bittrex!D436,IF(Bittrex!C436="Sale",Bittrex!E436,IF(AND(Bittrex!C436="Trade",'Bittrex Data'!C436="Limit_Sell"),Bittrex!E436,IF(AND(Bittrex!C436="Trade",'Bittrex Data'!C436="Limit_Buy"),Bittrex!D436,"")))))</f>
        <v/>
      </c>
      <c r="I436" t="str">
        <f>IF('Bittrex Data'!C436="","",IF(Bittrex!C436="Buy",F436,IF(C436="Sale",Bittrex!G436,IF(AND(C436="Trade",'Bittrex Data'!C436="Limit_Sell"),Bittrex!G436,IF(AND(Bittrex!C436="Trade",'Bittrex Data'!C436="Limit_Buy"),F436,"")))))</f>
        <v/>
      </c>
      <c r="J436" t="str">
        <f>IF('Bittrex Data'!B436="","",IF('Bittrex Data'!B436="","",IF(Bittrex!H436=Bittrex!E436,D436,Bittrex!E436)))</f>
        <v/>
      </c>
      <c r="K436" t="str">
        <f>IF('Bittrex Data'!B436="","",IF(Bittrex!I436=Bittrex!G436,Bittrex!F436,Bittrex!G436))</f>
        <v/>
      </c>
    </row>
    <row r="437" spans="3:11" x14ac:dyDescent="0.2">
      <c r="C437" t="str">
        <f>IF('Bittrex Data'!A437="","",IF(AND('Bittrex Data'!C437="LIMIT_SELL",Bittrex!D437="USD"),"Sale",IF(AND('Bittrex Data'!C437="LIMIT_BUY",Bittrex!D437="USD"),"Buy","Trade")))</f>
        <v/>
      </c>
      <c r="D437" t="str">
        <f>IF('Bittrex Data'!B437="","",LEFT(LEFT('Bittrex Data'!B437,SEARCH("-",'Bittrex Data'!B437,1)),LEN(LEFT('Bittrex Data'!B437,SEARCH("-",'Bittrex Data'!B437,1)))-1))</f>
        <v/>
      </c>
      <c r="E437" t="str">
        <f>IF('Bittrex Data'!B437="","",RIGHT(RIGHT('Bittrex Data'!B437,LEN('Bittrex Data'!B437)-SEARCH("-",'Bittrex Data'!B437,1)+1),LEN(RIGHT('Bittrex Data'!B437,LEN('Bittrex Data'!B437)-SEARCH("-",'Bittrex Data'!B437,1)+1))-1))</f>
        <v/>
      </c>
      <c r="F437" t="str">
        <f>IF('Bittrex Data'!C437="","",IF('Bittrex Data'!C437="Limit_Sell",'Bittrex Data'!G437-'Bittrex Data'!F437,IF('Bittrex Data'!C437="Limit_Buy",'Bittrex Data'!G437+'Bittrex Data'!F437,"")))</f>
        <v/>
      </c>
      <c r="G437" t="str">
        <f>IF('Bittrex Data'!B437="","",'Bittrex Data'!D437)</f>
        <v/>
      </c>
      <c r="H437" t="str">
        <f>IF('Bittrex Data'!C437="","",IF(Bittrex!C437="Buy",Bittrex!D437,IF(Bittrex!C437="Sale",Bittrex!E437,IF(AND(Bittrex!C437="Trade",'Bittrex Data'!C437="Limit_Sell"),Bittrex!E437,IF(AND(Bittrex!C437="Trade",'Bittrex Data'!C437="Limit_Buy"),Bittrex!D437,"")))))</f>
        <v/>
      </c>
      <c r="I437" t="str">
        <f>IF('Bittrex Data'!C437="","",IF(Bittrex!C437="Buy",F437,IF(C437="Sale",Bittrex!G437,IF(AND(C437="Trade",'Bittrex Data'!C437="Limit_Sell"),Bittrex!G437,IF(AND(Bittrex!C437="Trade",'Bittrex Data'!C437="Limit_Buy"),F437,"")))))</f>
        <v/>
      </c>
      <c r="J437" t="str">
        <f>IF('Bittrex Data'!B437="","",IF('Bittrex Data'!B437="","",IF(Bittrex!H437=Bittrex!E437,D437,Bittrex!E437)))</f>
        <v/>
      </c>
      <c r="K437" t="str">
        <f>IF('Bittrex Data'!B437="","",IF(Bittrex!I437=Bittrex!G437,Bittrex!F437,Bittrex!G437))</f>
        <v/>
      </c>
    </row>
    <row r="438" spans="3:11" x14ac:dyDescent="0.2">
      <c r="C438" t="str">
        <f>IF('Bittrex Data'!A438="","",IF(AND('Bittrex Data'!C438="LIMIT_SELL",Bittrex!D438="USD"),"Sale",IF(AND('Bittrex Data'!C438="LIMIT_BUY",Bittrex!D438="USD"),"Buy","Trade")))</f>
        <v/>
      </c>
      <c r="D438" t="str">
        <f>IF('Bittrex Data'!B438="","",LEFT(LEFT('Bittrex Data'!B438,SEARCH("-",'Bittrex Data'!B438,1)),LEN(LEFT('Bittrex Data'!B438,SEARCH("-",'Bittrex Data'!B438,1)))-1))</f>
        <v/>
      </c>
      <c r="E438" t="str">
        <f>IF('Bittrex Data'!B438="","",RIGHT(RIGHT('Bittrex Data'!B438,LEN('Bittrex Data'!B438)-SEARCH("-",'Bittrex Data'!B438,1)+1),LEN(RIGHT('Bittrex Data'!B438,LEN('Bittrex Data'!B438)-SEARCH("-",'Bittrex Data'!B438,1)+1))-1))</f>
        <v/>
      </c>
      <c r="F438" t="str">
        <f>IF('Bittrex Data'!C438="","",IF('Bittrex Data'!C438="Limit_Sell",'Bittrex Data'!G438-'Bittrex Data'!F438,IF('Bittrex Data'!C438="Limit_Buy",'Bittrex Data'!G438+'Bittrex Data'!F438,"")))</f>
        <v/>
      </c>
      <c r="G438" t="str">
        <f>IF('Bittrex Data'!B438="","",'Bittrex Data'!D438)</f>
        <v/>
      </c>
      <c r="H438" t="str">
        <f>IF('Bittrex Data'!C438="","",IF(Bittrex!C438="Buy",Bittrex!D438,IF(Bittrex!C438="Sale",Bittrex!E438,IF(AND(Bittrex!C438="Trade",'Bittrex Data'!C438="Limit_Sell"),Bittrex!E438,IF(AND(Bittrex!C438="Trade",'Bittrex Data'!C438="Limit_Buy"),Bittrex!D438,"")))))</f>
        <v/>
      </c>
      <c r="I438" t="str">
        <f>IF('Bittrex Data'!C438="","",IF(Bittrex!C438="Buy",F438,IF(C438="Sale",Bittrex!G438,IF(AND(C438="Trade",'Bittrex Data'!C438="Limit_Sell"),Bittrex!G438,IF(AND(Bittrex!C438="Trade",'Bittrex Data'!C438="Limit_Buy"),F438,"")))))</f>
        <v/>
      </c>
      <c r="J438" t="str">
        <f>IF('Bittrex Data'!B438="","",IF('Bittrex Data'!B438="","",IF(Bittrex!H438=Bittrex!E438,D438,Bittrex!E438)))</f>
        <v/>
      </c>
      <c r="K438" t="str">
        <f>IF('Bittrex Data'!B438="","",IF(Bittrex!I438=Bittrex!G438,Bittrex!F438,Bittrex!G438))</f>
        <v/>
      </c>
    </row>
    <row r="439" spans="3:11" x14ac:dyDescent="0.2">
      <c r="C439" t="str">
        <f>IF('Bittrex Data'!A439="","",IF(AND('Bittrex Data'!C439="LIMIT_SELL",Bittrex!D439="USD"),"Sale",IF(AND('Bittrex Data'!C439="LIMIT_BUY",Bittrex!D439="USD"),"Buy","Trade")))</f>
        <v/>
      </c>
      <c r="D439" t="str">
        <f>IF('Bittrex Data'!B439="","",LEFT(LEFT('Bittrex Data'!B439,SEARCH("-",'Bittrex Data'!B439,1)),LEN(LEFT('Bittrex Data'!B439,SEARCH("-",'Bittrex Data'!B439,1)))-1))</f>
        <v/>
      </c>
      <c r="E439" t="str">
        <f>IF('Bittrex Data'!B439="","",RIGHT(RIGHT('Bittrex Data'!B439,LEN('Bittrex Data'!B439)-SEARCH("-",'Bittrex Data'!B439,1)+1),LEN(RIGHT('Bittrex Data'!B439,LEN('Bittrex Data'!B439)-SEARCH("-",'Bittrex Data'!B439,1)+1))-1))</f>
        <v/>
      </c>
      <c r="F439" t="str">
        <f>IF('Bittrex Data'!C439="","",IF('Bittrex Data'!C439="Limit_Sell",'Bittrex Data'!G439-'Bittrex Data'!F439,IF('Bittrex Data'!C439="Limit_Buy",'Bittrex Data'!G439+'Bittrex Data'!F439,"")))</f>
        <v/>
      </c>
      <c r="G439" t="str">
        <f>IF('Bittrex Data'!B439="","",'Bittrex Data'!D439)</f>
        <v/>
      </c>
      <c r="H439" t="str">
        <f>IF('Bittrex Data'!C439="","",IF(Bittrex!C439="Buy",Bittrex!D439,IF(Bittrex!C439="Sale",Bittrex!E439,IF(AND(Bittrex!C439="Trade",'Bittrex Data'!C439="Limit_Sell"),Bittrex!E439,IF(AND(Bittrex!C439="Trade",'Bittrex Data'!C439="Limit_Buy"),Bittrex!D439,"")))))</f>
        <v/>
      </c>
      <c r="I439" t="str">
        <f>IF('Bittrex Data'!C439="","",IF(Bittrex!C439="Buy",F439,IF(C439="Sale",Bittrex!G439,IF(AND(C439="Trade",'Bittrex Data'!C439="Limit_Sell"),Bittrex!G439,IF(AND(Bittrex!C439="Trade",'Bittrex Data'!C439="Limit_Buy"),F439,"")))))</f>
        <v/>
      </c>
      <c r="J439" t="str">
        <f>IF('Bittrex Data'!B439="","",IF('Bittrex Data'!B439="","",IF(Bittrex!H439=Bittrex!E439,D439,Bittrex!E439)))</f>
        <v/>
      </c>
      <c r="K439" t="str">
        <f>IF('Bittrex Data'!B439="","",IF(Bittrex!I439=Bittrex!G439,Bittrex!F439,Bittrex!G439))</f>
        <v/>
      </c>
    </row>
    <row r="440" spans="3:11" x14ac:dyDescent="0.2">
      <c r="C440" t="str">
        <f>IF('Bittrex Data'!A440="","",IF(AND('Bittrex Data'!C440="LIMIT_SELL",Bittrex!D440="USD"),"Sale",IF(AND('Bittrex Data'!C440="LIMIT_BUY",Bittrex!D440="USD"),"Buy","Trade")))</f>
        <v/>
      </c>
      <c r="D440" t="str">
        <f>IF('Bittrex Data'!B440="","",LEFT(LEFT('Bittrex Data'!B440,SEARCH("-",'Bittrex Data'!B440,1)),LEN(LEFT('Bittrex Data'!B440,SEARCH("-",'Bittrex Data'!B440,1)))-1))</f>
        <v/>
      </c>
      <c r="E440" t="str">
        <f>IF('Bittrex Data'!B440="","",RIGHT(RIGHT('Bittrex Data'!B440,LEN('Bittrex Data'!B440)-SEARCH("-",'Bittrex Data'!B440,1)+1),LEN(RIGHT('Bittrex Data'!B440,LEN('Bittrex Data'!B440)-SEARCH("-",'Bittrex Data'!B440,1)+1))-1))</f>
        <v/>
      </c>
      <c r="F440" t="str">
        <f>IF('Bittrex Data'!C440="","",IF('Bittrex Data'!C440="Limit_Sell",'Bittrex Data'!G440-'Bittrex Data'!F440,IF('Bittrex Data'!C440="Limit_Buy",'Bittrex Data'!G440+'Bittrex Data'!F440,"")))</f>
        <v/>
      </c>
      <c r="G440" t="str">
        <f>IF('Bittrex Data'!B440="","",'Bittrex Data'!D440)</f>
        <v/>
      </c>
      <c r="H440" t="str">
        <f>IF('Bittrex Data'!C440="","",IF(Bittrex!C440="Buy",Bittrex!D440,IF(Bittrex!C440="Sale",Bittrex!E440,IF(AND(Bittrex!C440="Trade",'Bittrex Data'!C440="Limit_Sell"),Bittrex!E440,IF(AND(Bittrex!C440="Trade",'Bittrex Data'!C440="Limit_Buy"),Bittrex!D440,"")))))</f>
        <v/>
      </c>
      <c r="I440" t="str">
        <f>IF('Bittrex Data'!C440="","",IF(Bittrex!C440="Buy",F440,IF(C440="Sale",Bittrex!G440,IF(AND(C440="Trade",'Bittrex Data'!C440="Limit_Sell"),Bittrex!G440,IF(AND(Bittrex!C440="Trade",'Bittrex Data'!C440="Limit_Buy"),F440,"")))))</f>
        <v/>
      </c>
      <c r="J440" t="str">
        <f>IF('Bittrex Data'!B440="","",IF('Bittrex Data'!B440="","",IF(Bittrex!H440=Bittrex!E440,D440,Bittrex!E440)))</f>
        <v/>
      </c>
      <c r="K440" t="str">
        <f>IF('Bittrex Data'!B440="","",IF(Bittrex!I440=Bittrex!G440,Bittrex!F440,Bittrex!G440))</f>
        <v/>
      </c>
    </row>
    <row r="441" spans="3:11" x14ac:dyDescent="0.2">
      <c r="C441" t="str">
        <f>IF('Bittrex Data'!A441="","",IF(AND('Bittrex Data'!C441="LIMIT_SELL",Bittrex!D441="USD"),"Sale",IF(AND('Bittrex Data'!C441="LIMIT_BUY",Bittrex!D441="USD"),"Buy","Trade")))</f>
        <v/>
      </c>
      <c r="D441" t="str">
        <f>IF('Bittrex Data'!B441="","",LEFT(LEFT('Bittrex Data'!B441,SEARCH("-",'Bittrex Data'!B441,1)),LEN(LEFT('Bittrex Data'!B441,SEARCH("-",'Bittrex Data'!B441,1)))-1))</f>
        <v/>
      </c>
      <c r="E441" t="str">
        <f>IF('Bittrex Data'!B441="","",RIGHT(RIGHT('Bittrex Data'!B441,LEN('Bittrex Data'!B441)-SEARCH("-",'Bittrex Data'!B441,1)+1),LEN(RIGHT('Bittrex Data'!B441,LEN('Bittrex Data'!B441)-SEARCH("-",'Bittrex Data'!B441,1)+1))-1))</f>
        <v/>
      </c>
      <c r="F441" t="str">
        <f>IF('Bittrex Data'!C441="","",IF('Bittrex Data'!C441="Limit_Sell",'Bittrex Data'!G441-'Bittrex Data'!F441,IF('Bittrex Data'!C441="Limit_Buy",'Bittrex Data'!G441+'Bittrex Data'!F441,"")))</f>
        <v/>
      </c>
      <c r="G441" t="str">
        <f>IF('Bittrex Data'!B441="","",'Bittrex Data'!D441)</f>
        <v/>
      </c>
      <c r="H441" t="str">
        <f>IF('Bittrex Data'!C441="","",IF(Bittrex!C441="Buy",Bittrex!D441,IF(Bittrex!C441="Sale",Bittrex!E441,IF(AND(Bittrex!C441="Trade",'Bittrex Data'!C441="Limit_Sell"),Bittrex!E441,IF(AND(Bittrex!C441="Trade",'Bittrex Data'!C441="Limit_Buy"),Bittrex!D441,"")))))</f>
        <v/>
      </c>
      <c r="I441" t="str">
        <f>IF('Bittrex Data'!C441="","",IF(Bittrex!C441="Buy",F441,IF(C441="Sale",Bittrex!G441,IF(AND(C441="Trade",'Bittrex Data'!C441="Limit_Sell"),Bittrex!G441,IF(AND(Bittrex!C441="Trade",'Bittrex Data'!C441="Limit_Buy"),F441,"")))))</f>
        <v/>
      </c>
      <c r="J441" t="str">
        <f>IF('Bittrex Data'!B441="","",IF('Bittrex Data'!B441="","",IF(Bittrex!H441=Bittrex!E441,D441,Bittrex!E441)))</f>
        <v/>
      </c>
      <c r="K441" t="str">
        <f>IF('Bittrex Data'!B441="","",IF(Bittrex!I441=Bittrex!G441,Bittrex!F441,Bittrex!G441))</f>
        <v/>
      </c>
    </row>
    <row r="442" spans="3:11" x14ac:dyDescent="0.2">
      <c r="C442" t="str">
        <f>IF('Bittrex Data'!A442="","",IF(AND('Bittrex Data'!C442="LIMIT_SELL",Bittrex!D442="USD"),"Sale",IF(AND('Bittrex Data'!C442="LIMIT_BUY",Bittrex!D442="USD"),"Buy","Trade")))</f>
        <v/>
      </c>
      <c r="D442" t="str">
        <f>IF('Bittrex Data'!B442="","",LEFT(LEFT('Bittrex Data'!B442,SEARCH("-",'Bittrex Data'!B442,1)),LEN(LEFT('Bittrex Data'!B442,SEARCH("-",'Bittrex Data'!B442,1)))-1))</f>
        <v/>
      </c>
      <c r="E442" t="str">
        <f>IF('Bittrex Data'!B442="","",RIGHT(RIGHT('Bittrex Data'!B442,LEN('Bittrex Data'!B442)-SEARCH("-",'Bittrex Data'!B442,1)+1),LEN(RIGHT('Bittrex Data'!B442,LEN('Bittrex Data'!B442)-SEARCH("-",'Bittrex Data'!B442,1)+1))-1))</f>
        <v/>
      </c>
      <c r="F442" t="str">
        <f>IF('Bittrex Data'!C442="","",IF('Bittrex Data'!C442="Limit_Sell",'Bittrex Data'!G442-'Bittrex Data'!F442,IF('Bittrex Data'!C442="Limit_Buy",'Bittrex Data'!G442+'Bittrex Data'!F442,"")))</f>
        <v/>
      </c>
      <c r="G442" t="str">
        <f>IF('Bittrex Data'!B442="","",'Bittrex Data'!D442)</f>
        <v/>
      </c>
      <c r="H442" t="str">
        <f>IF('Bittrex Data'!C442="","",IF(Bittrex!C442="Buy",Bittrex!D442,IF(Bittrex!C442="Sale",Bittrex!E442,IF(AND(Bittrex!C442="Trade",'Bittrex Data'!C442="Limit_Sell"),Bittrex!E442,IF(AND(Bittrex!C442="Trade",'Bittrex Data'!C442="Limit_Buy"),Bittrex!D442,"")))))</f>
        <v/>
      </c>
      <c r="I442" t="str">
        <f>IF('Bittrex Data'!C442="","",IF(Bittrex!C442="Buy",F442,IF(C442="Sale",Bittrex!G442,IF(AND(C442="Trade",'Bittrex Data'!C442="Limit_Sell"),Bittrex!G442,IF(AND(Bittrex!C442="Trade",'Bittrex Data'!C442="Limit_Buy"),F442,"")))))</f>
        <v/>
      </c>
      <c r="J442" t="str">
        <f>IF('Bittrex Data'!B442="","",IF('Bittrex Data'!B442="","",IF(Bittrex!H442=Bittrex!E442,D442,Bittrex!E442)))</f>
        <v/>
      </c>
      <c r="K442" t="str">
        <f>IF('Bittrex Data'!B442="","",IF(Bittrex!I442=Bittrex!G442,Bittrex!F442,Bittrex!G442))</f>
        <v/>
      </c>
    </row>
    <row r="443" spans="3:11" x14ac:dyDescent="0.2">
      <c r="C443" t="str">
        <f>IF('Bittrex Data'!A443="","",IF(AND('Bittrex Data'!C443="LIMIT_SELL",Bittrex!D443="USD"),"Sale",IF(AND('Bittrex Data'!C443="LIMIT_BUY",Bittrex!D443="USD"),"Buy","Trade")))</f>
        <v/>
      </c>
      <c r="D443" t="str">
        <f>IF('Bittrex Data'!B443="","",LEFT(LEFT('Bittrex Data'!B443,SEARCH("-",'Bittrex Data'!B443,1)),LEN(LEFT('Bittrex Data'!B443,SEARCH("-",'Bittrex Data'!B443,1)))-1))</f>
        <v/>
      </c>
      <c r="E443" t="str">
        <f>IF('Bittrex Data'!B443="","",RIGHT(RIGHT('Bittrex Data'!B443,LEN('Bittrex Data'!B443)-SEARCH("-",'Bittrex Data'!B443,1)+1),LEN(RIGHT('Bittrex Data'!B443,LEN('Bittrex Data'!B443)-SEARCH("-",'Bittrex Data'!B443,1)+1))-1))</f>
        <v/>
      </c>
      <c r="F443" t="str">
        <f>IF('Bittrex Data'!C443="","",IF('Bittrex Data'!C443="Limit_Sell",'Bittrex Data'!G443-'Bittrex Data'!F443,IF('Bittrex Data'!C443="Limit_Buy",'Bittrex Data'!G443+'Bittrex Data'!F443,"")))</f>
        <v/>
      </c>
      <c r="G443" t="str">
        <f>IF('Bittrex Data'!B443="","",'Bittrex Data'!D443)</f>
        <v/>
      </c>
      <c r="H443" t="str">
        <f>IF('Bittrex Data'!C443="","",IF(Bittrex!C443="Buy",Bittrex!D443,IF(Bittrex!C443="Sale",Bittrex!E443,IF(AND(Bittrex!C443="Trade",'Bittrex Data'!C443="Limit_Sell"),Bittrex!E443,IF(AND(Bittrex!C443="Trade",'Bittrex Data'!C443="Limit_Buy"),Bittrex!D443,"")))))</f>
        <v/>
      </c>
      <c r="I443" t="str">
        <f>IF('Bittrex Data'!C443="","",IF(Bittrex!C443="Buy",F443,IF(C443="Sale",Bittrex!G443,IF(AND(C443="Trade",'Bittrex Data'!C443="Limit_Sell"),Bittrex!G443,IF(AND(Bittrex!C443="Trade",'Bittrex Data'!C443="Limit_Buy"),F443,"")))))</f>
        <v/>
      </c>
      <c r="J443" t="str">
        <f>IF('Bittrex Data'!B443="","",IF('Bittrex Data'!B443="","",IF(Bittrex!H443=Bittrex!E443,D443,Bittrex!E443)))</f>
        <v/>
      </c>
      <c r="K443" t="str">
        <f>IF('Bittrex Data'!B443="","",IF(Bittrex!I443=Bittrex!G443,Bittrex!F443,Bittrex!G443))</f>
        <v/>
      </c>
    </row>
    <row r="444" spans="3:11" x14ac:dyDescent="0.2">
      <c r="C444" t="str">
        <f>IF('Bittrex Data'!A444="","",IF(AND('Bittrex Data'!C444="LIMIT_SELL",Bittrex!D444="USD"),"Sale",IF(AND('Bittrex Data'!C444="LIMIT_BUY",Bittrex!D444="USD"),"Buy","Trade")))</f>
        <v/>
      </c>
      <c r="D444" t="str">
        <f>IF('Bittrex Data'!B444="","",LEFT(LEFT('Bittrex Data'!B444,SEARCH("-",'Bittrex Data'!B444,1)),LEN(LEFT('Bittrex Data'!B444,SEARCH("-",'Bittrex Data'!B444,1)))-1))</f>
        <v/>
      </c>
      <c r="E444" t="str">
        <f>IF('Bittrex Data'!B444="","",RIGHT(RIGHT('Bittrex Data'!B444,LEN('Bittrex Data'!B444)-SEARCH("-",'Bittrex Data'!B444,1)+1),LEN(RIGHT('Bittrex Data'!B444,LEN('Bittrex Data'!B444)-SEARCH("-",'Bittrex Data'!B444,1)+1))-1))</f>
        <v/>
      </c>
      <c r="F444" t="str">
        <f>IF('Bittrex Data'!C444="","",IF('Bittrex Data'!C444="Limit_Sell",'Bittrex Data'!G444-'Bittrex Data'!F444,IF('Bittrex Data'!C444="Limit_Buy",'Bittrex Data'!G444+'Bittrex Data'!F444,"")))</f>
        <v/>
      </c>
      <c r="G444" t="str">
        <f>IF('Bittrex Data'!B444="","",'Bittrex Data'!D444)</f>
        <v/>
      </c>
      <c r="H444" t="str">
        <f>IF('Bittrex Data'!C444="","",IF(Bittrex!C444="Buy",Bittrex!D444,IF(Bittrex!C444="Sale",Bittrex!E444,IF(AND(Bittrex!C444="Trade",'Bittrex Data'!C444="Limit_Sell"),Bittrex!E444,IF(AND(Bittrex!C444="Trade",'Bittrex Data'!C444="Limit_Buy"),Bittrex!D444,"")))))</f>
        <v/>
      </c>
      <c r="I444" t="str">
        <f>IF('Bittrex Data'!C444="","",IF(Bittrex!C444="Buy",F444,IF(C444="Sale",Bittrex!G444,IF(AND(C444="Trade",'Bittrex Data'!C444="Limit_Sell"),Bittrex!G444,IF(AND(Bittrex!C444="Trade",'Bittrex Data'!C444="Limit_Buy"),F444,"")))))</f>
        <v/>
      </c>
      <c r="J444" t="str">
        <f>IF('Bittrex Data'!B444="","",IF('Bittrex Data'!B444="","",IF(Bittrex!H444=Bittrex!E444,D444,Bittrex!E444)))</f>
        <v/>
      </c>
      <c r="K444" t="str">
        <f>IF('Bittrex Data'!B444="","",IF(Bittrex!I444=Bittrex!G444,Bittrex!F444,Bittrex!G444))</f>
        <v/>
      </c>
    </row>
    <row r="445" spans="3:11" x14ac:dyDescent="0.2">
      <c r="C445" t="str">
        <f>IF('Bittrex Data'!A445="","",IF(AND('Bittrex Data'!C445="LIMIT_SELL",Bittrex!D445="USD"),"Sale",IF(AND('Bittrex Data'!C445="LIMIT_BUY",Bittrex!D445="USD"),"Buy","Trade")))</f>
        <v/>
      </c>
      <c r="D445" t="str">
        <f>IF('Bittrex Data'!B445="","",LEFT(LEFT('Bittrex Data'!B445,SEARCH("-",'Bittrex Data'!B445,1)),LEN(LEFT('Bittrex Data'!B445,SEARCH("-",'Bittrex Data'!B445,1)))-1))</f>
        <v/>
      </c>
      <c r="E445" t="str">
        <f>IF('Bittrex Data'!B445="","",RIGHT(RIGHT('Bittrex Data'!B445,LEN('Bittrex Data'!B445)-SEARCH("-",'Bittrex Data'!B445,1)+1),LEN(RIGHT('Bittrex Data'!B445,LEN('Bittrex Data'!B445)-SEARCH("-",'Bittrex Data'!B445,1)+1))-1))</f>
        <v/>
      </c>
      <c r="F445" t="str">
        <f>IF('Bittrex Data'!C445="","",IF('Bittrex Data'!C445="Limit_Sell",'Bittrex Data'!G445-'Bittrex Data'!F445,IF('Bittrex Data'!C445="Limit_Buy",'Bittrex Data'!G445+'Bittrex Data'!F445,"")))</f>
        <v/>
      </c>
      <c r="G445" t="str">
        <f>IF('Bittrex Data'!B445="","",'Bittrex Data'!D445)</f>
        <v/>
      </c>
      <c r="H445" t="str">
        <f>IF('Bittrex Data'!C445="","",IF(Bittrex!C445="Buy",Bittrex!D445,IF(Bittrex!C445="Sale",Bittrex!E445,IF(AND(Bittrex!C445="Trade",'Bittrex Data'!C445="Limit_Sell"),Bittrex!E445,IF(AND(Bittrex!C445="Trade",'Bittrex Data'!C445="Limit_Buy"),Bittrex!D445,"")))))</f>
        <v/>
      </c>
      <c r="I445" t="str">
        <f>IF('Bittrex Data'!C445="","",IF(Bittrex!C445="Buy",F445,IF(C445="Sale",Bittrex!G445,IF(AND(C445="Trade",'Bittrex Data'!C445="Limit_Sell"),Bittrex!G445,IF(AND(Bittrex!C445="Trade",'Bittrex Data'!C445="Limit_Buy"),F445,"")))))</f>
        <v/>
      </c>
      <c r="J445" t="str">
        <f>IF('Bittrex Data'!B445="","",IF('Bittrex Data'!B445="","",IF(Bittrex!H445=Bittrex!E445,D445,Bittrex!E445)))</f>
        <v/>
      </c>
      <c r="K445" t="str">
        <f>IF('Bittrex Data'!B445="","",IF(Bittrex!I445=Bittrex!G445,Bittrex!F445,Bittrex!G445))</f>
        <v/>
      </c>
    </row>
    <row r="446" spans="3:11" x14ac:dyDescent="0.2">
      <c r="C446" t="str">
        <f>IF('Bittrex Data'!A446="","",IF(AND('Bittrex Data'!C446="LIMIT_SELL",Bittrex!D446="USD"),"Sale",IF(AND('Bittrex Data'!C446="LIMIT_BUY",Bittrex!D446="USD"),"Buy","Trade")))</f>
        <v/>
      </c>
      <c r="D446" t="str">
        <f>IF('Bittrex Data'!B446="","",LEFT(LEFT('Bittrex Data'!B446,SEARCH("-",'Bittrex Data'!B446,1)),LEN(LEFT('Bittrex Data'!B446,SEARCH("-",'Bittrex Data'!B446,1)))-1))</f>
        <v/>
      </c>
      <c r="E446" t="str">
        <f>IF('Bittrex Data'!B446="","",RIGHT(RIGHT('Bittrex Data'!B446,LEN('Bittrex Data'!B446)-SEARCH("-",'Bittrex Data'!B446,1)+1),LEN(RIGHT('Bittrex Data'!B446,LEN('Bittrex Data'!B446)-SEARCH("-",'Bittrex Data'!B446,1)+1))-1))</f>
        <v/>
      </c>
      <c r="F446" t="str">
        <f>IF('Bittrex Data'!C446="","",IF('Bittrex Data'!C446="Limit_Sell",'Bittrex Data'!G446-'Bittrex Data'!F446,IF('Bittrex Data'!C446="Limit_Buy",'Bittrex Data'!G446+'Bittrex Data'!F446,"")))</f>
        <v/>
      </c>
      <c r="G446" t="str">
        <f>IF('Bittrex Data'!B446="","",'Bittrex Data'!D446)</f>
        <v/>
      </c>
      <c r="H446" t="str">
        <f>IF('Bittrex Data'!C446="","",IF(Bittrex!C446="Buy",Bittrex!D446,IF(Bittrex!C446="Sale",Bittrex!E446,IF(AND(Bittrex!C446="Trade",'Bittrex Data'!C446="Limit_Sell"),Bittrex!E446,IF(AND(Bittrex!C446="Trade",'Bittrex Data'!C446="Limit_Buy"),Bittrex!D446,"")))))</f>
        <v/>
      </c>
      <c r="I446" t="str">
        <f>IF('Bittrex Data'!C446="","",IF(Bittrex!C446="Buy",F446,IF(C446="Sale",Bittrex!G446,IF(AND(C446="Trade",'Bittrex Data'!C446="Limit_Sell"),Bittrex!G446,IF(AND(Bittrex!C446="Trade",'Bittrex Data'!C446="Limit_Buy"),F446,"")))))</f>
        <v/>
      </c>
      <c r="J446" t="str">
        <f>IF('Bittrex Data'!B446="","",IF('Bittrex Data'!B446="","",IF(Bittrex!H446=Bittrex!E446,D446,Bittrex!E446)))</f>
        <v/>
      </c>
      <c r="K446" t="str">
        <f>IF('Bittrex Data'!B446="","",IF(Bittrex!I446=Bittrex!G446,Bittrex!F446,Bittrex!G446))</f>
        <v/>
      </c>
    </row>
    <row r="447" spans="3:11" x14ac:dyDescent="0.2">
      <c r="C447" t="str">
        <f>IF('Bittrex Data'!A447="","",IF(AND('Bittrex Data'!C447="LIMIT_SELL",Bittrex!D447="USD"),"Sale",IF(AND('Bittrex Data'!C447="LIMIT_BUY",Bittrex!D447="USD"),"Buy","Trade")))</f>
        <v/>
      </c>
      <c r="D447" t="str">
        <f>IF('Bittrex Data'!B447="","",LEFT(LEFT('Bittrex Data'!B447,SEARCH("-",'Bittrex Data'!B447,1)),LEN(LEFT('Bittrex Data'!B447,SEARCH("-",'Bittrex Data'!B447,1)))-1))</f>
        <v/>
      </c>
      <c r="E447" t="str">
        <f>IF('Bittrex Data'!B447="","",RIGHT(RIGHT('Bittrex Data'!B447,LEN('Bittrex Data'!B447)-SEARCH("-",'Bittrex Data'!B447,1)+1),LEN(RIGHT('Bittrex Data'!B447,LEN('Bittrex Data'!B447)-SEARCH("-",'Bittrex Data'!B447,1)+1))-1))</f>
        <v/>
      </c>
      <c r="F447" t="str">
        <f>IF('Bittrex Data'!C447="","",IF('Bittrex Data'!C447="Limit_Sell",'Bittrex Data'!G447-'Bittrex Data'!F447,IF('Bittrex Data'!C447="Limit_Buy",'Bittrex Data'!G447+'Bittrex Data'!F447,"")))</f>
        <v/>
      </c>
      <c r="G447" t="str">
        <f>IF('Bittrex Data'!B447="","",'Bittrex Data'!D447)</f>
        <v/>
      </c>
      <c r="H447" t="str">
        <f>IF('Bittrex Data'!C447="","",IF(Bittrex!C447="Buy",Bittrex!D447,IF(Bittrex!C447="Sale",Bittrex!E447,IF(AND(Bittrex!C447="Trade",'Bittrex Data'!C447="Limit_Sell"),Bittrex!E447,IF(AND(Bittrex!C447="Trade",'Bittrex Data'!C447="Limit_Buy"),Bittrex!D447,"")))))</f>
        <v/>
      </c>
      <c r="I447" t="str">
        <f>IF('Bittrex Data'!C447="","",IF(Bittrex!C447="Buy",F447,IF(C447="Sale",Bittrex!G447,IF(AND(C447="Trade",'Bittrex Data'!C447="Limit_Sell"),Bittrex!G447,IF(AND(Bittrex!C447="Trade",'Bittrex Data'!C447="Limit_Buy"),F447,"")))))</f>
        <v/>
      </c>
      <c r="J447" t="str">
        <f>IF('Bittrex Data'!B447="","",IF('Bittrex Data'!B447="","",IF(Bittrex!H447=Bittrex!E447,D447,Bittrex!E447)))</f>
        <v/>
      </c>
      <c r="K447" t="str">
        <f>IF('Bittrex Data'!B447="","",IF(Bittrex!I447=Bittrex!G447,Bittrex!F447,Bittrex!G447))</f>
        <v/>
      </c>
    </row>
    <row r="448" spans="3:11" x14ac:dyDescent="0.2">
      <c r="C448" t="str">
        <f>IF('Bittrex Data'!A448="","",IF(AND('Bittrex Data'!C448="LIMIT_SELL",Bittrex!D448="USD"),"Sale",IF(AND('Bittrex Data'!C448="LIMIT_BUY",Bittrex!D448="USD"),"Buy","Trade")))</f>
        <v/>
      </c>
      <c r="D448" t="str">
        <f>IF('Bittrex Data'!B448="","",LEFT(LEFT('Bittrex Data'!B448,SEARCH("-",'Bittrex Data'!B448,1)),LEN(LEFT('Bittrex Data'!B448,SEARCH("-",'Bittrex Data'!B448,1)))-1))</f>
        <v/>
      </c>
      <c r="E448" t="str">
        <f>IF('Bittrex Data'!B448="","",RIGHT(RIGHT('Bittrex Data'!B448,LEN('Bittrex Data'!B448)-SEARCH("-",'Bittrex Data'!B448,1)+1),LEN(RIGHT('Bittrex Data'!B448,LEN('Bittrex Data'!B448)-SEARCH("-",'Bittrex Data'!B448,1)+1))-1))</f>
        <v/>
      </c>
      <c r="F448" t="str">
        <f>IF('Bittrex Data'!C448="","",IF('Bittrex Data'!C448="Limit_Sell",'Bittrex Data'!G448-'Bittrex Data'!F448,IF('Bittrex Data'!C448="Limit_Buy",'Bittrex Data'!G448+'Bittrex Data'!F448,"")))</f>
        <v/>
      </c>
      <c r="G448" t="str">
        <f>IF('Bittrex Data'!B448="","",'Bittrex Data'!D448)</f>
        <v/>
      </c>
      <c r="H448" t="str">
        <f>IF('Bittrex Data'!C448="","",IF(Bittrex!C448="Buy",Bittrex!D448,IF(Bittrex!C448="Sale",Bittrex!E448,IF(AND(Bittrex!C448="Trade",'Bittrex Data'!C448="Limit_Sell"),Bittrex!E448,IF(AND(Bittrex!C448="Trade",'Bittrex Data'!C448="Limit_Buy"),Bittrex!D448,"")))))</f>
        <v/>
      </c>
      <c r="I448" t="str">
        <f>IF('Bittrex Data'!C448="","",IF(Bittrex!C448="Buy",F448,IF(C448="Sale",Bittrex!G448,IF(AND(C448="Trade",'Bittrex Data'!C448="Limit_Sell"),Bittrex!G448,IF(AND(Bittrex!C448="Trade",'Bittrex Data'!C448="Limit_Buy"),F448,"")))))</f>
        <v/>
      </c>
      <c r="J448" t="str">
        <f>IF('Bittrex Data'!B448="","",IF('Bittrex Data'!B448="","",IF(Bittrex!H448=Bittrex!E448,D448,Bittrex!E448)))</f>
        <v/>
      </c>
      <c r="K448" t="str">
        <f>IF('Bittrex Data'!B448="","",IF(Bittrex!I448=Bittrex!G448,Bittrex!F448,Bittrex!G448))</f>
        <v/>
      </c>
    </row>
    <row r="449" spans="3:11" x14ac:dyDescent="0.2">
      <c r="C449" t="str">
        <f>IF('Bittrex Data'!A449="","",IF(AND('Bittrex Data'!C449="LIMIT_SELL",Bittrex!D449="USD"),"Sale",IF(AND('Bittrex Data'!C449="LIMIT_BUY",Bittrex!D449="USD"),"Buy","Trade")))</f>
        <v/>
      </c>
      <c r="D449" t="str">
        <f>IF('Bittrex Data'!B449="","",LEFT(LEFT('Bittrex Data'!B449,SEARCH("-",'Bittrex Data'!B449,1)),LEN(LEFT('Bittrex Data'!B449,SEARCH("-",'Bittrex Data'!B449,1)))-1))</f>
        <v/>
      </c>
      <c r="E449" t="str">
        <f>IF('Bittrex Data'!B449="","",RIGHT(RIGHT('Bittrex Data'!B449,LEN('Bittrex Data'!B449)-SEARCH("-",'Bittrex Data'!B449,1)+1),LEN(RIGHT('Bittrex Data'!B449,LEN('Bittrex Data'!B449)-SEARCH("-",'Bittrex Data'!B449,1)+1))-1))</f>
        <v/>
      </c>
      <c r="F449" t="str">
        <f>IF('Bittrex Data'!C449="","",IF('Bittrex Data'!C449="Limit_Sell",'Bittrex Data'!G449-'Bittrex Data'!F449,IF('Bittrex Data'!C449="Limit_Buy",'Bittrex Data'!G449+'Bittrex Data'!F449,"")))</f>
        <v/>
      </c>
      <c r="G449" t="str">
        <f>IF('Bittrex Data'!B449="","",'Bittrex Data'!D449)</f>
        <v/>
      </c>
      <c r="H449" t="str">
        <f>IF('Bittrex Data'!C449="","",IF(Bittrex!C449="Buy",Bittrex!D449,IF(Bittrex!C449="Sale",Bittrex!E449,IF(AND(Bittrex!C449="Trade",'Bittrex Data'!C449="Limit_Sell"),Bittrex!E449,IF(AND(Bittrex!C449="Trade",'Bittrex Data'!C449="Limit_Buy"),Bittrex!D449,"")))))</f>
        <v/>
      </c>
      <c r="I449" t="str">
        <f>IF('Bittrex Data'!C449="","",IF(Bittrex!C449="Buy",F449,IF(C449="Sale",Bittrex!G449,IF(AND(C449="Trade",'Bittrex Data'!C449="Limit_Sell"),Bittrex!G449,IF(AND(Bittrex!C449="Trade",'Bittrex Data'!C449="Limit_Buy"),F449,"")))))</f>
        <v/>
      </c>
      <c r="J449" t="str">
        <f>IF('Bittrex Data'!B449="","",IF('Bittrex Data'!B449="","",IF(Bittrex!H449=Bittrex!E449,D449,Bittrex!E449)))</f>
        <v/>
      </c>
      <c r="K449" t="str">
        <f>IF('Bittrex Data'!B449="","",IF(Bittrex!I449=Bittrex!G449,Bittrex!F449,Bittrex!G449))</f>
        <v/>
      </c>
    </row>
    <row r="450" spans="3:11" x14ac:dyDescent="0.2">
      <c r="C450" t="str">
        <f>IF('Bittrex Data'!A450="","",IF(AND('Bittrex Data'!C450="LIMIT_SELL",Bittrex!D450="USD"),"Sale",IF(AND('Bittrex Data'!C450="LIMIT_BUY",Bittrex!D450="USD"),"Buy","Trade")))</f>
        <v/>
      </c>
      <c r="D450" t="str">
        <f>IF('Bittrex Data'!B450="","",LEFT(LEFT('Bittrex Data'!B450,SEARCH("-",'Bittrex Data'!B450,1)),LEN(LEFT('Bittrex Data'!B450,SEARCH("-",'Bittrex Data'!B450,1)))-1))</f>
        <v/>
      </c>
      <c r="E450" t="str">
        <f>IF('Bittrex Data'!B450="","",RIGHT(RIGHT('Bittrex Data'!B450,LEN('Bittrex Data'!B450)-SEARCH("-",'Bittrex Data'!B450,1)+1),LEN(RIGHT('Bittrex Data'!B450,LEN('Bittrex Data'!B450)-SEARCH("-",'Bittrex Data'!B450,1)+1))-1))</f>
        <v/>
      </c>
      <c r="F450" t="str">
        <f>IF('Bittrex Data'!C450="","",IF('Bittrex Data'!C450="Limit_Sell",'Bittrex Data'!G450-'Bittrex Data'!F450,IF('Bittrex Data'!C450="Limit_Buy",'Bittrex Data'!G450+'Bittrex Data'!F450,"")))</f>
        <v/>
      </c>
      <c r="G450" t="str">
        <f>IF('Bittrex Data'!B450="","",'Bittrex Data'!D450)</f>
        <v/>
      </c>
      <c r="H450" t="str">
        <f>IF('Bittrex Data'!C450="","",IF(Bittrex!C450="Buy",Bittrex!D450,IF(Bittrex!C450="Sale",Bittrex!E450,IF(AND(Bittrex!C450="Trade",'Bittrex Data'!C450="Limit_Sell"),Bittrex!E450,IF(AND(Bittrex!C450="Trade",'Bittrex Data'!C450="Limit_Buy"),Bittrex!D450,"")))))</f>
        <v/>
      </c>
      <c r="I450" t="str">
        <f>IF('Bittrex Data'!C450="","",IF(Bittrex!C450="Buy",F450,IF(C450="Sale",Bittrex!G450,IF(AND(C450="Trade",'Bittrex Data'!C450="Limit_Sell"),Bittrex!G450,IF(AND(Bittrex!C450="Trade",'Bittrex Data'!C450="Limit_Buy"),F450,"")))))</f>
        <v/>
      </c>
      <c r="J450" t="str">
        <f>IF('Bittrex Data'!B450="","",IF('Bittrex Data'!B450="","",IF(Bittrex!H450=Bittrex!E450,D450,Bittrex!E450)))</f>
        <v/>
      </c>
      <c r="K450" t="str">
        <f>IF('Bittrex Data'!B450="","",IF(Bittrex!I450=Bittrex!G450,Bittrex!F450,Bittrex!G450))</f>
        <v/>
      </c>
    </row>
    <row r="451" spans="3:11" x14ac:dyDescent="0.2">
      <c r="C451" t="str">
        <f>IF('Bittrex Data'!A451="","",IF(AND('Bittrex Data'!C451="LIMIT_SELL",Bittrex!D451="USD"),"Sale",IF(AND('Bittrex Data'!C451="LIMIT_BUY",Bittrex!D451="USD"),"Buy","Trade")))</f>
        <v/>
      </c>
      <c r="D451" t="str">
        <f>IF('Bittrex Data'!B451="","",LEFT(LEFT('Bittrex Data'!B451,SEARCH("-",'Bittrex Data'!B451,1)),LEN(LEFT('Bittrex Data'!B451,SEARCH("-",'Bittrex Data'!B451,1)))-1))</f>
        <v/>
      </c>
      <c r="E451" t="str">
        <f>IF('Bittrex Data'!B451="","",RIGHT(RIGHT('Bittrex Data'!B451,LEN('Bittrex Data'!B451)-SEARCH("-",'Bittrex Data'!B451,1)+1),LEN(RIGHT('Bittrex Data'!B451,LEN('Bittrex Data'!B451)-SEARCH("-",'Bittrex Data'!B451,1)+1))-1))</f>
        <v/>
      </c>
      <c r="F451" t="str">
        <f>IF('Bittrex Data'!C451="","",IF('Bittrex Data'!C451="Limit_Sell",'Bittrex Data'!G451-'Bittrex Data'!F451,IF('Bittrex Data'!C451="Limit_Buy",'Bittrex Data'!G451+'Bittrex Data'!F451,"")))</f>
        <v/>
      </c>
      <c r="G451" t="str">
        <f>IF('Bittrex Data'!B451="","",'Bittrex Data'!D451)</f>
        <v/>
      </c>
      <c r="H451" t="str">
        <f>IF('Bittrex Data'!C451="","",IF(Bittrex!C451="Buy",Bittrex!D451,IF(Bittrex!C451="Sale",Bittrex!E451,IF(AND(Bittrex!C451="Trade",'Bittrex Data'!C451="Limit_Sell"),Bittrex!E451,IF(AND(Bittrex!C451="Trade",'Bittrex Data'!C451="Limit_Buy"),Bittrex!D451,"")))))</f>
        <v/>
      </c>
      <c r="I451" t="str">
        <f>IF('Bittrex Data'!C451="","",IF(Bittrex!C451="Buy",F451,IF(C451="Sale",Bittrex!G451,IF(AND(C451="Trade",'Bittrex Data'!C451="Limit_Sell"),Bittrex!G451,IF(AND(Bittrex!C451="Trade",'Bittrex Data'!C451="Limit_Buy"),F451,"")))))</f>
        <v/>
      </c>
      <c r="J451" t="str">
        <f>IF('Bittrex Data'!B451="","",IF('Bittrex Data'!B451="","",IF(Bittrex!H451=Bittrex!E451,D451,Bittrex!E451)))</f>
        <v/>
      </c>
      <c r="K451" t="str">
        <f>IF('Bittrex Data'!B451="","",IF(Bittrex!I451=Bittrex!G451,Bittrex!F451,Bittrex!G451))</f>
        <v/>
      </c>
    </row>
    <row r="452" spans="3:11" x14ac:dyDescent="0.2">
      <c r="C452" t="str">
        <f>IF('Bittrex Data'!A452="","",IF(AND('Bittrex Data'!C452="LIMIT_SELL",Bittrex!D452="USD"),"Sale",IF(AND('Bittrex Data'!C452="LIMIT_BUY",Bittrex!D452="USD"),"Buy","Trade")))</f>
        <v/>
      </c>
      <c r="D452" t="str">
        <f>IF('Bittrex Data'!B452="","",LEFT(LEFT('Bittrex Data'!B452,SEARCH("-",'Bittrex Data'!B452,1)),LEN(LEFT('Bittrex Data'!B452,SEARCH("-",'Bittrex Data'!B452,1)))-1))</f>
        <v/>
      </c>
      <c r="E452" t="str">
        <f>IF('Bittrex Data'!B452="","",RIGHT(RIGHT('Bittrex Data'!B452,LEN('Bittrex Data'!B452)-SEARCH("-",'Bittrex Data'!B452,1)+1),LEN(RIGHT('Bittrex Data'!B452,LEN('Bittrex Data'!B452)-SEARCH("-",'Bittrex Data'!B452,1)+1))-1))</f>
        <v/>
      </c>
      <c r="F452" t="str">
        <f>IF('Bittrex Data'!C452="","",IF('Bittrex Data'!C452="Limit_Sell",'Bittrex Data'!G452-'Bittrex Data'!F452,IF('Bittrex Data'!C452="Limit_Buy",'Bittrex Data'!G452+'Bittrex Data'!F452,"")))</f>
        <v/>
      </c>
      <c r="G452" t="str">
        <f>IF('Bittrex Data'!B452="","",'Bittrex Data'!D452)</f>
        <v/>
      </c>
      <c r="H452" t="str">
        <f>IF('Bittrex Data'!C452="","",IF(Bittrex!C452="Buy",Bittrex!D452,IF(Bittrex!C452="Sale",Bittrex!E452,IF(AND(Bittrex!C452="Trade",'Bittrex Data'!C452="Limit_Sell"),Bittrex!E452,IF(AND(Bittrex!C452="Trade",'Bittrex Data'!C452="Limit_Buy"),Bittrex!D452,"")))))</f>
        <v/>
      </c>
      <c r="I452" t="str">
        <f>IF('Bittrex Data'!C452="","",IF(Bittrex!C452="Buy",F452,IF(C452="Sale",Bittrex!G452,IF(AND(C452="Trade",'Bittrex Data'!C452="Limit_Sell"),Bittrex!G452,IF(AND(Bittrex!C452="Trade",'Bittrex Data'!C452="Limit_Buy"),F452,"")))))</f>
        <v/>
      </c>
      <c r="J452" t="str">
        <f>IF('Bittrex Data'!B452="","",IF('Bittrex Data'!B452="","",IF(Bittrex!H452=Bittrex!E452,D452,Bittrex!E452)))</f>
        <v/>
      </c>
      <c r="K452" t="str">
        <f>IF('Bittrex Data'!B452="","",IF(Bittrex!I452=Bittrex!G452,Bittrex!F452,Bittrex!G452))</f>
        <v/>
      </c>
    </row>
    <row r="453" spans="3:11" x14ac:dyDescent="0.2">
      <c r="C453" t="str">
        <f>IF('Bittrex Data'!A453="","",IF(AND('Bittrex Data'!C453="LIMIT_SELL",Bittrex!D453="USD"),"Sale",IF(AND('Bittrex Data'!C453="LIMIT_BUY",Bittrex!D453="USD"),"Buy","Trade")))</f>
        <v/>
      </c>
      <c r="D453" t="str">
        <f>IF('Bittrex Data'!B453="","",LEFT(LEFT('Bittrex Data'!B453,SEARCH("-",'Bittrex Data'!B453,1)),LEN(LEFT('Bittrex Data'!B453,SEARCH("-",'Bittrex Data'!B453,1)))-1))</f>
        <v/>
      </c>
      <c r="E453" t="str">
        <f>IF('Bittrex Data'!B453="","",RIGHT(RIGHT('Bittrex Data'!B453,LEN('Bittrex Data'!B453)-SEARCH("-",'Bittrex Data'!B453,1)+1),LEN(RIGHT('Bittrex Data'!B453,LEN('Bittrex Data'!B453)-SEARCH("-",'Bittrex Data'!B453,1)+1))-1))</f>
        <v/>
      </c>
      <c r="F453" t="str">
        <f>IF('Bittrex Data'!C453="","",IF('Bittrex Data'!C453="Limit_Sell",'Bittrex Data'!G453-'Bittrex Data'!F453,IF('Bittrex Data'!C453="Limit_Buy",'Bittrex Data'!G453+'Bittrex Data'!F453,"")))</f>
        <v/>
      </c>
      <c r="G453" t="str">
        <f>IF('Bittrex Data'!B453="","",'Bittrex Data'!D453)</f>
        <v/>
      </c>
      <c r="H453" t="str">
        <f>IF('Bittrex Data'!C453="","",IF(Bittrex!C453="Buy",Bittrex!D453,IF(Bittrex!C453="Sale",Bittrex!E453,IF(AND(Bittrex!C453="Trade",'Bittrex Data'!C453="Limit_Sell"),Bittrex!E453,IF(AND(Bittrex!C453="Trade",'Bittrex Data'!C453="Limit_Buy"),Bittrex!D453,"")))))</f>
        <v/>
      </c>
      <c r="I453" t="str">
        <f>IF('Bittrex Data'!C453="","",IF(Bittrex!C453="Buy",F453,IF(C453="Sale",Bittrex!G453,IF(AND(C453="Trade",'Bittrex Data'!C453="Limit_Sell"),Bittrex!G453,IF(AND(Bittrex!C453="Trade",'Bittrex Data'!C453="Limit_Buy"),F453,"")))))</f>
        <v/>
      </c>
      <c r="J453" t="str">
        <f>IF('Bittrex Data'!B453="","",IF('Bittrex Data'!B453="","",IF(Bittrex!H453=Bittrex!E453,D453,Bittrex!E453)))</f>
        <v/>
      </c>
      <c r="K453" t="str">
        <f>IF('Bittrex Data'!B453="","",IF(Bittrex!I453=Bittrex!G453,Bittrex!F453,Bittrex!G453))</f>
        <v/>
      </c>
    </row>
    <row r="454" spans="3:11" x14ac:dyDescent="0.2">
      <c r="C454" t="str">
        <f>IF('Bittrex Data'!A454="","",IF(AND('Bittrex Data'!C454="LIMIT_SELL",Bittrex!D454="USD"),"Sale",IF(AND('Bittrex Data'!C454="LIMIT_BUY",Bittrex!D454="USD"),"Buy","Trade")))</f>
        <v/>
      </c>
      <c r="D454" t="str">
        <f>IF('Bittrex Data'!B454="","",LEFT(LEFT('Bittrex Data'!B454,SEARCH("-",'Bittrex Data'!B454,1)),LEN(LEFT('Bittrex Data'!B454,SEARCH("-",'Bittrex Data'!B454,1)))-1))</f>
        <v/>
      </c>
      <c r="E454" t="str">
        <f>IF('Bittrex Data'!B454="","",RIGHT(RIGHT('Bittrex Data'!B454,LEN('Bittrex Data'!B454)-SEARCH("-",'Bittrex Data'!B454,1)+1),LEN(RIGHT('Bittrex Data'!B454,LEN('Bittrex Data'!B454)-SEARCH("-",'Bittrex Data'!B454,1)+1))-1))</f>
        <v/>
      </c>
      <c r="F454" t="str">
        <f>IF('Bittrex Data'!C454="","",IF('Bittrex Data'!C454="Limit_Sell",'Bittrex Data'!G454-'Bittrex Data'!F454,IF('Bittrex Data'!C454="Limit_Buy",'Bittrex Data'!G454+'Bittrex Data'!F454,"")))</f>
        <v/>
      </c>
      <c r="G454" t="str">
        <f>IF('Bittrex Data'!B454="","",'Bittrex Data'!D454)</f>
        <v/>
      </c>
      <c r="H454" t="str">
        <f>IF('Bittrex Data'!C454="","",IF(Bittrex!C454="Buy",Bittrex!D454,IF(Bittrex!C454="Sale",Bittrex!E454,IF(AND(Bittrex!C454="Trade",'Bittrex Data'!C454="Limit_Sell"),Bittrex!E454,IF(AND(Bittrex!C454="Trade",'Bittrex Data'!C454="Limit_Buy"),Bittrex!D454,"")))))</f>
        <v/>
      </c>
      <c r="I454" t="str">
        <f>IF('Bittrex Data'!C454="","",IF(Bittrex!C454="Buy",F454,IF(C454="Sale",Bittrex!G454,IF(AND(C454="Trade",'Bittrex Data'!C454="Limit_Sell"),Bittrex!G454,IF(AND(Bittrex!C454="Trade",'Bittrex Data'!C454="Limit_Buy"),F454,"")))))</f>
        <v/>
      </c>
      <c r="J454" t="str">
        <f>IF('Bittrex Data'!B454="","",IF('Bittrex Data'!B454="","",IF(Bittrex!H454=Bittrex!E454,D454,Bittrex!E454)))</f>
        <v/>
      </c>
      <c r="K454" t="str">
        <f>IF('Bittrex Data'!B454="","",IF(Bittrex!I454=Bittrex!G454,Bittrex!F454,Bittrex!G454))</f>
        <v/>
      </c>
    </row>
    <row r="455" spans="3:11" x14ac:dyDescent="0.2">
      <c r="C455" t="str">
        <f>IF('Bittrex Data'!A455="","",IF(AND('Bittrex Data'!C455="LIMIT_SELL",Bittrex!D455="USD"),"Sale",IF(AND('Bittrex Data'!C455="LIMIT_BUY",Bittrex!D455="USD"),"Buy","Trade")))</f>
        <v/>
      </c>
      <c r="D455" t="str">
        <f>IF('Bittrex Data'!B455="","",LEFT(LEFT('Bittrex Data'!B455,SEARCH("-",'Bittrex Data'!B455,1)),LEN(LEFT('Bittrex Data'!B455,SEARCH("-",'Bittrex Data'!B455,1)))-1))</f>
        <v/>
      </c>
      <c r="E455" t="str">
        <f>IF('Bittrex Data'!B455="","",RIGHT(RIGHT('Bittrex Data'!B455,LEN('Bittrex Data'!B455)-SEARCH("-",'Bittrex Data'!B455,1)+1),LEN(RIGHT('Bittrex Data'!B455,LEN('Bittrex Data'!B455)-SEARCH("-",'Bittrex Data'!B455,1)+1))-1))</f>
        <v/>
      </c>
      <c r="F455" t="str">
        <f>IF('Bittrex Data'!C455="","",IF('Bittrex Data'!C455="Limit_Sell",'Bittrex Data'!G455-'Bittrex Data'!F455,IF('Bittrex Data'!C455="Limit_Buy",'Bittrex Data'!G455+'Bittrex Data'!F455,"")))</f>
        <v/>
      </c>
      <c r="G455" t="str">
        <f>IF('Bittrex Data'!B455="","",'Bittrex Data'!D455)</f>
        <v/>
      </c>
      <c r="H455" t="str">
        <f>IF('Bittrex Data'!C455="","",IF(Bittrex!C455="Buy",Bittrex!D455,IF(Bittrex!C455="Sale",Bittrex!E455,IF(AND(Bittrex!C455="Trade",'Bittrex Data'!C455="Limit_Sell"),Bittrex!E455,IF(AND(Bittrex!C455="Trade",'Bittrex Data'!C455="Limit_Buy"),Bittrex!D455,"")))))</f>
        <v/>
      </c>
      <c r="I455" t="str">
        <f>IF('Bittrex Data'!C455="","",IF(Bittrex!C455="Buy",F455,IF(C455="Sale",Bittrex!G455,IF(AND(C455="Trade",'Bittrex Data'!C455="Limit_Sell"),Bittrex!G455,IF(AND(Bittrex!C455="Trade",'Bittrex Data'!C455="Limit_Buy"),F455,"")))))</f>
        <v/>
      </c>
      <c r="J455" t="str">
        <f>IF('Bittrex Data'!B455="","",IF('Bittrex Data'!B455="","",IF(Bittrex!H455=Bittrex!E455,D455,Bittrex!E455)))</f>
        <v/>
      </c>
      <c r="K455" t="str">
        <f>IF('Bittrex Data'!B455="","",IF(Bittrex!I455=Bittrex!G455,Bittrex!F455,Bittrex!G455))</f>
        <v/>
      </c>
    </row>
    <row r="456" spans="3:11" x14ac:dyDescent="0.2">
      <c r="C456" t="str">
        <f>IF('Bittrex Data'!A456="","",IF(AND('Bittrex Data'!C456="LIMIT_SELL",Bittrex!D456="USD"),"Sale",IF(AND('Bittrex Data'!C456="LIMIT_BUY",Bittrex!D456="USD"),"Buy","Trade")))</f>
        <v/>
      </c>
      <c r="D456" t="str">
        <f>IF('Bittrex Data'!B456="","",LEFT(LEFT('Bittrex Data'!B456,SEARCH("-",'Bittrex Data'!B456,1)),LEN(LEFT('Bittrex Data'!B456,SEARCH("-",'Bittrex Data'!B456,1)))-1))</f>
        <v/>
      </c>
      <c r="E456" t="str">
        <f>IF('Bittrex Data'!B456="","",RIGHT(RIGHT('Bittrex Data'!B456,LEN('Bittrex Data'!B456)-SEARCH("-",'Bittrex Data'!B456,1)+1),LEN(RIGHT('Bittrex Data'!B456,LEN('Bittrex Data'!B456)-SEARCH("-",'Bittrex Data'!B456,1)+1))-1))</f>
        <v/>
      </c>
      <c r="F456" t="str">
        <f>IF('Bittrex Data'!C456="","",IF('Bittrex Data'!C456="Limit_Sell",'Bittrex Data'!G456-'Bittrex Data'!F456,IF('Bittrex Data'!C456="Limit_Buy",'Bittrex Data'!G456+'Bittrex Data'!F456,"")))</f>
        <v/>
      </c>
      <c r="G456" t="str">
        <f>IF('Bittrex Data'!B456="","",'Bittrex Data'!D456)</f>
        <v/>
      </c>
      <c r="H456" t="str">
        <f>IF('Bittrex Data'!C456="","",IF(Bittrex!C456="Buy",Bittrex!D456,IF(Bittrex!C456="Sale",Bittrex!E456,IF(AND(Bittrex!C456="Trade",'Bittrex Data'!C456="Limit_Sell"),Bittrex!E456,IF(AND(Bittrex!C456="Trade",'Bittrex Data'!C456="Limit_Buy"),Bittrex!D456,"")))))</f>
        <v/>
      </c>
      <c r="I456" t="str">
        <f>IF('Bittrex Data'!C456="","",IF(Bittrex!C456="Buy",F456,IF(C456="Sale",Bittrex!G456,IF(AND(C456="Trade",'Bittrex Data'!C456="Limit_Sell"),Bittrex!G456,IF(AND(Bittrex!C456="Trade",'Bittrex Data'!C456="Limit_Buy"),F456,"")))))</f>
        <v/>
      </c>
      <c r="J456" t="str">
        <f>IF('Bittrex Data'!B456="","",IF('Bittrex Data'!B456="","",IF(Bittrex!H456=Bittrex!E456,D456,Bittrex!E456)))</f>
        <v/>
      </c>
      <c r="K456" t="str">
        <f>IF('Bittrex Data'!B456="","",IF(Bittrex!I456=Bittrex!G456,Bittrex!F456,Bittrex!G456))</f>
        <v/>
      </c>
    </row>
    <row r="457" spans="3:11" x14ac:dyDescent="0.2">
      <c r="C457" t="str">
        <f>IF('Bittrex Data'!A457="","",IF(AND('Bittrex Data'!C457="LIMIT_SELL",Bittrex!D457="USD"),"Sale",IF(AND('Bittrex Data'!C457="LIMIT_BUY",Bittrex!D457="USD"),"Buy","Trade")))</f>
        <v/>
      </c>
      <c r="D457" t="str">
        <f>IF('Bittrex Data'!B457="","",LEFT(LEFT('Bittrex Data'!B457,SEARCH("-",'Bittrex Data'!B457,1)),LEN(LEFT('Bittrex Data'!B457,SEARCH("-",'Bittrex Data'!B457,1)))-1))</f>
        <v/>
      </c>
      <c r="E457" t="str">
        <f>IF('Bittrex Data'!B457="","",RIGHT(RIGHT('Bittrex Data'!B457,LEN('Bittrex Data'!B457)-SEARCH("-",'Bittrex Data'!B457,1)+1),LEN(RIGHT('Bittrex Data'!B457,LEN('Bittrex Data'!B457)-SEARCH("-",'Bittrex Data'!B457,1)+1))-1))</f>
        <v/>
      </c>
      <c r="F457" t="str">
        <f>IF('Bittrex Data'!C457="","",IF('Bittrex Data'!C457="Limit_Sell",'Bittrex Data'!G457-'Bittrex Data'!F457,IF('Bittrex Data'!C457="Limit_Buy",'Bittrex Data'!G457+'Bittrex Data'!F457,"")))</f>
        <v/>
      </c>
      <c r="G457" t="str">
        <f>IF('Bittrex Data'!B457="","",'Bittrex Data'!D457)</f>
        <v/>
      </c>
      <c r="H457" t="str">
        <f>IF('Bittrex Data'!C457="","",IF(Bittrex!C457="Buy",Bittrex!D457,IF(Bittrex!C457="Sale",Bittrex!E457,IF(AND(Bittrex!C457="Trade",'Bittrex Data'!C457="Limit_Sell"),Bittrex!E457,IF(AND(Bittrex!C457="Trade",'Bittrex Data'!C457="Limit_Buy"),Bittrex!D457,"")))))</f>
        <v/>
      </c>
      <c r="I457" t="str">
        <f>IF('Bittrex Data'!C457="","",IF(Bittrex!C457="Buy",F457,IF(C457="Sale",Bittrex!G457,IF(AND(C457="Trade",'Bittrex Data'!C457="Limit_Sell"),Bittrex!G457,IF(AND(Bittrex!C457="Trade",'Bittrex Data'!C457="Limit_Buy"),F457,"")))))</f>
        <v/>
      </c>
      <c r="J457" t="str">
        <f>IF('Bittrex Data'!B457="","",IF('Bittrex Data'!B457="","",IF(Bittrex!H457=Bittrex!E457,D457,Bittrex!E457)))</f>
        <v/>
      </c>
      <c r="K457" t="str">
        <f>IF('Bittrex Data'!B457="","",IF(Bittrex!I457=Bittrex!G457,Bittrex!F457,Bittrex!G457))</f>
        <v/>
      </c>
    </row>
    <row r="458" spans="3:11" x14ac:dyDescent="0.2">
      <c r="C458" t="str">
        <f>IF('Bittrex Data'!A458="","",IF(AND('Bittrex Data'!C458="LIMIT_SELL",Bittrex!D458="USD"),"Sale",IF(AND('Bittrex Data'!C458="LIMIT_BUY",Bittrex!D458="USD"),"Buy","Trade")))</f>
        <v/>
      </c>
      <c r="D458" t="str">
        <f>IF('Bittrex Data'!B458="","",LEFT(LEFT('Bittrex Data'!B458,SEARCH("-",'Bittrex Data'!B458,1)),LEN(LEFT('Bittrex Data'!B458,SEARCH("-",'Bittrex Data'!B458,1)))-1))</f>
        <v/>
      </c>
      <c r="E458" t="str">
        <f>IF('Bittrex Data'!B458="","",RIGHT(RIGHT('Bittrex Data'!B458,LEN('Bittrex Data'!B458)-SEARCH("-",'Bittrex Data'!B458,1)+1),LEN(RIGHT('Bittrex Data'!B458,LEN('Bittrex Data'!B458)-SEARCH("-",'Bittrex Data'!B458,1)+1))-1))</f>
        <v/>
      </c>
      <c r="F458" t="str">
        <f>IF('Bittrex Data'!C458="","",IF('Bittrex Data'!C458="Limit_Sell",'Bittrex Data'!G458-'Bittrex Data'!F458,IF('Bittrex Data'!C458="Limit_Buy",'Bittrex Data'!G458+'Bittrex Data'!F458,"")))</f>
        <v/>
      </c>
      <c r="G458" t="str">
        <f>IF('Bittrex Data'!B458="","",'Bittrex Data'!D458)</f>
        <v/>
      </c>
      <c r="H458" t="str">
        <f>IF('Bittrex Data'!C458="","",IF(Bittrex!C458="Buy",Bittrex!D458,IF(Bittrex!C458="Sale",Bittrex!E458,IF(AND(Bittrex!C458="Trade",'Bittrex Data'!C458="Limit_Sell"),Bittrex!E458,IF(AND(Bittrex!C458="Trade",'Bittrex Data'!C458="Limit_Buy"),Bittrex!D458,"")))))</f>
        <v/>
      </c>
      <c r="I458" t="str">
        <f>IF('Bittrex Data'!C458="","",IF(Bittrex!C458="Buy",F458,IF(C458="Sale",Bittrex!G458,IF(AND(C458="Trade",'Bittrex Data'!C458="Limit_Sell"),Bittrex!G458,IF(AND(Bittrex!C458="Trade",'Bittrex Data'!C458="Limit_Buy"),F458,"")))))</f>
        <v/>
      </c>
      <c r="J458" t="str">
        <f>IF('Bittrex Data'!B458="","",IF('Bittrex Data'!B458="","",IF(Bittrex!H458=Bittrex!E458,D458,Bittrex!E458)))</f>
        <v/>
      </c>
      <c r="K458" t="str">
        <f>IF('Bittrex Data'!B458="","",IF(Bittrex!I458=Bittrex!G458,Bittrex!F458,Bittrex!G458))</f>
        <v/>
      </c>
    </row>
    <row r="459" spans="3:11" x14ac:dyDescent="0.2">
      <c r="C459" t="str">
        <f>IF('Bittrex Data'!A459="","",IF(AND('Bittrex Data'!C459="LIMIT_SELL",Bittrex!D459="USD"),"Sale",IF(AND('Bittrex Data'!C459="LIMIT_BUY",Bittrex!D459="USD"),"Buy","Trade")))</f>
        <v/>
      </c>
      <c r="D459" t="str">
        <f>IF('Bittrex Data'!B459="","",LEFT(LEFT('Bittrex Data'!B459,SEARCH("-",'Bittrex Data'!B459,1)),LEN(LEFT('Bittrex Data'!B459,SEARCH("-",'Bittrex Data'!B459,1)))-1))</f>
        <v/>
      </c>
      <c r="E459" t="str">
        <f>IF('Bittrex Data'!B459="","",RIGHT(RIGHT('Bittrex Data'!B459,LEN('Bittrex Data'!B459)-SEARCH("-",'Bittrex Data'!B459,1)+1),LEN(RIGHT('Bittrex Data'!B459,LEN('Bittrex Data'!B459)-SEARCH("-",'Bittrex Data'!B459,1)+1))-1))</f>
        <v/>
      </c>
      <c r="F459" t="str">
        <f>IF('Bittrex Data'!C459="","",IF('Bittrex Data'!C459="Limit_Sell",'Bittrex Data'!G459-'Bittrex Data'!F459,IF('Bittrex Data'!C459="Limit_Buy",'Bittrex Data'!G459+'Bittrex Data'!F459,"")))</f>
        <v/>
      </c>
      <c r="G459" t="str">
        <f>IF('Bittrex Data'!B459="","",'Bittrex Data'!D459)</f>
        <v/>
      </c>
      <c r="H459" t="str">
        <f>IF('Bittrex Data'!C459="","",IF(Bittrex!C459="Buy",Bittrex!D459,IF(Bittrex!C459="Sale",Bittrex!E459,IF(AND(Bittrex!C459="Trade",'Bittrex Data'!C459="Limit_Sell"),Bittrex!E459,IF(AND(Bittrex!C459="Trade",'Bittrex Data'!C459="Limit_Buy"),Bittrex!D459,"")))))</f>
        <v/>
      </c>
      <c r="I459" t="str">
        <f>IF('Bittrex Data'!C459="","",IF(Bittrex!C459="Buy",F459,IF(C459="Sale",Bittrex!G459,IF(AND(C459="Trade",'Bittrex Data'!C459="Limit_Sell"),Bittrex!G459,IF(AND(Bittrex!C459="Trade",'Bittrex Data'!C459="Limit_Buy"),F459,"")))))</f>
        <v/>
      </c>
      <c r="J459" t="str">
        <f>IF('Bittrex Data'!B459="","",IF('Bittrex Data'!B459="","",IF(Bittrex!H459=Bittrex!E459,D459,Bittrex!E459)))</f>
        <v/>
      </c>
      <c r="K459" t="str">
        <f>IF('Bittrex Data'!B459="","",IF(Bittrex!I459=Bittrex!G459,Bittrex!F459,Bittrex!G459))</f>
        <v/>
      </c>
    </row>
    <row r="460" spans="3:11" x14ac:dyDescent="0.2">
      <c r="C460" t="str">
        <f>IF('Bittrex Data'!A460="","",IF(AND('Bittrex Data'!C460="LIMIT_SELL",Bittrex!D460="USD"),"Sale",IF(AND('Bittrex Data'!C460="LIMIT_BUY",Bittrex!D460="USD"),"Buy","Trade")))</f>
        <v/>
      </c>
      <c r="D460" t="str">
        <f>IF('Bittrex Data'!B460="","",LEFT(LEFT('Bittrex Data'!B460,SEARCH("-",'Bittrex Data'!B460,1)),LEN(LEFT('Bittrex Data'!B460,SEARCH("-",'Bittrex Data'!B460,1)))-1))</f>
        <v/>
      </c>
      <c r="E460" t="str">
        <f>IF('Bittrex Data'!B460="","",RIGHT(RIGHT('Bittrex Data'!B460,LEN('Bittrex Data'!B460)-SEARCH("-",'Bittrex Data'!B460,1)+1),LEN(RIGHT('Bittrex Data'!B460,LEN('Bittrex Data'!B460)-SEARCH("-",'Bittrex Data'!B460,1)+1))-1))</f>
        <v/>
      </c>
      <c r="F460" t="str">
        <f>IF('Bittrex Data'!C460="","",IF('Bittrex Data'!C460="Limit_Sell",'Bittrex Data'!G460-'Bittrex Data'!F460,IF('Bittrex Data'!C460="Limit_Buy",'Bittrex Data'!G460+'Bittrex Data'!F460,"")))</f>
        <v/>
      </c>
      <c r="G460" t="str">
        <f>IF('Bittrex Data'!B460="","",'Bittrex Data'!D460)</f>
        <v/>
      </c>
      <c r="H460" t="str">
        <f>IF('Bittrex Data'!C460="","",IF(Bittrex!C460="Buy",Bittrex!D460,IF(Bittrex!C460="Sale",Bittrex!E460,IF(AND(Bittrex!C460="Trade",'Bittrex Data'!C460="Limit_Sell"),Bittrex!E460,IF(AND(Bittrex!C460="Trade",'Bittrex Data'!C460="Limit_Buy"),Bittrex!D460,"")))))</f>
        <v/>
      </c>
      <c r="I460" t="str">
        <f>IF('Bittrex Data'!C460="","",IF(Bittrex!C460="Buy",F460,IF(C460="Sale",Bittrex!G460,IF(AND(C460="Trade",'Bittrex Data'!C460="Limit_Sell"),Bittrex!G460,IF(AND(Bittrex!C460="Trade",'Bittrex Data'!C460="Limit_Buy"),F460,"")))))</f>
        <v/>
      </c>
      <c r="J460" t="str">
        <f>IF('Bittrex Data'!B460="","",IF('Bittrex Data'!B460="","",IF(Bittrex!H460=Bittrex!E460,D460,Bittrex!E460)))</f>
        <v/>
      </c>
      <c r="K460" t="str">
        <f>IF('Bittrex Data'!B460="","",IF(Bittrex!I460=Bittrex!G460,Bittrex!F460,Bittrex!G460))</f>
        <v/>
      </c>
    </row>
    <row r="461" spans="3:11" x14ac:dyDescent="0.2">
      <c r="C461" t="str">
        <f>IF('Bittrex Data'!A461="","",IF(AND('Bittrex Data'!C461="LIMIT_SELL",Bittrex!D461="USD"),"Sale",IF(AND('Bittrex Data'!C461="LIMIT_BUY",Bittrex!D461="USD"),"Buy","Trade")))</f>
        <v/>
      </c>
      <c r="D461" t="str">
        <f>IF('Bittrex Data'!B461="","",LEFT(LEFT('Bittrex Data'!B461,SEARCH("-",'Bittrex Data'!B461,1)),LEN(LEFT('Bittrex Data'!B461,SEARCH("-",'Bittrex Data'!B461,1)))-1))</f>
        <v/>
      </c>
      <c r="E461" t="str">
        <f>IF('Bittrex Data'!B461="","",RIGHT(RIGHT('Bittrex Data'!B461,LEN('Bittrex Data'!B461)-SEARCH("-",'Bittrex Data'!B461,1)+1),LEN(RIGHT('Bittrex Data'!B461,LEN('Bittrex Data'!B461)-SEARCH("-",'Bittrex Data'!B461,1)+1))-1))</f>
        <v/>
      </c>
      <c r="F461" t="str">
        <f>IF('Bittrex Data'!C461="","",IF('Bittrex Data'!C461="Limit_Sell",'Bittrex Data'!G461-'Bittrex Data'!F461,IF('Bittrex Data'!C461="Limit_Buy",'Bittrex Data'!G461+'Bittrex Data'!F461,"")))</f>
        <v/>
      </c>
      <c r="G461" t="str">
        <f>IF('Bittrex Data'!B461="","",'Bittrex Data'!D461)</f>
        <v/>
      </c>
      <c r="H461" t="str">
        <f>IF('Bittrex Data'!C461="","",IF(Bittrex!C461="Buy",Bittrex!D461,IF(Bittrex!C461="Sale",Bittrex!E461,IF(AND(Bittrex!C461="Trade",'Bittrex Data'!C461="Limit_Sell"),Bittrex!E461,IF(AND(Bittrex!C461="Trade",'Bittrex Data'!C461="Limit_Buy"),Bittrex!D461,"")))))</f>
        <v/>
      </c>
      <c r="I461" t="str">
        <f>IF('Bittrex Data'!C461="","",IF(Bittrex!C461="Buy",F461,IF(C461="Sale",Bittrex!G461,IF(AND(C461="Trade",'Bittrex Data'!C461="Limit_Sell"),Bittrex!G461,IF(AND(Bittrex!C461="Trade",'Bittrex Data'!C461="Limit_Buy"),F461,"")))))</f>
        <v/>
      </c>
      <c r="J461" t="str">
        <f>IF('Bittrex Data'!B461="","",IF('Bittrex Data'!B461="","",IF(Bittrex!H461=Bittrex!E461,D461,Bittrex!E461)))</f>
        <v/>
      </c>
      <c r="K461" t="str">
        <f>IF('Bittrex Data'!B461="","",IF(Bittrex!I461=Bittrex!G461,Bittrex!F461,Bittrex!G461))</f>
        <v/>
      </c>
    </row>
    <row r="462" spans="3:11" x14ac:dyDescent="0.2">
      <c r="C462" t="str">
        <f>IF('Bittrex Data'!A462="","",IF(AND('Bittrex Data'!C462="LIMIT_SELL",Bittrex!D462="USD"),"Sale",IF(AND('Bittrex Data'!C462="LIMIT_BUY",Bittrex!D462="USD"),"Buy","Trade")))</f>
        <v/>
      </c>
      <c r="D462" t="str">
        <f>IF('Bittrex Data'!B462="","",LEFT(LEFT('Bittrex Data'!B462,SEARCH("-",'Bittrex Data'!B462,1)),LEN(LEFT('Bittrex Data'!B462,SEARCH("-",'Bittrex Data'!B462,1)))-1))</f>
        <v/>
      </c>
      <c r="E462" t="str">
        <f>IF('Bittrex Data'!B462="","",RIGHT(RIGHT('Bittrex Data'!B462,LEN('Bittrex Data'!B462)-SEARCH("-",'Bittrex Data'!B462,1)+1),LEN(RIGHT('Bittrex Data'!B462,LEN('Bittrex Data'!B462)-SEARCH("-",'Bittrex Data'!B462,1)+1))-1))</f>
        <v/>
      </c>
      <c r="F462" t="str">
        <f>IF('Bittrex Data'!C462="","",IF('Bittrex Data'!C462="Limit_Sell",'Bittrex Data'!G462-'Bittrex Data'!F462,IF('Bittrex Data'!C462="Limit_Buy",'Bittrex Data'!G462+'Bittrex Data'!F462,"")))</f>
        <v/>
      </c>
      <c r="G462" t="str">
        <f>IF('Bittrex Data'!B462="","",'Bittrex Data'!D462)</f>
        <v/>
      </c>
      <c r="H462" t="str">
        <f>IF('Bittrex Data'!C462="","",IF(Bittrex!C462="Buy",Bittrex!D462,IF(Bittrex!C462="Sale",Bittrex!E462,IF(AND(Bittrex!C462="Trade",'Bittrex Data'!C462="Limit_Sell"),Bittrex!E462,IF(AND(Bittrex!C462="Trade",'Bittrex Data'!C462="Limit_Buy"),Bittrex!D462,"")))))</f>
        <v/>
      </c>
      <c r="I462" t="str">
        <f>IF('Bittrex Data'!C462="","",IF(Bittrex!C462="Buy",F462,IF(C462="Sale",Bittrex!G462,IF(AND(C462="Trade",'Bittrex Data'!C462="Limit_Sell"),Bittrex!G462,IF(AND(Bittrex!C462="Trade",'Bittrex Data'!C462="Limit_Buy"),F462,"")))))</f>
        <v/>
      </c>
      <c r="J462" t="str">
        <f>IF('Bittrex Data'!B462="","",IF('Bittrex Data'!B462="","",IF(Bittrex!H462=Bittrex!E462,D462,Bittrex!E462)))</f>
        <v/>
      </c>
      <c r="K462" t="str">
        <f>IF('Bittrex Data'!B462="","",IF(Bittrex!I462=Bittrex!G462,Bittrex!F462,Bittrex!G462))</f>
        <v/>
      </c>
    </row>
    <row r="463" spans="3:11" x14ac:dyDescent="0.2">
      <c r="C463" t="str">
        <f>IF('Bittrex Data'!A463="","",IF(AND('Bittrex Data'!C463="LIMIT_SELL",Bittrex!D463="USD"),"Sale",IF(AND('Bittrex Data'!C463="LIMIT_BUY",Bittrex!D463="USD"),"Buy","Trade")))</f>
        <v/>
      </c>
      <c r="D463" t="str">
        <f>IF('Bittrex Data'!B463="","",LEFT(LEFT('Bittrex Data'!B463,SEARCH("-",'Bittrex Data'!B463,1)),LEN(LEFT('Bittrex Data'!B463,SEARCH("-",'Bittrex Data'!B463,1)))-1))</f>
        <v/>
      </c>
      <c r="E463" t="str">
        <f>IF('Bittrex Data'!B463="","",RIGHT(RIGHT('Bittrex Data'!B463,LEN('Bittrex Data'!B463)-SEARCH("-",'Bittrex Data'!B463,1)+1),LEN(RIGHT('Bittrex Data'!B463,LEN('Bittrex Data'!B463)-SEARCH("-",'Bittrex Data'!B463,1)+1))-1))</f>
        <v/>
      </c>
      <c r="F463" t="str">
        <f>IF('Bittrex Data'!C463="","",IF('Bittrex Data'!C463="Limit_Sell",'Bittrex Data'!G463-'Bittrex Data'!F463,IF('Bittrex Data'!C463="Limit_Buy",'Bittrex Data'!G463+'Bittrex Data'!F463,"")))</f>
        <v/>
      </c>
      <c r="G463" t="str">
        <f>IF('Bittrex Data'!B463="","",'Bittrex Data'!D463)</f>
        <v/>
      </c>
      <c r="H463" t="str">
        <f>IF('Bittrex Data'!C463="","",IF(Bittrex!C463="Buy",Bittrex!D463,IF(Bittrex!C463="Sale",Bittrex!E463,IF(AND(Bittrex!C463="Trade",'Bittrex Data'!C463="Limit_Sell"),Bittrex!E463,IF(AND(Bittrex!C463="Trade",'Bittrex Data'!C463="Limit_Buy"),Bittrex!D463,"")))))</f>
        <v/>
      </c>
      <c r="I463" t="str">
        <f>IF('Bittrex Data'!C463="","",IF(Bittrex!C463="Buy",F463,IF(C463="Sale",Bittrex!G463,IF(AND(C463="Trade",'Bittrex Data'!C463="Limit_Sell"),Bittrex!G463,IF(AND(Bittrex!C463="Trade",'Bittrex Data'!C463="Limit_Buy"),F463,"")))))</f>
        <v/>
      </c>
      <c r="J463" t="str">
        <f>IF('Bittrex Data'!B463="","",IF('Bittrex Data'!B463="","",IF(Bittrex!H463=Bittrex!E463,D463,Bittrex!E463)))</f>
        <v/>
      </c>
      <c r="K463" t="str">
        <f>IF('Bittrex Data'!B463="","",IF(Bittrex!I463=Bittrex!G463,Bittrex!F463,Bittrex!G463))</f>
        <v/>
      </c>
    </row>
    <row r="464" spans="3:11" x14ac:dyDescent="0.2">
      <c r="C464" t="str">
        <f>IF('Bittrex Data'!A464="","",IF(AND('Bittrex Data'!C464="LIMIT_SELL",Bittrex!D464="USD"),"Sale",IF(AND('Bittrex Data'!C464="LIMIT_BUY",Bittrex!D464="USD"),"Buy","Trade")))</f>
        <v/>
      </c>
      <c r="D464" t="str">
        <f>IF('Bittrex Data'!B464="","",LEFT(LEFT('Bittrex Data'!B464,SEARCH("-",'Bittrex Data'!B464,1)),LEN(LEFT('Bittrex Data'!B464,SEARCH("-",'Bittrex Data'!B464,1)))-1))</f>
        <v/>
      </c>
      <c r="E464" t="str">
        <f>IF('Bittrex Data'!B464="","",RIGHT(RIGHT('Bittrex Data'!B464,LEN('Bittrex Data'!B464)-SEARCH("-",'Bittrex Data'!B464,1)+1),LEN(RIGHT('Bittrex Data'!B464,LEN('Bittrex Data'!B464)-SEARCH("-",'Bittrex Data'!B464,1)+1))-1))</f>
        <v/>
      </c>
      <c r="F464" t="str">
        <f>IF('Bittrex Data'!C464="","",IF('Bittrex Data'!C464="Limit_Sell",'Bittrex Data'!G464-'Bittrex Data'!F464,IF('Bittrex Data'!C464="Limit_Buy",'Bittrex Data'!G464+'Bittrex Data'!F464,"")))</f>
        <v/>
      </c>
      <c r="G464" t="str">
        <f>IF('Bittrex Data'!B464="","",'Bittrex Data'!D464)</f>
        <v/>
      </c>
      <c r="H464" t="str">
        <f>IF('Bittrex Data'!C464="","",IF(Bittrex!C464="Buy",Bittrex!D464,IF(Bittrex!C464="Sale",Bittrex!E464,IF(AND(Bittrex!C464="Trade",'Bittrex Data'!C464="Limit_Sell"),Bittrex!E464,IF(AND(Bittrex!C464="Trade",'Bittrex Data'!C464="Limit_Buy"),Bittrex!D464,"")))))</f>
        <v/>
      </c>
      <c r="I464" t="str">
        <f>IF('Bittrex Data'!C464="","",IF(Bittrex!C464="Buy",F464,IF(C464="Sale",Bittrex!G464,IF(AND(C464="Trade",'Bittrex Data'!C464="Limit_Sell"),Bittrex!G464,IF(AND(Bittrex!C464="Trade",'Bittrex Data'!C464="Limit_Buy"),F464,"")))))</f>
        <v/>
      </c>
      <c r="J464" t="str">
        <f>IF('Bittrex Data'!B464="","",IF('Bittrex Data'!B464="","",IF(Bittrex!H464=Bittrex!E464,D464,Bittrex!E464)))</f>
        <v/>
      </c>
      <c r="K464" t="str">
        <f>IF('Bittrex Data'!B464="","",IF(Bittrex!I464=Bittrex!G464,Bittrex!F464,Bittrex!G464))</f>
        <v/>
      </c>
    </row>
    <row r="465" spans="3:11" x14ac:dyDescent="0.2">
      <c r="C465" t="str">
        <f>IF('Bittrex Data'!A465="","",IF(AND('Bittrex Data'!C465="LIMIT_SELL",Bittrex!D465="USD"),"Sale",IF(AND('Bittrex Data'!C465="LIMIT_BUY",Bittrex!D465="USD"),"Buy","Trade")))</f>
        <v/>
      </c>
      <c r="D465" t="str">
        <f>IF('Bittrex Data'!B465="","",LEFT(LEFT('Bittrex Data'!B465,SEARCH("-",'Bittrex Data'!B465,1)),LEN(LEFT('Bittrex Data'!B465,SEARCH("-",'Bittrex Data'!B465,1)))-1))</f>
        <v/>
      </c>
      <c r="E465" t="str">
        <f>IF('Bittrex Data'!B465="","",RIGHT(RIGHT('Bittrex Data'!B465,LEN('Bittrex Data'!B465)-SEARCH("-",'Bittrex Data'!B465,1)+1),LEN(RIGHT('Bittrex Data'!B465,LEN('Bittrex Data'!B465)-SEARCH("-",'Bittrex Data'!B465,1)+1))-1))</f>
        <v/>
      </c>
      <c r="F465" t="str">
        <f>IF('Bittrex Data'!C465="","",IF('Bittrex Data'!C465="Limit_Sell",'Bittrex Data'!G465-'Bittrex Data'!F465,IF('Bittrex Data'!C465="Limit_Buy",'Bittrex Data'!G465+'Bittrex Data'!F465,"")))</f>
        <v/>
      </c>
      <c r="G465" t="str">
        <f>IF('Bittrex Data'!B465="","",'Bittrex Data'!D465)</f>
        <v/>
      </c>
      <c r="H465" t="str">
        <f>IF('Bittrex Data'!C465="","",IF(Bittrex!C465="Buy",Bittrex!D465,IF(Bittrex!C465="Sale",Bittrex!E465,IF(AND(Bittrex!C465="Trade",'Bittrex Data'!C465="Limit_Sell"),Bittrex!E465,IF(AND(Bittrex!C465="Trade",'Bittrex Data'!C465="Limit_Buy"),Bittrex!D465,"")))))</f>
        <v/>
      </c>
      <c r="I465" t="str">
        <f>IF('Bittrex Data'!C465="","",IF(Bittrex!C465="Buy",F465,IF(C465="Sale",Bittrex!G465,IF(AND(C465="Trade",'Bittrex Data'!C465="Limit_Sell"),Bittrex!G465,IF(AND(Bittrex!C465="Trade",'Bittrex Data'!C465="Limit_Buy"),F465,"")))))</f>
        <v/>
      </c>
      <c r="J465" t="str">
        <f>IF('Bittrex Data'!B465="","",IF('Bittrex Data'!B465="","",IF(Bittrex!H465=Bittrex!E465,D465,Bittrex!E465)))</f>
        <v/>
      </c>
      <c r="K465" t="str">
        <f>IF('Bittrex Data'!B465="","",IF(Bittrex!I465=Bittrex!G465,Bittrex!F465,Bittrex!G465))</f>
        <v/>
      </c>
    </row>
    <row r="466" spans="3:11" x14ac:dyDescent="0.2">
      <c r="C466" t="str">
        <f>IF('Bittrex Data'!A466="","",IF(AND('Bittrex Data'!C466="LIMIT_SELL",Bittrex!D466="USD"),"Sale",IF(AND('Bittrex Data'!C466="LIMIT_BUY",Bittrex!D466="USD"),"Buy","Trade")))</f>
        <v/>
      </c>
      <c r="D466" t="str">
        <f>IF('Bittrex Data'!B466="","",LEFT(LEFT('Bittrex Data'!B466,SEARCH("-",'Bittrex Data'!B466,1)),LEN(LEFT('Bittrex Data'!B466,SEARCH("-",'Bittrex Data'!B466,1)))-1))</f>
        <v/>
      </c>
      <c r="E466" t="str">
        <f>IF('Bittrex Data'!B466="","",RIGHT(RIGHT('Bittrex Data'!B466,LEN('Bittrex Data'!B466)-SEARCH("-",'Bittrex Data'!B466,1)+1),LEN(RIGHT('Bittrex Data'!B466,LEN('Bittrex Data'!B466)-SEARCH("-",'Bittrex Data'!B466,1)+1))-1))</f>
        <v/>
      </c>
      <c r="F466" t="str">
        <f>IF('Bittrex Data'!C466="","",IF('Bittrex Data'!C466="Limit_Sell",'Bittrex Data'!G466-'Bittrex Data'!F466,IF('Bittrex Data'!C466="Limit_Buy",'Bittrex Data'!G466+'Bittrex Data'!F466,"")))</f>
        <v/>
      </c>
      <c r="G466" t="str">
        <f>IF('Bittrex Data'!B466="","",'Bittrex Data'!D466)</f>
        <v/>
      </c>
      <c r="H466" t="str">
        <f>IF('Bittrex Data'!C466="","",IF(Bittrex!C466="Buy",Bittrex!D466,IF(Bittrex!C466="Sale",Bittrex!E466,IF(AND(Bittrex!C466="Trade",'Bittrex Data'!C466="Limit_Sell"),Bittrex!E466,IF(AND(Bittrex!C466="Trade",'Bittrex Data'!C466="Limit_Buy"),Bittrex!D466,"")))))</f>
        <v/>
      </c>
      <c r="I466" t="str">
        <f>IF('Bittrex Data'!C466="","",IF(Bittrex!C466="Buy",F466,IF(C466="Sale",Bittrex!G466,IF(AND(C466="Trade",'Bittrex Data'!C466="Limit_Sell"),Bittrex!G466,IF(AND(Bittrex!C466="Trade",'Bittrex Data'!C466="Limit_Buy"),F466,"")))))</f>
        <v/>
      </c>
      <c r="J466" t="str">
        <f>IF('Bittrex Data'!B466="","",IF('Bittrex Data'!B466="","",IF(Bittrex!H466=Bittrex!E466,D466,Bittrex!E466)))</f>
        <v/>
      </c>
      <c r="K466" t="str">
        <f>IF('Bittrex Data'!B466="","",IF(Bittrex!I466=Bittrex!G466,Bittrex!F466,Bittrex!G466))</f>
        <v/>
      </c>
    </row>
    <row r="467" spans="3:11" x14ac:dyDescent="0.2">
      <c r="C467" t="str">
        <f>IF('Bittrex Data'!A467="","",IF(AND('Bittrex Data'!C467="LIMIT_SELL",Bittrex!D467="USD"),"Sale",IF(AND('Bittrex Data'!C467="LIMIT_BUY",Bittrex!D467="USD"),"Buy","Trade")))</f>
        <v/>
      </c>
      <c r="D467" t="str">
        <f>IF('Bittrex Data'!B467="","",LEFT(LEFT('Bittrex Data'!B467,SEARCH("-",'Bittrex Data'!B467,1)),LEN(LEFT('Bittrex Data'!B467,SEARCH("-",'Bittrex Data'!B467,1)))-1))</f>
        <v/>
      </c>
      <c r="E467" t="str">
        <f>IF('Bittrex Data'!B467="","",RIGHT(RIGHT('Bittrex Data'!B467,LEN('Bittrex Data'!B467)-SEARCH("-",'Bittrex Data'!B467,1)+1),LEN(RIGHT('Bittrex Data'!B467,LEN('Bittrex Data'!B467)-SEARCH("-",'Bittrex Data'!B467,1)+1))-1))</f>
        <v/>
      </c>
      <c r="F467" t="str">
        <f>IF('Bittrex Data'!C467="","",IF('Bittrex Data'!C467="Limit_Sell",'Bittrex Data'!G467-'Bittrex Data'!F467,IF('Bittrex Data'!C467="Limit_Buy",'Bittrex Data'!G467+'Bittrex Data'!F467,"")))</f>
        <v/>
      </c>
      <c r="G467" t="str">
        <f>IF('Bittrex Data'!B467="","",'Bittrex Data'!D467)</f>
        <v/>
      </c>
      <c r="H467" t="str">
        <f>IF('Bittrex Data'!C467="","",IF(Bittrex!C467="Buy",Bittrex!D467,IF(Bittrex!C467="Sale",Bittrex!E467,IF(AND(Bittrex!C467="Trade",'Bittrex Data'!C467="Limit_Sell"),Bittrex!E467,IF(AND(Bittrex!C467="Trade",'Bittrex Data'!C467="Limit_Buy"),Bittrex!D467,"")))))</f>
        <v/>
      </c>
      <c r="I467" t="str">
        <f>IF('Bittrex Data'!C467="","",IF(Bittrex!C467="Buy",F467,IF(C467="Sale",Bittrex!G467,IF(AND(C467="Trade",'Bittrex Data'!C467="Limit_Sell"),Bittrex!G467,IF(AND(Bittrex!C467="Trade",'Bittrex Data'!C467="Limit_Buy"),F467,"")))))</f>
        <v/>
      </c>
      <c r="J467" t="str">
        <f>IF('Bittrex Data'!B467="","",IF('Bittrex Data'!B467="","",IF(Bittrex!H467=Bittrex!E467,D467,Bittrex!E467)))</f>
        <v/>
      </c>
      <c r="K467" t="str">
        <f>IF('Bittrex Data'!B467="","",IF(Bittrex!I467=Bittrex!G467,Bittrex!F467,Bittrex!G467))</f>
        <v/>
      </c>
    </row>
    <row r="468" spans="3:11" x14ac:dyDescent="0.2">
      <c r="C468" t="str">
        <f>IF('Bittrex Data'!A468="","",IF(AND('Bittrex Data'!C468="LIMIT_SELL",Bittrex!D468="USD"),"Sale",IF(AND('Bittrex Data'!C468="LIMIT_BUY",Bittrex!D468="USD"),"Buy","Trade")))</f>
        <v/>
      </c>
      <c r="D468" t="str">
        <f>IF('Bittrex Data'!B468="","",LEFT(LEFT('Bittrex Data'!B468,SEARCH("-",'Bittrex Data'!B468,1)),LEN(LEFT('Bittrex Data'!B468,SEARCH("-",'Bittrex Data'!B468,1)))-1))</f>
        <v/>
      </c>
      <c r="E468" t="str">
        <f>IF('Bittrex Data'!B468="","",RIGHT(RIGHT('Bittrex Data'!B468,LEN('Bittrex Data'!B468)-SEARCH("-",'Bittrex Data'!B468,1)+1),LEN(RIGHT('Bittrex Data'!B468,LEN('Bittrex Data'!B468)-SEARCH("-",'Bittrex Data'!B468,1)+1))-1))</f>
        <v/>
      </c>
      <c r="F468" t="str">
        <f>IF('Bittrex Data'!C468="","",IF('Bittrex Data'!C468="Limit_Sell",'Bittrex Data'!G468-'Bittrex Data'!F468,IF('Bittrex Data'!C468="Limit_Buy",'Bittrex Data'!G468+'Bittrex Data'!F468,"")))</f>
        <v/>
      </c>
      <c r="G468" t="str">
        <f>IF('Bittrex Data'!B468="","",'Bittrex Data'!D468)</f>
        <v/>
      </c>
      <c r="H468" t="str">
        <f>IF('Bittrex Data'!C468="","",IF(Bittrex!C468="Buy",Bittrex!D468,IF(Bittrex!C468="Sale",Bittrex!E468,IF(AND(Bittrex!C468="Trade",'Bittrex Data'!C468="Limit_Sell"),Bittrex!E468,IF(AND(Bittrex!C468="Trade",'Bittrex Data'!C468="Limit_Buy"),Bittrex!D468,"")))))</f>
        <v/>
      </c>
      <c r="I468" t="str">
        <f>IF('Bittrex Data'!C468="","",IF(Bittrex!C468="Buy",F468,IF(C468="Sale",Bittrex!G468,IF(AND(C468="Trade",'Bittrex Data'!C468="Limit_Sell"),Bittrex!G468,IF(AND(Bittrex!C468="Trade",'Bittrex Data'!C468="Limit_Buy"),F468,"")))))</f>
        <v/>
      </c>
      <c r="J468" t="str">
        <f>IF('Bittrex Data'!B468="","",IF('Bittrex Data'!B468="","",IF(Bittrex!H468=Bittrex!E468,D468,Bittrex!E468)))</f>
        <v/>
      </c>
      <c r="K468" t="str">
        <f>IF('Bittrex Data'!B468="","",IF(Bittrex!I468=Bittrex!G468,Bittrex!F468,Bittrex!G468))</f>
        <v/>
      </c>
    </row>
    <row r="469" spans="3:11" x14ac:dyDescent="0.2">
      <c r="C469" t="str">
        <f>IF('Bittrex Data'!A469="","",IF(AND('Bittrex Data'!C469="LIMIT_SELL",Bittrex!D469="USD"),"Sale",IF(AND('Bittrex Data'!C469="LIMIT_BUY",Bittrex!D469="USD"),"Buy","Trade")))</f>
        <v/>
      </c>
      <c r="D469" t="str">
        <f>IF('Bittrex Data'!B469="","",LEFT(LEFT('Bittrex Data'!B469,SEARCH("-",'Bittrex Data'!B469,1)),LEN(LEFT('Bittrex Data'!B469,SEARCH("-",'Bittrex Data'!B469,1)))-1))</f>
        <v/>
      </c>
      <c r="E469" t="str">
        <f>IF('Bittrex Data'!B469="","",RIGHT(RIGHT('Bittrex Data'!B469,LEN('Bittrex Data'!B469)-SEARCH("-",'Bittrex Data'!B469,1)+1),LEN(RIGHT('Bittrex Data'!B469,LEN('Bittrex Data'!B469)-SEARCH("-",'Bittrex Data'!B469,1)+1))-1))</f>
        <v/>
      </c>
      <c r="F469" t="str">
        <f>IF('Bittrex Data'!C469="","",IF('Bittrex Data'!C469="Limit_Sell",'Bittrex Data'!G469-'Bittrex Data'!F469,IF('Bittrex Data'!C469="Limit_Buy",'Bittrex Data'!G469+'Bittrex Data'!F469,"")))</f>
        <v/>
      </c>
      <c r="G469" t="str">
        <f>IF('Bittrex Data'!B469="","",'Bittrex Data'!D469)</f>
        <v/>
      </c>
      <c r="H469" t="str">
        <f>IF('Bittrex Data'!C469="","",IF(Bittrex!C469="Buy",Bittrex!D469,IF(Bittrex!C469="Sale",Bittrex!E469,IF(AND(Bittrex!C469="Trade",'Bittrex Data'!C469="Limit_Sell"),Bittrex!E469,IF(AND(Bittrex!C469="Trade",'Bittrex Data'!C469="Limit_Buy"),Bittrex!D469,"")))))</f>
        <v/>
      </c>
      <c r="I469" t="str">
        <f>IF('Bittrex Data'!C469="","",IF(Bittrex!C469="Buy",F469,IF(C469="Sale",Bittrex!G469,IF(AND(C469="Trade",'Bittrex Data'!C469="Limit_Sell"),Bittrex!G469,IF(AND(Bittrex!C469="Trade",'Bittrex Data'!C469="Limit_Buy"),F469,"")))))</f>
        <v/>
      </c>
      <c r="J469" t="str">
        <f>IF('Bittrex Data'!B469="","",IF('Bittrex Data'!B469="","",IF(Bittrex!H469=Bittrex!E469,D469,Bittrex!E469)))</f>
        <v/>
      </c>
      <c r="K469" t="str">
        <f>IF('Bittrex Data'!B469="","",IF(Bittrex!I469=Bittrex!G469,Bittrex!F469,Bittrex!G469))</f>
        <v/>
      </c>
    </row>
    <row r="470" spans="3:11" x14ac:dyDescent="0.2">
      <c r="C470" t="str">
        <f>IF('Bittrex Data'!A470="","",IF(AND('Bittrex Data'!C470="LIMIT_SELL",Bittrex!D470="USD"),"Sale",IF(AND('Bittrex Data'!C470="LIMIT_BUY",Bittrex!D470="USD"),"Buy","Trade")))</f>
        <v/>
      </c>
      <c r="D470" t="str">
        <f>IF('Bittrex Data'!B470="","",LEFT(LEFT('Bittrex Data'!B470,SEARCH("-",'Bittrex Data'!B470,1)),LEN(LEFT('Bittrex Data'!B470,SEARCH("-",'Bittrex Data'!B470,1)))-1))</f>
        <v/>
      </c>
      <c r="E470" t="str">
        <f>IF('Bittrex Data'!B470="","",RIGHT(RIGHT('Bittrex Data'!B470,LEN('Bittrex Data'!B470)-SEARCH("-",'Bittrex Data'!B470,1)+1),LEN(RIGHT('Bittrex Data'!B470,LEN('Bittrex Data'!B470)-SEARCH("-",'Bittrex Data'!B470,1)+1))-1))</f>
        <v/>
      </c>
      <c r="F470" t="str">
        <f>IF('Bittrex Data'!C470="","",IF('Bittrex Data'!C470="Limit_Sell",'Bittrex Data'!G470-'Bittrex Data'!F470,IF('Bittrex Data'!C470="Limit_Buy",'Bittrex Data'!G470+'Bittrex Data'!F470,"")))</f>
        <v/>
      </c>
      <c r="G470" t="str">
        <f>IF('Bittrex Data'!B470="","",'Bittrex Data'!D470)</f>
        <v/>
      </c>
      <c r="H470" t="str">
        <f>IF('Bittrex Data'!C470="","",IF(Bittrex!C470="Buy",Bittrex!D470,IF(Bittrex!C470="Sale",Bittrex!E470,IF(AND(Bittrex!C470="Trade",'Bittrex Data'!C470="Limit_Sell"),Bittrex!E470,IF(AND(Bittrex!C470="Trade",'Bittrex Data'!C470="Limit_Buy"),Bittrex!D470,"")))))</f>
        <v/>
      </c>
      <c r="I470" t="str">
        <f>IF('Bittrex Data'!C470="","",IF(Bittrex!C470="Buy",F470,IF(C470="Sale",Bittrex!G470,IF(AND(C470="Trade",'Bittrex Data'!C470="Limit_Sell"),Bittrex!G470,IF(AND(Bittrex!C470="Trade",'Bittrex Data'!C470="Limit_Buy"),F470,"")))))</f>
        <v/>
      </c>
      <c r="J470" t="str">
        <f>IF('Bittrex Data'!B470="","",IF('Bittrex Data'!B470="","",IF(Bittrex!H470=Bittrex!E470,D470,Bittrex!E470)))</f>
        <v/>
      </c>
      <c r="K470" t="str">
        <f>IF('Bittrex Data'!B470="","",IF(Bittrex!I470=Bittrex!G470,Bittrex!F470,Bittrex!G470))</f>
        <v/>
      </c>
    </row>
    <row r="471" spans="3:11" x14ac:dyDescent="0.2">
      <c r="C471" t="str">
        <f>IF('Bittrex Data'!A471="","",IF(AND('Bittrex Data'!C471="LIMIT_SELL",Bittrex!D471="USD"),"Sale",IF(AND('Bittrex Data'!C471="LIMIT_BUY",Bittrex!D471="USD"),"Buy","Trade")))</f>
        <v/>
      </c>
      <c r="D471" t="str">
        <f>IF('Bittrex Data'!B471="","",LEFT(LEFT('Bittrex Data'!B471,SEARCH("-",'Bittrex Data'!B471,1)),LEN(LEFT('Bittrex Data'!B471,SEARCH("-",'Bittrex Data'!B471,1)))-1))</f>
        <v/>
      </c>
      <c r="E471" t="str">
        <f>IF('Bittrex Data'!B471="","",RIGHT(RIGHT('Bittrex Data'!B471,LEN('Bittrex Data'!B471)-SEARCH("-",'Bittrex Data'!B471,1)+1),LEN(RIGHT('Bittrex Data'!B471,LEN('Bittrex Data'!B471)-SEARCH("-",'Bittrex Data'!B471,1)+1))-1))</f>
        <v/>
      </c>
      <c r="F471" t="str">
        <f>IF('Bittrex Data'!C471="","",IF('Bittrex Data'!C471="Limit_Sell",'Bittrex Data'!G471-'Bittrex Data'!F471,IF('Bittrex Data'!C471="Limit_Buy",'Bittrex Data'!G471+'Bittrex Data'!F471,"")))</f>
        <v/>
      </c>
      <c r="G471" t="str">
        <f>IF('Bittrex Data'!B471="","",'Bittrex Data'!D471)</f>
        <v/>
      </c>
      <c r="H471" t="str">
        <f>IF('Bittrex Data'!C471="","",IF(Bittrex!C471="Buy",Bittrex!D471,IF(Bittrex!C471="Sale",Bittrex!E471,IF(AND(Bittrex!C471="Trade",'Bittrex Data'!C471="Limit_Sell"),Bittrex!E471,IF(AND(Bittrex!C471="Trade",'Bittrex Data'!C471="Limit_Buy"),Bittrex!D471,"")))))</f>
        <v/>
      </c>
      <c r="I471" t="str">
        <f>IF('Bittrex Data'!C471="","",IF(Bittrex!C471="Buy",F471,IF(C471="Sale",Bittrex!G471,IF(AND(C471="Trade",'Bittrex Data'!C471="Limit_Sell"),Bittrex!G471,IF(AND(Bittrex!C471="Trade",'Bittrex Data'!C471="Limit_Buy"),F471,"")))))</f>
        <v/>
      </c>
      <c r="J471" t="str">
        <f>IF('Bittrex Data'!B471="","",IF('Bittrex Data'!B471="","",IF(Bittrex!H471=Bittrex!E471,D471,Bittrex!E471)))</f>
        <v/>
      </c>
      <c r="K471" t="str">
        <f>IF('Bittrex Data'!B471="","",IF(Bittrex!I471=Bittrex!G471,Bittrex!F471,Bittrex!G471))</f>
        <v/>
      </c>
    </row>
    <row r="472" spans="3:11" x14ac:dyDescent="0.2">
      <c r="C472" t="str">
        <f>IF('Bittrex Data'!A472="","",IF(AND('Bittrex Data'!C472="LIMIT_SELL",Bittrex!D472="USD"),"Sale",IF(AND('Bittrex Data'!C472="LIMIT_BUY",Bittrex!D472="USD"),"Buy","Trade")))</f>
        <v/>
      </c>
      <c r="D472" t="str">
        <f>IF('Bittrex Data'!B472="","",LEFT(LEFT('Bittrex Data'!B472,SEARCH("-",'Bittrex Data'!B472,1)),LEN(LEFT('Bittrex Data'!B472,SEARCH("-",'Bittrex Data'!B472,1)))-1))</f>
        <v/>
      </c>
      <c r="E472" t="str">
        <f>IF('Bittrex Data'!B472="","",RIGHT(RIGHT('Bittrex Data'!B472,LEN('Bittrex Data'!B472)-SEARCH("-",'Bittrex Data'!B472,1)+1),LEN(RIGHT('Bittrex Data'!B472,LEN('Bittrex Data'!B472)-SEARCH("-",'Bittrex Data'!B472,1)+1))-1))</f>
        <v/>
      </c>
      <c r="F472" t="str">
        <f>IF('Bittrex Data'!C472="","",IF('Bittrex Data'!C472="Limit_Sell",'Bittrex Data'!G472-'Bittrex Data'!F472,IF('Bittrex Data'!C472="Limit_Buy",'Bittrex Data'!G472+'Bittrex Data'!F472,"")))</f>
        <v/>
      </c>
      <c r="G472" t="str">
        <f>IF('Bittrex Data'!B472="","",'Bittrex Data'!D472)</f>
        <v/>
      </c>
      <c r="H472" t="str">
        <f>IF('Bittrex Data'!C472="","",IF(Bittrex!C472="Buy",Bittrex!D472,IF(Bittrex!C472="Sale",Bittrex!E472,IF(AND(Bittrex!C472="Trade",'Bittrex Data'!C472="Limit_Sell"),Bittrex!E472,IF(AND(Bittrex!C472="Trade",'Bittrex Data'!C472="Limit_Buy"),Bittrex!D472,"")))))</f>
        <v/>
      </c>
      <c r="I472" t="str">
        <f>IF('Bittrex Data'!C472="","",IF(Bittrex!C472="Buy",F472,IF(C472="Sale",Bittrex!G472,IF(AND(C472="Trade",'Bittrex Data'!C472="Limit_Sell"),Bittrex!G472,IF(AND(Bittrex!C472="Trade",'Bittrex Data'!C472="Limit_Buy"),F472,"")))))</f>
        <v/>
      </c>
      <c r="J472" t="str">
        <f>IF('Bittrex Data'!B472="","",IF('Bittrex Data'!B472="","",IF(Bittrex!H472=Bittrex!E472,D472,Bittrex!E472)))</f>
        <v/>
      </c>
      <c r="K472" t="str">
        <f>IF('Bittrex Data'!B472="","",IF(Bittrex!I472=Bittrex!G472,Bittrex!F472,Bittrex!G472))</f>
        <v/>
      </c>
    </row>
    <row r="473" spans="3:11" x14ac:dyDescent="0.2">
      <c r="C473" t="str">
        <f>IF('Bittrex Data'!A473="","",IF(AND('Bittrex Data'!C473="LIMIT_SELL",Bittrex!D473="USD"),"Sale",IF(AND('Bittrex Data'!C473="LIMIT_BUY",Bittrex!D473="USD"),"Buy","Trade")))</f>
        <v/>
      </c>
      <c r="D473" t="str">
        <f>IF('Bittrex Data'!B473="","",LEFT(LEFT('Bittrex Data'!B473,SEARCH("-",'Bittrex Data'!B473,1)),LEN(LEFT('Bittrex Data'!B473,SEARCH("-",'Bittrex Data'!B473,1)))-1))</f>
        <v/>
      </c>
      <c r="E473" t="str">
        <f>IF('Bittrex Data'!B473="","",RIGHT(RIGHT('Bittrex Data'!B473,LEN('Bittrex Data'!B473)-SEARCH("-",'Bittrex Data'!B473,1)+1),LEN(RIGHT('Bittrex Data'!B473,LEN('Bittrex Data'!B473)-SEARCH("-",'Bittrex Data'!B473,1)+1))-1))</f>
        <v/>
      </c>
      <c r="F473" t="str">
        <f>IF('Bittrex Data'!C473="","",IF('Bittrex Data'!C473="Limit_Sell",'Bittrex Data'!G473-'Bittrex Data'!F473,IF('Bittrex Data'!C473="Limit_Buy",'Bittrex Data'!G473+'Bittrex Data'!F473,"")))</f>
        <v/>
      </c>
      <c r="G473" t="str">
        <f>IF('Bittrex Data'!B473="","",'Bittrex Data'!D473)</f>
        <v/>
      </c>
      <c r="H473" t="str">
        <f>IF('Bittrex Data'!C473="","",IF(Bittrex!C473="Buy",Bittrex!D473,IF(Bittrex!C473="Sale",Bittrex!E473,IF(AND(Bittrex!C473="Trade",'Bittrex Data'!C473="Limit_Sell"),Bittrex!E473,IF(AND(Bittrex!C473="Trade",'Bittrex Data'!C473="Limit_Buy"),Bittrex!D473,"")))))</f>
        <v/>
      </c>
      <c r="I473" t="str">
        <f>IF('Bittrex Data'!C473="","",IF(Bittrex!C473="Buy",F473,IF(C473="Sale",Bittrex!G473,IF(AND(C473="Trade",'Bittrex Data'!C473="Limit_Sell"),Bittrex!G473,IF(AND(Bittrex!C473="Trade",'Bittrex Data'!C473="Limit_Buy"),F473,"")))))</f>
        <v/>
      </c>
      <c r="J473" t="str">
        <f>IF('Bittrex Data'!B473="","",IF('Bittrex Data'!B473="","",IF(Bittrex!H473=Bittrex!E473,D473,Bittrex!E473)))</f>
        <v/>
      </c>
      <c r="K473" t="str">
        <f>IF('Bittrex Data'!B473="","",IF(Bittrex!I473=Bittrex!G473,Bittrex!F473,Bittrex!G473))</f>
        <v/>
      </c>
    </row>
    <row r="474" spans="3:11" x14ac:dyDescent="0.2">
      <c r="C474" t="str">
        <f>IF('Bittrex Data'!A474="","",IF(AND('Bittrex Data'!C474="LIMIT_SELL",Bittrex!D474="USD"),"Sale",IF(AND('Bittrex Data'!C474="LIMIT_BUY",Bittrex!D474="USD"),"Buy","Trade")))</f>
        <v/>
      </c>
      <c r="D474" t="str">
        <f>IF('Bittrex Data'!B474="","",LEFT(LEFT('Bittrex Data'!B474,SEARCH("-",'Bittrex Data'!B474,1)),LEN(LEFT('Bittrex Data'!B474,SEARCH("-",'Bittrex Data'!B474,1)))-1))</f>
        <v/>
      </c>
      <c r="E474" t="str">
        <f>IF('Bittrex Data'!B474="","",RIGHT(RIGHT('Bittrex Data'!B474,LEN('Bittrex Data'!B474)-SEARCH("-",'Bittrex Data'!B474,1)+1),LEN(RIGHT('Bittrex Data'!B474,LEN('Bittrex Data'!B474)-SEARCH("-",'Bittrex Data'!B474,1)+1))-1))</f>
        <v/>
      </c>
      <c r="F474" t="str">
        <f>IF('Bittrex Data'!C474="","",IF('Bittrex Data'!C474="Limit_Sell",'Bittrex Data'!G474-'Bittrex Data'!F474,IF('Bittrex Data'!C474="Limit_Buy",'Bittrex Data'!G474+'Bittrex Data'!F474,"")))</f>
        <v/>
      </c>
      <c r="G474" t="str">
        <f>IF('Bittrex Data'!B474="","",'Bittrex Data'!D474)</f>
        <v/>
      </c>
      <c r="H474" t="str">
        <f>IF('Bittrex Data'!C474="","",IF(Bittrex!C474="Buy",Bittrex!D474,IF(Bittrex!C474="Sale",Bittrex!E474,IF(AND(Bittrex!C474="Trade",'Bittrex Data'!C474="Limit_Sell"),Bittrex!E474,IF(AND(Bittrex!C474="Trade",'Bittrex Data'!C474="Limit_Buy"),Bittrex!D474,"")))))</f>
        <v/>
      </c>
      <c r="I474" t="str">
        <f>IF('Bittrex Data'!C474="","",IF(Bittrex!C474="Buy",F474,IF(C474="Sale",Bittrex!G474,IF(AND(C474="Trade",'Bittrex Data'!C474="Limit_Sell"),Bittrex!G474,IF(AND(Bittrex!C474="Trade",'Bittrex Data'!C474="Limit_Buy"),F474,"")))))</f>
        <v/>
      </c>
      <c r="J474" t="str">
        <f>IF('Bittrex Data'!B474="","",IF('Bittrex Data'!B474="","",IF(Bittrex!H474=Bittrex!E474,D474,Bittrex!E474)))</f>
        <v/>
      </c>
      <c r="K474" t="str">
        <f>IF('Bittrex Data'!B474="","",IF(Bittrex!I474=Bittrex!G474,Bittrex!F474,Bittrex!G474))</f>
        <v/>
      </c>
    </row>
    <row r="475" spans="3:11" x14ac:dyDescent="0.2">
      <c r="C475" t="str">
        <f>IF('Bittrex Data'!A475="","",IF(AND('Bittrex Data'!C475="LIMIT_SELL",Bittrex!D475="USD"),"Sale",IF(AND('Bittrex Data'!C475="LIMIT_BUY",Bittrex!D475="USD"),"Buy","Trade")))</f>
        <v/>
      </c>
      <c r="D475" t="str">
        <f>IF('Bittrex Data'!B475="","",LEFT(LEFT('Bittrex Data'!B475,SEARCH("-",'Bittrex Data'!B475,1)),LEN(LEFT('Bittrex Data'!B475,SEARCH("-",'Bittrex Data'!B475,1)))-1))</f>
        <v/>
      </c>
      <c r="E475" t="str">
        <f>IF('Bittrex Data'!B475="","",RIGHT(RIGHT('Bittrex Data'!B475,LEN('Bittrex Data'!B475)-SEARCH("-",'Bittrex Data'!B475,1)+1),LEN(RIGHT('Bittrex Data'!B475,LEN('Bittrex Data'!B475)-SEARCH("-",'Bittrex Data'!B475,1)+1))-1))</f>
        <v/>
      </c>
      <c r="F475" t="str">
        <f>IF('Bittrex Data'!C475="","",IF('Bittrex Data'!C475="Limit_Sell",'Bittrex Data'!G475-'Bittrex Data'!F475,IF('Bittrex Data'!C475="Limit_Buy",'Bittrex Data'!G475+'Bittrex Data'!F475,"")))</f>
        <v/>
      </c>
      <c r="G475" t="str">
        <f>IF('Bittrex Data'!B475="","",'Bittrex Data'!D475)</f>
        <v/>
      </c>
      <c r="H475" t="str">
        <f>IF('Bittrex Data'!C475="","",IF(Bittrex!C475="Buy",Bittrex!D475,IF(Bittrex!C475="Sale",Bittrex!E475,IF(AND(Bittrex!C475="Trade",'Bittrex Data'!C475="Limit_Sell"),Bittrex!E475,IF(AND(Bittrex!C475="Trade",'Bittrex Data'!C475="Limit_Buy"),Bittrex!D475,"")))))</f>
        <v/>
      </c>
      <c r="I475" t="str">
        <f>IF('Bittrex Data'!C475="","",IF(Bittrex!C475="Buy",F475,IF(C475="Sale",Bittrex!G475,IF(AND(C475="Trade",'Bittrex Data'!C475="Limit_Sell"),Bittrex!G475,IF(AND(Bittrex!C475="Trade",'Bittrex Data'!C475="Limit_Buy"),F475,"")))))</f>
        <v/>
      </c>
      <c r="J475" t="str">
        <f>IF('Bittrex Data'!B475="","",IF('Bittrex Data'!B475="","",IF(Bittrex!H475=Bittrex!E475,D475,Bittrex!E475)))</f>
        <v/>
      </c>
      <c r="K475" t="str">
        <f>IF('Bittrex Data'!B475="","",IF(Bittrex!I475=Bittrex!G475,Bittrex!F475,Bittrex!G475))</f>
        <v/>
      </c>
    </row>
    <row r="476" spans="3:11" x14ac:dyDescent="0.2">
      <c r="C476" t="str">
        <f>IF('Bittrex Data'!A476="","",IF(AND('Bittrex Data'!C476="LIMIT_SELL",Bittrex!D476="USD"),"Sale",IF(AND('Bittrex Data'!C476="LIMIT_BUY",Bittrex!D476="USD"),"Buy","Trade")))</f>
        <v/>
      </c>
      <c r="D476" t="str">
        <f>IF('Bittrex Data'!B476="","",LEFT(LEFT('Bittrex Data'!B476,SEARCH("-",'Bittrex Data'!B476,1)),LEN(LEFT('Bittrex Data'!B476,SEARCH("-",'Bittrex Data'!B476,1)))-1))</f>
        <v/>
      </c>
      <c r="E476" t="str">
        <f>IF('Bittrex Data'!B476="","",RIGHT(RIGHT('Bittrex Data'!B476,LEN('Bittrex Data'!B476)-SEARCH("-",'Bittrex Data'!B476,1)+1),LEN(RIGHT('Bittrex Data'!B476,LEN('Bittrex Data'!B476)-SEARCH("-",'Bittrex Data'!B476,1)+1))-1))</f>
        <v/>
      </c>
      <c r="F476" t="str">
        <f>IF('Bittrex Data'!C476="","",IF('Bittrex Data'!C476="Limit_Sell",'Bittrex Data'!G476-'Bittrex Data'!F476,IF('Bittrex Data'!C476="Limit_Buy",'Bittrex Data'!G476+'Bittrex Data'!F476,"")))</f>
        <v/>
      </c>
      <c r="G476" t="str">
        <f>IF('Bittrex Data'!B476="","",'Bittrex Data'!D476)</f>
        <v/>
      </c>
      <c r="H476" t="str">
        <f>IF('Bittrex Data'!C476="","",IF(Bittrex!C476="Buy",Bittrex!D476,IF(Bittrex!C476="Sale",Bittrex!E476,IF(AND(Bittrex!C476="Trade",'Bittrex Data'!C476="Limit_Sell"),Bittrex!E476,IF(AND(Bittrex!C476="Trade",'Bittrex Data'!C476="Limit_Buy"),Bittrex!D476,"")))))</f>
        <v/>
      </c>
      <c r="I476" t="str">
        <f>IF('Bittrex Data'!C476="","",IF(Bittrex!C476="Buy",F476,IF(C476="Sale",Bittrex!G476,IF(AND(C476="Trade",'Bittrex Data'!C476="Limit_Sell"),Bittrex!G476,IF(AND(Bittrex!C476="Trade",'Bittrex Data'!C476="Limit_Buy"),F476,"")))))</f>
        <v/>
      </c>
      <c r="J476" t="str">
        <f>IF('Bittrex Data'!B476="","",IF('Bittrex Data'!B476="","",IF(Bittrex!H476=Bittrex!E476,D476,Bittrex!E476)))</f>
        <v/>
      </c>
      <c r="K476" t="str">
        <f>IF('Bittrex Data'!B476="","",IF(Bittrex!I476=Bittrex!G476,Bittrex!F476,Bittrex!G476))</f>
        <v/>
      </c>
    </row>
    <row r="477" spans="3:11" x14ac:dyDescent="0.2">
      <c r="C477" t="str">
        <f>IF('Bittrex Data'!A477="","",IF(AND('Bittrex Data'!C477="LIMIT_SELL",Bittrex!D477="USD"),"Sale",IF(AND('Bittrex Data'!C477="LIMIT_BUY",Bittrex!D477="USD"),"Buy","Trade")))</f>
        <v/>
      </c>
      <c r="D477" t="str">
        <f>IF('Bittrex Data'!B477="","",LEFT(LEFT('Bittrex Data'!B477,SEARCH("-",'Bittrex Data'!B477,1)),LEN(LEFT('Bittrex Data'!B477,SEARCH("-",'Bittrex Data'!B477,1)))-1))</f>
        <v/>
      </c>
      <c r="E477" t="str">
        <f>IF('Bittrex Data'!B477="","",RIGHT(RIGHT('Bittrex Data'!B477,LEN('Bittrex Data'!B477)-SEARCH("-",'Bittrex Data'!B477,1)+1),LEN(RIGHT('Bittrex Data'!B477,LEN('Bittrex Data'!B477)-SEARCH("-",'Bittrex Data'!B477,1)+1))-1))</f>
        <v/>
      </c>
      <c r="F477" t="str">
        <f>IF('Bittrex Data'!C477="","",IF('Bittrex Data'!C477="Limit_Sell",'Bittrex Data'!G477-'Bittrex Data'!F477,IF('Bittrex Data'!C477="Limit_Buy",'Bittrex Data'!G477+'Bittrex Data'!F477,"")))</f>
        <v/>
      </c>
      <c r="G477" t="str">
        <f>IF('Bittrex Data'!B477="","",'Bittrex Data'!D477)</f>
        <v/>
      </c>
      <c r="H477" t="str">
        <f>IF('Bittrex Data'!C477="","",IF(Bittrex!C477="Buy",Bittrex!D477,IF(Bittrex!C477="Sale",Bittrex!E477,IF(AND(Bittrex!C477="Trade",'Bittrex Data'!C477="Limit_Sell"),Bittrex!E477,IF(AND(Bittrex!C477="Trade",'Bittrex Data'!C477="Limit_Buy"),Bittrex!D477,"")))))</f>
        <v/>
      </c>
      <c r="I477" t="str">
        <f>IF('Bittrex Data'!C477="","",IF(Bittrex!C477="Buy",F477,IF(C477="Sale",Bittrex!G477,IF(AND(C477="Trade",'Bittrex Data'!C477="Limit_Sell"),Bittrex!G477,IF(AND(Bittrex!C477="Trade",'Bittrex Data'!C477="Limit_Buy"),F477,"")))))</f>
        <v/>
      </c>
      <c r="J477" t="str">
        <f>IF('Bittrex Data'!B477="","",IF('Bittrex Data'!B477="","",IF(Bittrex!H477=Bittrex!E477,D477,Bittrex!E477)))</f>
        <v/>
      </c>
      <c r="K477" t="str">
        <f>IF('Bittrex Data'!B477="","",IF(Bittrex!I477=Bittrex!G477,Bittrex!F477,Bittrex!G477))</f>
        <v/>
      </c>
    </row>
    <row r="478" spans="3:11" x14ac:dyDescent="0.2">
      <c r="C478" t="str">
        <f>IF('Bittrex Data'!A478="","",IF(AND('Bittrex Data'!C478="LIMIT_SELL",Bittrex!D478="USD"),"Sale",IF(AND('Bittrex Data'!C478="LIMIT_BUY",Bittrex!D478="USD"),"Buy","Trade")))</f>
        <v/>
      </c>
      <c r="D478" t="str">
        <f>IF('Bittrex Data'!B478="","",LEFT(LEFT('Bittrex Data'!B478,SEARCH("-",'Bittrex Data'!B478,1)),LEN(LEFT('Bittrex Data'!B478,SEARCH("-",'Bittrex Data'!B478,1)))-1))</f>
        <v/>
      </c>
      <c r="E478" t="str">
        <f>IF('Bittrex Data'!B478="","",RIGHT(RIGHT('Bittrex Data'!B478,LEN('Bittrex Data'!B478)-SEARCH("-",'Bittrex Data'!B478,1)+1),LEN(RIGHT('Bittrex Data'!B478,LEN('Bittrex Data'!B478)-SEARCH("-",'Bittrex Data'!B478,1)+1))-1))</f>
        <v/>
      </c>
      <c r="F478" t="str">
        <f>IF('Bittrex Data'!C478="","",IF('Bittrex Data'!C478="Limit_Sell",'Bittrex Data'!G478-'Bittrex Data'!F478,IF('Bittrex Data'!C478="Limit_Buy",'Bittrex Data'!G478+'Bittrex Data'!F478,"")))</f>
        <v/>
      </c>
      <c r="G478" t="str">
        <f>IF('Bittrex Data'!B478="","",'Bittrex Data'!D478)</f>
        <v/>
      </c>
      <c r="H478" t="str">
        <f>IF('Bittrex Data'!C478="","",IF(Bittrex!C478="Buy",Bittrex!D478,IF(Bittrex!C478="Sale",Bittrex!E478,IF(AND(Bittrex!C478="Trade",'Bittrex Data'!C478="Limit_Sell"),Bittrex!E478,IF(AND(Bittrex!C478="Trade",'Bittrex Data'!C478="Limit_Buy"),Bittrex!D478,"")))))</f>
        <v/>
      </c>
      <c r="I478" t="str">
        <f>IF('Bittrex Data'!C478="","",IF(Bittrex!C478="Buy",F478,IF(C478="Sale",Bittrex!G478,IF(AND(C478="Trade",'Bittrex Data'!C478="Limit_Sell"),Bittrex!G478,IF(AND(Bittrex!C478="Trade",'Bittrex Data'!C478="Limit_Buy"),F478,"")))))</f>
        <v/>
      </c>
      <c r="J478" t="str">
        <f>IF('Bittrex Data'!B478="","",IF('Bittrex Data'!B478="","",IF(Bittrex!H478=Bittrex!E478,D478,Bittrex!E478)))</f>
        <v/>
      </c>
      <c r="K478" t="str">
        <f>IF('Bittrex Data'!B478="","",IF(Bittrex!I478=Bittrex!G478,Bittrex!F478,Bittrex!G478))</f>
        <v/>
      </c>
    </row>
    <row r="479" spans="3:11" x14ac:dyDescent="0.2">
      <c r="C479" t="str">
        <f>IF('Bittrex Data'!A479="","",IF(AND('Bittrex Data'!C479="LIMIT_SELL",Bittrex!D479="USD"),"Sale",IF(AND('Bittrex Data'!C479="LIMIT_BUY",Bittrex!D479="USD"),"Buy","Trade")))</f>
        <v/>
      </c>
      <c r="D479" t="str">
        <f>IF('Bittrex Data'!B479="","",LEFT(LEFT('Bittrex Data'!B479,SEARCH("-",'Bittrex Data'!B479,1)),LEN(LEFT('Bittrex Data'!B479,SEARCH("-",'Bittrex Data'!B479,1)))-1))</f>
        <v/>
      </c>
      <c r="E479" t="str">
        <f>IF('Bittrex Data'!B479="","",RIGHT(RIGHT('Bittrex Data'!B479,LEN('Bittrex Data'!B479)-SEARCH("-",'Bittrex Data'!B479,1)+1),LEN(RIGHT('Bittrex Data'!B479,LEN('Bittrex Data'!B479)-SEARCH("-",'Bittrex Data'!B479,1)+1))-1))</f>
        <v/>
      </c>
      <c r="F479" t="str">
        <f>IF('Bittrex Data'!C479="","",IF('Bittrex Data'!C479="Limit_Sell",'Bittrex Data'!G479-'Bittrex Data'!F479,IF('Bittrex Data'!C479="Limit_Buy",'Bittrex Data'!G479+'Bittrex Data'!F479,"")))</f>
        <v/>
      </c>
      <c r="G479" t="str">
        <f>IF('Bittrex Data'!B479="","",'Bittrex Data'!D479)</f>
        <v/>
      </c>
      <c r="H479" t="str">
        <f>IF('Bittrex Data'!C479="","",IF(Bittrex!C479="Buy",Bittrex!D479,IF(Bittrex!C479="Sale",Bittrex!E479,IF(AND(Bittrex!C479="Trade",'Bittrex Data'!C479="Limit_Sell"),Bittrex!E479,IF(AND(Bittrex!C479="Trade",'Bittrex Data'!C479="Limit_Buy"),Bittrex!D479,"")))))</f>
        <v/>
      </c>
      <c r="I479" t="str">
        <f>IF('Bittrex Data'!C479="","",IF(Bittrex!C479="Buy",F479,IF(C479="Sale",Bittrex!G479,IF(AND(C479="Trade",'Bittrex Data'!C479="Limit_Sell"),Bittrex!G479,IF(AND(Bittrex!C479="Trade",'Bittrex Data'!C479="Limit_Buy"),F479,"")))))</f>
        <v/>
      </c>
      <c r="J479" t="str">
        <f>IF('Bittrex Data'!B479="","",IF('Bittrex Data'!B479="","",IF(Bittrex!H479=Bittrex!E479,D479,Bittrex!E479)))</f>
        <v/>
      </c>
      <c r="K479" t="str">
        <f>IF('Bittrex Data'!B479="","",IF(Bittrex!I479=Bittrex!G479,Bittrex!F479,Bittrex!G479))</f>
        <v/>
      </c>
    </row>
    <row r="480" spans="3:11" x14ac:dyDescent="0.2">
      <c r="C480" t="str">
        <f>IF('Bittrex Data'!A480="","",IF(AND('Bittrex Data'!C480="LIMIT_SELL",Bittrex!D480="USD"),"Sale",IF(AND('Bittrex Data'!C480="LIMIT_BUY",Bittrex!D480="USD"),"Buy","Trade")))</f>
        <v/>
      </c>
      <c r="D480" t="str">
        <f>IF('Bittrex Data'!B480="","",LEFT(LEFT('Bittrex Data'!B480,SEARCH("-",'Bittrex Data'!B480,1)),LEN(LEFT('Bittrex Data'!B480,SEARCH("-",'Bittrex Data'!B480,1)))-1))</f>
        <v/>
      </c>
      <c r="E480" t="str">
        <f>IF('Bittrex Data'!B480="","",RIGHT(RIGHT('Bittrex Data'!B480,LEN('Bittrex Data'!B480)-SEARCH("-",'Bittrex Data'!B480,1)+1),LEN(RIGHT('Bittrex Data'!B480,LEN('Bittrex Data'!B480)-SEARCH("-",'Bittrex Data'!B480,1)+1))-1))</f>
        <v/>
      </c>
      <c r="F480" t="str">
        <f>IF('Bittrex Data'!C480="","",IF('Bittrex Data'!C480="Limit_Sell",'Bittrex Data'!G480-'Bittrex Data'!F480,IF('Bittrex Data'!C480="Limit_Buy",'Bittrex Data'!G480+'Bittrex Data'!F480,"")))</f>
        <v/>
      </c>
      <c r="G480" t="str">
        <f>IF('Bittrex Data'!B480="","",'Bittrex Data'!D480)</f>
        <v/>
      </c>
      <c r="H480" t="str">
        <f>IF('Bittrex Data'!C480="","",IF(Bittrex!C480="Buy",Bittrex!D480,IF(Bittrex!C480="Sale",Bittrex!E480,IF(AND(Bittrex!C480="Trade",'Bittrex Data'!C480="Limit_Sell"),Bittrex!E480,IF(AND(Bittrex!C480="Trade",'Bittrex Data'!C480="Limit_Buy"),Bittrex!D480,"")))))</f>
        <v/>
      </c>
      <c r="I480" t="str">
        <f>IF('Bittrex Data'!C480="","",IF(Bittrex!C480="Buy",F480,IF(C480="Sale",Bittrex!G480,IF(AND(C480="Trade",'Bittrex Data'!C480="Limit_Sell"),Bittrex!G480,IF(AND(Bittrex!C480="Trade",'Bittrex Data'!C480="Limit_Buy"),F480,"")))))</f>
        <v/>
      </c>
      <c r="J480" t="str">
        <f>IF('Bittrex Data'!B480="","",IF('Bittrex Data'!B480="","",IF(Bittrex!H480=Bittrex!E480,D480,Bittrex!E480)))</f>
        <v/>
      </c>
      <c r="K480" t="str">
        <f>IF('Bittrex Data'!B480="","",IF(Bittrex!I480=Bittrex!G480,Bittrex!F480,Bittrex!G480))</f>
        <v/>
      </c>
    </row>
    <row r="481" spans="3:11" x14ac:dyDescent="0.2">
      <c r="C481" t="str">
        <f>IF('Bittrex Data'!A481="","",IF(AND('Bittrex Data'!C481="LIMIT_SELL",Bittrex!D481="USD"),"Sale",IF(AND('Bittrex Data'!C481="LIMIT_BUY",Bittrex!D481="USD"),"Buy","Trade")))</f>
        <v/>
      </c>
      <c r="D481" t="str">
        <f>IF('Bittrex Data'!B481="","",LEFT(LEFT('Bittrex Data'!B481,SEARCH("-",'Bittrex Data'!B481,1)),LEN(LEFT('Bittrex Data'!B481,SEARCH("-",'Bittrex Data'!B481,1)))-1))</f>
        <v/>
      </c>
      <c r="E481" t="str">
        <f>IF('Bittrex Data'!B481="","",RIGHT(RIGHT('Bittrex Data'!B481,LEN('Bittrex Data'!B481)-SEARCH("-",'Bittrex Data'!B481,1)+1),LEN(RIGHT('Bittrex Data'!B481,LEN('Bittrex Data'!B481)-SEARCH("-",'Bittrex Data'!B481,1)+1))-1))</f>
        <v/>
      </c>
      <c r="F481" t="str">
        <f>IF('Bittrex Data'!C481="","",IF('Bittrex Data'!C481="Limit_Sell",'Bittrex Data'!G481-'Bittrex Data'!F481,IF('Bittrex Data'!C481="Limit_Buy",'Bittrex Data'!G481+'Bittrex Data'!F481,"")))</f>
        <v/>
      </c>
      <c r="G481" t="str">
        <f>IF('Bittrex Data'!B481="","",'Bittrex Data'!D481)</f>
        <v/>
      </c>
      <c r="H481" t="str">
        <f>IF('Bittrex Data'!C481="","",IF(Bittrex!C481="Buy",Bittrex!D481,IF(Bittrex!C481="Sale",Bittrex!E481,IF(AND(Bittrex!C481="Trade",'Bittrex Data'!C481="Limit_Sell"),Bittrex!E481,IF(AND(Bittrex!C481="Trade",'Bittrex Data'!C481="Limit_Buy"),Bittrex!D481,"")))))</f>
        <v/>
      </c>
      <c r="I481" t="str">
        <f>IF('Bittrex Data'!C481="","",IF(Bittrex!C481="Buy",F481,IF(C481="Sale",Bittrex!G481,IF(AND(C481="Trade",'Bittrex Data'!C481="Limit_Sell"),Bittrex!G481,IF(AND(Bittrex!C481="Trade",'Bittrex Data'!C481="Limit_Buy"),F481,"")))))</f>
        <v/>
      </c>
      <c r="J481" t="str">
        <f>IF('Bittrex Data'!B481="","",IF('Bittrex Data'!B481="","",IF(Bittrex!H481=Bittrex!E481,D481,Bittrex!E481)))</f>
        <v/>
      </c>
      <c r="K481" t="str">
        <f>IF('Bittrex Data'!B481="","",IF(Bittrex!I481=Bittrex!G481,Bittrex!F481,Bittrex!G481))</f>
        <v/>
      </c>
    </row>
    <row r="482" spans="3:11" x14ac:dyDescent="0.2">
      <c r="C482" t="str">
        <f>IF('Bittrex Data'!A482="","",IF(AND('Bittrex Data'!C482="LIMIT_SELL",Bittrex!D482="USD"),"Sale",IF(AND('Bittrex Data'!C482="LIMIT_BUY",Bittrex!D482="USD"),"Buy","Trade")))</f>
        <v/>
      </c>
      <c r="D482" t="str">
        <f>IF('Bittrex Data'!B482="","",LEFT(LEFT('Bittrex Data'!B482,SEARCH("-",'Bittrex Data'!B482,1)),LEN(LEFT('Bittrex Data'!B482,SEARCH("-",'Bittrex Data'!B482,1)))-1))</f>
        <v/>
      </c>
      <c r="E482" t="str">
        <f>IF('Bittrex Data'!B482="","",RIGHT(RIGHT('Bittrex Data'!B482,LEN('Bittrex Data'!B482)-SEARCH("-",'Bittrex Data'!B482,1)+1),LEN(RIGHT('Bittrex Data'!B482,LEN('Bittrex Data'!B482)-SEARCH("-",'Bittrex Data'!B482,1)+1))-1))</f>
        <v/>
      </c>
      <c r="F482" t="str">
        <f>IF('Bittrex Data'!C482="","",IF('Bittrex Data'!C482="Limit_Sell",'Bittrex Data'!G482-'Bittrex Data'!F482,IF('Bittrex Data'!C482="Limit_Buy",'Bittrex Data'!G482+'Bittrex Data'!F482,"")))</f>
        <v/>
      </c>
      <c r="G482" t="str">
        <f>IF('Bittrex Data'!B482="","",'Bittrex Data'!D482)</f>
        <v/>
      </c>
      <c r="H482" t="str">
        <f>IF('Bittrex Data'!C482="","",IF(Bittrex!C482="Buy",Bittrex!D482,IF(Bittrex!C482="Sale",Bittrex!E482,IF(AND(Bittrex!C482="Trade",'Bittrex Data'!C482="Limit_Sell"),Bittrex!E482,IF(AND(Bittrex!C482="Trade",'Bittrex Data'!C482="Limit_Buy"),Bittrex!D482,"")))))</f>
        <v/>
      </c>
      <c r="I482" t="str">
        <f>IF('Bittrex Data'!C482="","",IF(Bittrex!C482="Buy",F482,IF(C482="Sale",Bittrex!G482,IF(AND(C482="Trade",'Bittrex Data'!C482="Limit_Sell"),Bittrex!G482,IF(AND(Bittrex!C482="Trade",'Bittrex Data'!C482="Limit_Buy"),F482,"")))))</f>
        <v/>
      </c>
      <c r="J482" t="str">
        <f>IF('Bittrex Data'!B482="","",IF('Bittrex Data'!B482="","",IF(Bittrex!H482=Bittrex!E482,D482,Bittrex!E482)))</f>
        <v/>
      </c>
      <c r="K482" t="str">
        <f>IF('Bittrex Data'!B482="","",IF(Bittrex!I482=Bittrex!G482,Bittrex!F482,Bittrex!G482))</f>
        <v/>
      </c>
    </row>
    <row r="483" spans="3:11" x14ac:dyDescent="0.2">
      <c r="C483" t="str">
        <f>IF('Bittrex Data'!A483="","",IF(AND('Bittrex Data'!C483="LIMIT_SELL",Bittrex!D483="USD"),"Sale",IF(AND('Bittrex Data'!C483="LIMIT_BUY",Bittrex!D483="USD"),"Buy","Trade")))</f>
        <v/>
      </c>
      <c r="D483" t="str">
        <f>IF('Bittrex Data'!B483="","",LEFT(LEFT('Bittrex Data'!B483,SEARCH("-",'Bittrex Data'!B483,1)),LEN(LEFT('Bittrex Data'!B483,SEARCH("-",'Bittrex Data'!B483,1)))-1))</f>
        <v/>
      </c>
      <c r="E483" t="str">
        <f>IF('Bittrex Data'!B483="","",RIGHT(RIGHT('Bittrex Data'!B483,LEN('Bittrex Data'!B483)-SEARCH("-",'Bittrex Data'!B483,1)+1),LEN(RIGHT('Bittrex Data'!B483,LEN('Bittrex Data'!B483)-SEARCH("-",'Bittrex Data'!B483,1)+1))-1))</f>
        <v/>
      </c>
      <c r="F483" t="str">
        <f>IF('Bittrex Data'!C483="","",IF('Bittrex Data'!C483="Limit_Sell",'Bittrex Data'!G483-'Bittrex Data'!F483,IF('Bittrex Data'!C483="Limit_Buy",'Bittrex Data'!G483+'Bittrex Data'!F483,"")))</f>
        <v/>
      </c>
      <c r="G483" t="str">
        <f>IF('Bittrex Data'!B483="","",'Bittrex Data'!D483)</f>
        <v/>
      </c>
      <c r="H483" t="str">
        <f>IF('Bittrex Data'!C483="","",IF(Bittrex!C483="Buy",Bittrex!D483,IF(Bittrex!C483="Sale",Bittrex!E483,IF(AND(Bittrex!C483="Trade",'Bittrex Data'!C483="Limit_Sell"),Bittrex!E483,IF(AND(Bittrex!C483="Trade",'Bittrex Data'!C483="Limit_Buy"),Bittrex!D483,"")))))</f>
        <v/>
      </c>
      <c r="I483" t="str">
        <f>IF('Bittrex Data'!C483="","",IF(Bittrex!C483="Buy",F483,IF(C483="Sale",Bittrex!G483,IF(AND(C483="Trade",'Bittrex Data'!C483="Limit_Sell"),Bittrex!G483,IF(AND(Bittrex!C483="Trade",'Bittrex Data'!C483="Limit_Buy"),F483,"")))))</f>
        <v/>
      </c>
      <c r="J483" t="str">
        <f>IF('Bittrex Data'!B483="","",IF('Bittrex Data'!B483="","",IF(Bittrex!H483=Bittrex!E483,D483,Bittrex!E483)))</f>
        <v/>
      </c>
      <c r="K483" t="str">
        <f>IF('Bittrex Data'!B483="","",IF(Bittrex!I483=Bittrex!G483,Bittrex!F483,Bittrex!G483))</f>
        <v/>
      </c>
    </row>
    <row r="484" spans="3:11" x14ac:dyDescent="0.2">
      <c r="C484" t="str">
        <f>IF('Bittrex Data'!A484="","",IF(AND('Bittrex Data'!C484="LIMIT_SELL",Bittrex!D484="USD"),"Sale",IF(AND('Bittrex Data'!C484="LIMIT_BUY",Bittrex!D484="USD"),"Buy","Trade")))</f>
        <v/>
      </c>
      <c r="D484" t="str">
        <f>IF('Bittrex Data'!B484="","",LEFT(LEFT('Bittrex Data'!B484,SEARCH("-",'Bittrex Data'!B484,1)),LEN(LEFT('Bittrex Data'!B484,SEARCH("-",'Bittrex Data'!B484,1)))-1))</f>
        <v/>
      </c>
      <c r="E484" t="str">
        <f>IF('Bittrex Data'!B484="","",RIGHT(RIGHT('Bittrex Data'!B484,LEN('Bittrex Data'!B484)-SEARCH("-",'Bittrex Data'!B484,1)+1),LEN(RIGHT('Bittrex Data'!B484,LEN('Bittrex Data'!B484)-SEARCH("-",'Bittrex Data'!B484,1)+1))-1))</f>
        <v/>
      </c>
      <c r="F484" t="str">
        <f>IF('Bittrex Data'!C484="","",IF('Bittrex Data'!C484="Limit_Sell",'Bittrex Data'!G484-'Bittrex Data'!F484,IF('Bittrex Data'!C484="Limit_Buy",'Bittrex Data'!G484+'Bittrex Data'!F484,"")))</f>
        <v/>
      </c>
      <c r="G484" t="str">
        <f>IF('Bittrex Data'!B484="","",'Bittrex Data'!D484)</f>
        <v/>
      </c>
      <c r="H484" t="str">
        <f>IF('Bittrex Data'!C484="","",IF(Bittrex!C484="Buy",Bittrex!D484,IF(Bittrex!C484="Sale",Bittrex!E484,IF(AND(Bittrex!C484="Trade",'Bittrex Data'!C484="Limit_Sell"),Bittrex!E484,IF(AND(Bittrex!C484="Trade",'Bittrex Data'!C484="Limit_Buy"),Bittrex!D484,"")))))</f>
        <v/>
      </c>
      <c r="I484" t="str">
        <f>IF('Bittrex Data'!C484="","",IF(Bittrex!C484="Buy",F484,IF(C484="Sale",Bittrex!G484,IF(AND(C484="Trade",'Bittrex Data'!C484="Limit_Sell"),Bittrex!G484,IF(AND(Bittrex!C484="Trade",'Bittrex Data'!C484="Limit_Buy"),F484,"")))))</f>
        <v/>
      </c>
      <c r="J484" t="str">
        <f>IF('Bittrex Data'!B484="","",IF('Bittrex Data'!B484="","",IF(Bittrex!H484=Bittrex!E484,D484,Bittrex!E484)))</f>
        <v/>
      </c>
      <c r="K484" t="str">
        <f>IF('Bittrex Data'!B484="","",IF(Bittrex!I484=Bittrex!G484,Bittrex!F484,Bittrex!G484))</f>
        <v/>
      </c>
    </row>
    <row r="485" spans="3:11" x14ac:dyDescent="0.2">
      <c r="C485" t="str">
        <f>IF('Bittrex Data'!A485="","",IF(AND('Bittrex Data'!C485="LIMIT_SELL",Bittrex!D485="USD"),"Sale",IF(AND('Bittrex Data'!C485="LIMIT_BUY",Bittrex!D485="USD"),"Buy","Trade")))</f>
        <v/>
      </c>
      <c r="D485" t="str">
        <f>IF('Bittrex Data'!B485="","",LEFT(LEFT('Bittrex Data'!B485,SEARCH("-",'Bittrex Data'!B485,1)),LEN(LEFT('Bittrex Data'!B485,SEARCH("-",'Bittrex Data'!B485,1)))-1))</f>
        <v/>
      </c>
      <c r="E485" t="str">
        <f>IF('Bittrex Data'!B485="","",RIGHT(RIGHT('Bittrex Data'!B485,LEN('Bittrex Data'!B485)-SEARCH("-",'Bittrex Data'!B485,1)+1),LEN(RIGHT('Bittrex Data'!B485,LEN('Bittrex Data'!B485)-SEARCH("-",'Bittrex Data'!B485,1)+1))-1))</f>
        <v/>
      </c>
      <c r="F485" t="str">
        <f>IF('Bittrex Data'!C485="","",IF('Bittrex Data'!C485="Limit_Sell",'Bittrex Data'!G485-'Bittrex Data'!F485,IF('Bittrex Data'!C485="Limit_Buy",'Bittrex Data'!G485+'Bittrex Data'!F485,"")))</f>
        <v/>
      </c>
      <c r="G485" t="str">
        <f>IF('Bittrex Data'!B485="","",'Bittrex Data'!D485)</f>
        <v/>
      </c>
      <c r="H485" t="str">
        <f>IF('Bittrex Data'!C485="","",IF(Bittrex!C485="Buy",Bittrex!D485,IF(Bittrex!C485="Sale",Bittrex!E485,IF(AND(Bittrex!C485="Trade",'Bittrex Data'!C485="Limit_Sell"),Bittrex!E485,IF(AND(Bittrex!C485="Trade",'Bittrex Data'!C485="Limit_Buy"),Bittrex!D485,"")))))</f>
        <v/>
      </c>
      <c r="I485" t="str">
        <f>IF('Bittrex Data'!C485="","",IF(Bittrex!C485="Buy",F485,IF(C485="Sale",Bittrex!G485,IF(AND(C485="Trade",'Bittrex Data'!C485="Limit_Sell"),Bittrex!G485,IF(AND(Bittrex!C485="Trade",'Bittrex Data'!C485="Limit_Buy"),F485,"")))))</f>
        <v/>
      </c>
      <c r="J485" t="str">
        <f>IF('Bittrex Data'!B485="","",IF('Bittrex Data'!B485="","",IF(Bittrex!H485=Bittrex!E485,D485,Bittrex!E485)))</f>
        <v/>
      </c>
      <c r="K485" t="str">
        <f>IF('Bittrex Data'!B485="","",IF(Bittrex!I485=Bittrex!G485,Bittrex!F485,Bittrex!G485))</f>
        <v/>
      </c>
    </row>
    <row r="486" spans="3:11" x14ac:dyDescent="0.2">
      <c r="C486" t="str">
        <f>IF('Bittrex Data'!A486="","",IF(AND('Bittrex Data'!C486="LIMIT_SELL",Bittrex!D486="USD"),"Sale",IF(AND('Bittrex Data'!C486="LIMIT_BUY",Bittrex!D486="USD"),"Buy","Trade")))</f>
        <v/>
      </c>
      <c r="D486" t="str">
        <f>IF('Bittrex Data'!B486="","",LEFT(LEFT('Bittrex Data'!B486,SEARCH("-",'Bittrex Data'!B486,1)),LEN(LEFT('Bittrex Data'!B486,SEARCH("-",'Bittrex Data'!B486,1)))-1))</f>
        <v/>
      </c>
      <c r="E486" t="str">
        <f>IF('Bittrex Data'!B486="","",RIGHT(RIGHT('Bittrex Data'!B486,LEN('Bittrex Data'!B486)-SEARCH("-",'Bittrex Data'!B486,1)+1),LEN(RIGHT('Bittrex Data'!B486,LEN('Bittrex Data'!B486)-SEARCH("-",'Bittrex Data'!B486,1)+1))-1))</f>
        <v/>
      </c>
      <c r="F486" t="str">
        <f>IF('Bittrex Data'!C486="","",IF('Bittrex Data'!C486="Limit_Sell",'Bittrex Data'!G486-'Bittrex Data'!F486,IF('Bittrex Data'!C486="Limit_Buy",'Bittrex Data'!G486+'Bittrex Data'!F486,"")))</f>
        <v/>
      </c>
      <c r="G486" t="str">
        <f>IF('Bittrex Data'!B486="","",'Bittrex Data'!D486)</f>
        <v/>
      </c>
      <c r="H486" t="str">
        <f>IF('Bittrex Data'!C486="","",IF(Bittrex!C486="Buy",Bittrex!D486,IF(Bittrex!C486="Sale",Bittrex!E486,IF(AND(Bittrex!C486="Trade",'Bittrex Data'!C486="Limit_Sell"),Bittrex!E486,IF(AND(Bittrex!C486="Trade",'Bittrex Data'!C486="Limit_Buy"),Bittrex!D486,"")))))</f>
        <v/>
      </c>
      <c r="I486" t="str">
        <f>IF('Bittrex Data'!C486="","",IF(Bittrex!C486="Buy",F486,IF(C486="Sale",Bittrex!G486,IF(AND(C486="Trade",'Bittrex Data'!C486="Limit_Sell"),Bittrex!G486,IF(AND(Bittrex!C486="Trade",'Bittrex Data'!C486="Limit_Buy"),F486,"")))))</f>
        <v/>
      </c>
      <c r="J486" t="str">
        <f>IF('Bittrex Data'!B486="","",IF('Bittrex Data'!B486="","",IF(Bittrex!H486=Bittrex!E486,D486,Bittrex!E486)))</f>
        <v/>
      </c>
      <c r="K486" t="str">
        <f>IF('Bittrex Data'!B486="","",IF(Bittrex!I486=Bittrex!G486,Bittrex!F486,Bittrex!G486))</f>
        <v/>
      </c>
    </row>
    <row r="487" spans="3:11" x14ac:dyDescent="0.2">
      <c r="C487" t="str">
        <f>IF('Bittrex Data'!A487="","",IF(AND('Bittrex Data'!C487="LIMIT_SELL",Bittrex!D487="USD"),"Sale",IF(AND('Bittrex Data'!C487="LIMIT_BUY",Bittrex!D487="USD"),"Buy","Trade")))</f>
        <v/>
      </c>
      <c r="D487" t="str">
        <f>IF('Bittrex Data'!B487="","",LEFT(LEFT('Bittrex Data'!B487,SEARCH("-",'Bittrex Data'!B487,1)),LEN(LEFT('Bittrex Data'!B487,SEARCH("-",'Bittrex Data'!B487,1)))-1))</f>
        <v/>
      </c>
      <c r="E487" t="str">
        <f>IF('Bittrex Data'!B487="","",RIGHT(RIGHT('Bittrex Data'!B487,LEN('Bittrex Data'!B487)-SEARCH("-",'Bittrex Data'!B487,1)+1),LEN(RIGHT('Bittrex Data'!B487,LEN('Bittrex Data'!B487)-SEARCH("-",'Bittrex Data'!B487,1)+1))-1))</f>
        <v/>
      </c>
      <c r="F487" t="str">
        <f>IF('Bittrex Data'!C487="","",IF('Bittrex Data'!C487="Limit_Sell",'Bittrex Data'!G487-'Bittrex Data'!F487,IF('Bittrex Data'!C487="Limit_Buy",'Bittrex Data'!G487+'Bittrex Data'!F487,"")))</f>
        <v/>
      </c>
      <c r="G487" t="str">
        <f>IF('Bittrex Data'!B487="","",'Bittrex Data'!D487)</f>
        <v/>
      </c>
      <c r="H487" t="str">
        <f>IF('Bittrex Data'!C487="","",IF(Bittrex!C487="Buy",Bittrex!D487,IF(Bittrex!C487="Sale",Bittrex!E487,IF(AND(Bittrex!C487="Trade",'Bittrex Data'!C487="Limit_Sell"),Bittrex!E487,IF(AND(Bittrex!C487="Trade",'Bittrex Data'!C487="Limit_Buy"),Bittrex!D487,"")))))</f>
        <v/>
      </c>
      <c r="I487" t="str">
        <f>IF('Bittrex Data'!C487="","",IF(Bittrex!C487="Buy",F487,IF(C487="Sale",Bittrex!G487,IF(AND(C487="Trade",'Bittrex Data'!C487="Limit_Sell"),Bittrex!G487,IF(AND(Bittrex!C487="Trade",'Bittrex Data'!C487="Limit_Buy"),F487,"")))))</f>
        <v/>
      </c>
      <c r="J487" t="str">
        <f>IF('Bittrex Data'!B487="","",IF('Bittrex Data'!B487="","",IF(Bittrex!H487=Bittrex!E487,D487,Bittrex!E487)))</f>
        <v/>
      </c>
      <c r="K487" t="str">
        <f>IF('Bittrex Data'!B487="","",IF(Bittrex!I487=Bittrex!G487,Bittrex!F487,Bittrex!G487))</f>
        <v/>
      </c>
    </row>
    <row r="488" spans="3:11" x14ac:dyDescent="0.2">
      <c r="C488" t="str">
        <f>IF('Bittrex Data'!A488="","",IF(AND('Bittrex Data'!C488="LIMIT_SELL",Bittrex!D488="USD"),"Sale",IF(AND('Bittrex Data'!C488="LIMIT_BUY",Bittrex!D488="USD"),"Buy","Trade")))</f>
        <v/>
      </c>
      <c r="D488" t="str">
        <f>IF('Bittrex Data'!B488="","",LEFT(LEFT('Bittrex Data'!B488,SEARCH("-",'Bittrex Data'!B488,1)),LEN(LEFT('Bittrex Data'!B488,SEARCH("-",'Bittrex Data'!B488,1)))-1))</f>
        <v/>
      </c>
      <c r="E488" t="str">
        <f>IF('Bittrex Data'!B488="","",RIGHT(RIGHT('Bittrex Data'!B488,LEN('Bittrex Data'!B488)-SEARCH("-",'Bittrex Data'!B488,1)+1),LEN(RIGHT('Bittrex Data'!B488,LEN('Bittrex Data'!B488)-SEARCH("-",'Bittrex Data'!B488,1)+1))-1))</f>
        <v/>
      </c>
      <c r="F488" t="str">
        <f>IF('Bittrex Data'!C488="","",IF('Bittrex Data'!C488="Limit_Sell",'Bittrex Data'!G488-'Bittrex Data'!F488,IF('Bittrex Data'!C488="Limit_Buy",'Bittrex Data'!G488+'Bittrex Data'!F488,"")))</f>
        <v/>
      </c>
      <c r="G488" t="str">
        <f>IF('Bittrex Data'!B488="","",'Bittrex Data'!D488)</f>
        <v/>
      </c>
      <c r="H488" t="str">
        <f>IF('Bittrex Data'!C488="","",IF(Bittrex!C488="Buy",Bittrex!D488,IF(Bittrex!C488="Sale",Bittrex!E488,IF(AND(Bittrex!C488="Trade",'Bittrex Data'!C488="Limit_Sell"),Bittrex!E488,IF(AND(Bittrex!C488="Trade",'Bittrex Data'!C488="Limit_Buy"),Bittrex!D488,"")))))</f>
        <v/>
      </c>
      <c r="I488" t="str">
        <f>IF('Bittrex Data'!C488="","",IF(Bittrex!C488="Buy",F488,IF(C488="Sale",Bittrex!G488,IF(AND(C488="Trade",'Bittrex Data'!C488="Limit_Sell"),Bittrex!G488,IF(AND(Bittrex!C488="Trade",'Bittrex Data'!C488="Limit_Buy"),F488,"")))))</f>
        <v/>
      </c>
      <c r="J488" t="str">
        <f>IF('Bittrex Data'!B488="","",IF('Bittrex Data'!B488="","",IF(Bittrex!H488=Bittrex!E488,D488,Bittrex!E488)))</f>
        <v/>
      </c>
      <c r="K488" t="str">
        <f>IF('Bittrex Data'!B488="","",IF(Bittrex!I488=Bittrex!G488,Bittrex!F488,Bittrex!G488))</f>
        <v/>
      </c>
    </row>
    <row r="489" spans="3:11" x14ac:dyDescent="0.2">
      <c r="C489" t="str">
        <f>IF('Bittrex Data'!A489="","",IF(AND('Bittrex Data'!C489="LIMIT_SELL",Bittrex!D489="USD"),"Sale",IF(AND('Bittrex Data'!C489="LIMIT_BUY",Bittrex!D489="USD"),"Buy","Trade")))</f>
        <v/>
      </c>
      <c r="D489" t="str">
        <f>IF('Bittrex Data'!B489="","",LEFT(LEFT('Bittrex Data'!B489,SEARCH("-",'Bittrex Data'!B489,1)),LEN(LEFT('Bittrex Data'!B489,SEARCH("-",'Bittrex Data'!B489,1)))-1))</f>
        <v/>
      </c>
      <c r="E489" t="str">
        <f>IF('Bittrex Data'!B489="","",RIGHT(RIGHT('Bittrex Data'!B489,LEN('Bittrex Data'!B489)-SEARCH("-",'Bittrex Data'!B489,1)+1),LEN(RIGHT('Bittrex Data'!B489,LEN('Bittrex Data'!B489)-SEARCH("-",'Bittrex Data'!B489,1)+1))-1))</f>
        <v/>
      </c>
      <c r="F489" t="str">
        <f>IF('Bittrex Data'!C489="","",IF('Bittrex Data'!C489="Limit_Sell",'Bittrex Data'!G489-'Bittrex Data'!F489,IF('Bittrex Data'!C489="Limit_Buy",'Bittrex Data'!G489+'Bittrex Data'!F489,"")))</f>
        <v/>
      </c>
      <c r="G489" t="str">
        <f>IF('Bittrex Data'!B489="","",'Bittrex Data'!D489)</f>
        <v/>
      </c>
      <c r="H489" t="str">
        <f>IF('Bittrex Data'!C489="","",IF(Bittrex!C489="Buy",Bittrex!D489,IF(Bittrex!C489="Sale",Bittrex!E489,IF(AND(Bittrex!C489="Trade",'Bittrex Data'!C489="Limit_Sell"),Bittrex!E489,IF(AND(Bittrex!C489="Trade",'Bittrex Data'!C489="Limit_Buy"),Bittrex!D489,"")))))</f>
        <v/>
      </c>
      <c r="I489" t="str">
        <f>IF('Bittrex Data'!C489="","",IF(Bittrex!C489="Buy",F489,IF(C489="Sale",Bittrex!G489,IF(AND(C489="Trade",'Bittrex Data'!C489="Limit_Sell"),Bittrex!G489,IF(AND(Bittrex!C489="Trade",'Bittrex Data'!C489="Limit_Buy"),F489,"")))))</f>
        <v/>
      </c>
      <c r="J489" t="str">
        <f>IF('Bittrex Data'!B489="","",IF('Bittrex Data'!B489="","",IF(Bittrex!H489=Bittrex!E489,D489,Bittrex!E489)))</f>
        <v/>
      </c>
      <c r="K489" t="str">
        <f>IF('Bittrex Data'!B489="","",IF(Bittrex!I489=Bittrex!G489,Bittrex!F489,Bittrex!G489))</f>
        <v/>
      </c>
    </row>
    <row r="490" spans="3:11" x14ac:dyDescent="0.2">
      <c r="C490" t="str">
        <f>IF('Bittrex Data'!A490="","",IF(AND('Bittrex Data'!C490="LIMIT_SELL",Bittrex!D490="USD"),"Sale",IF(AND('Bittrex Data'!C490="LIMIT_BUY",Bittrex!D490="USD"),"Buy","Trade")))</f>
        <v/>
      </c>
      <c r="D490" t="str">
        <f>IF('Bittrex Data'!B490="","",LEFT(LEFT('Bittrex Data'!B490,SEARCH("-",'Bittrex Data'!B490,1)),LEN(LEFT('Bittrex Data'!B490,SEARCH("-",'Bittrex Data'!B490,1)))-1))</f>
        <v/>
      </c>
      <c r="E490" t="str">
        <f>IF('Bittrex Data'!B490="","",RIGHT(RIGHT('Bittrex Data'!B490,LEN('Bittrex Data'!B490)-SEARCH("-",'Bittrex Data'!B490,1)+1),LEN(RIGHT('Bittrex Data'!B490,LEN('Bittrex Data'!B490)-SEARCH("-",'Bittrex Data'!B490,1)+1))-1))</f>
        <v/>
      </c>
      <c r="F490" t="str">
        <f>IF('Bittrex Data'!C490="","",IF('Bittrex Data'!C490="Limit_Sell",'Bittrex Data'!G490-'Bittrex Data'!F490,IF('Bittrex Data'!C490="Limit_Buy",'Bittrex Data'!G490+'Bittrex Data'!F490,"")))</f>
        <v/>
      </c>
      <c r="G490" t="str">
        <f>IF('Bittrex Data'!B490="","",'Bittrex Data'!D490)</f>
        <v/>
      </c>
      <c r="H490" t="str">
        <f>IF('Bittrex Data'!C490="","",IF(Bittrex!C490="Buy",Bittrex!D490,IF(Bittrex!C490="Sale",Bittrex!E490,IF(AND(Bittrex!C490="Trade",'Bittrex Data'!C490="Limit_Sell"),Bittrex!E490,IF(AND(Bittrex!C490="Trade",'Bittrex Data'!C490="Limit_Buy"),Bittrex!D490,"")))))</f>
        <v/>
      </c>
      <c r="I490" t="str">
        <f>IF('Bittrex Data'!C490="","",IF(Bittrex!C490="Buy",F490,IF(C490="Sale",Bittrex!G490,IF(AND(C490="Trade",'Bittrex Data'!C490="Limit_Sell"),Bittrex!G490,IF(AND(Bittrex!C490="Trade",'Bittrex Data'!C490="Limit_Buy"),F490,"")))))</f>
        <v/>
      </c>
      <c r="J490" t="str">
        <f>IF('Bittrex Data'!B490="","",IF('Bittrex Data'!B490="","",IF(Bittrex!H490=Bittrex!E490,D490,Bittrex!E490)))</f>
        <v/>
      </c>
      <c r="K490" t="str">
        <f>IF('Bittrex Data'!B490="","",IF(Bittrex!I490=Bittrex!G490,Bittrex!F490,Bittrex!G490))</f>
        <v/>
      </c>
    </row>
    <row r="491" spans="3:11" x14ac:dyDescent="0.2">
      <c r="C491" t="str">
        <f>IF('Bittrex Data'!A491="","",IF(AND('Bittrex Data'!C491="LIMIT_SELL",Bittrex!D491="USD"),"Sale",IF(AND('Bittrex Data'!C491="LIMIT_BUY",Bittrex!D491="USD"),"Buy","Trade")))</f>
        <v/>
      </c>
      <c r="D491" t="str">
        <f>IF('Bittrex Data'!B491="","",LEFT(LEFT('Bittrex Data'!B491,SEARCH("-",'Bittrex Data'!B491,1)),LEN(LEFT('Bittrex Data'!B491,SEARCH("-",'Bittrex Data'!B491,1)))-1))</f>
        <v/>
      </c>
      <c r="E491" t="str">
        <f>IF('Bittrex Data'!B491="","",RIGHT(RIGHT('Bittrex Data'!B491,LEN('Bittrex Data'!B491)-SEARCH("-",'Bittrex Data'!B491,1)+1),LEN(RIGHT('Bittrex Data'!B491,LEN('Bittrex Data'!B491)-SEARCH("-",'Bittrex Data'!B491,1)+1))-1))</f>
        <v/>
      </c>
      <c r="F491" t="str">
        <f>IF('Bittrex Data'!C491="","",IF('Bittrex Data'!C491="Limit_Sell",'Bittrex Data'!G491-'Bittrex Data'!F491,IF('Bittrex Data'!C491="Limit_Buy",'Bittrex Data'!G491+'Bittrex Data'!F491,"")))</f>
        <v/>
      </c>
      <c r="G491" t="str">
        <f>IF('Bittrex Data'!B491="","",'Bittrex Data'!D491)</f>
        <v/>
      </c>
      <c r="H491" t="str">
        <f>IF('Bittrex Data'!C491="","",IF(Bittrex!C491="Buy",Bittrex!D491,IF(Bittrex!C491="Sale",Bittrex!E491,IF(AND(Bittrex!C491="Trade",'Bittrex Data'!C491="Limit_Sell"),Bittrex!E491,IF(AND(Bittrex!C491="Trade",'Bittrex Data'!C491="Limit_Buy"),Bittrex!D491,"")))))</f>
        <v/>
      </c>
      <c r="I491" t="str">
        <f>IF('Bittrex Data'!C491="","",IF(Bittrex!C491="Buy",F491,IF(C491="Sale",Bittrex!G491,IF(AND(C491="Trade",'Bittrex Data'!C491="Limit_Sell"),Bittrex!G491,IF(AND(Bittrex!C491="Trade",'Bittrex Data'!C491="Limit_Buy"),F491,"")))))</f>
        <v/>
      </c>
      <c r="J491" t="str">
        <f>IF('Bittrex Data'!B491="","",IF('Bittrex Data'!B491="","",IF(Bittrex!H491=Bittrex!E491,D491,Bittrex!E491)))</f>
        <v/>
      </c>
      <c r="K491" t="str">
        <f>IF('Bittrex Data'!B491="","",IF(Bittrex!I491=Bittrex!G491,Bittrex!F491,Bittrex!G491))</f>
        <v/>
      </c>
    </row>
    <row r="492" spans="3:11" x14ac:dyDescent="0.2">
      <c r="C492" t="str">
        <f>IF('Bittrex Data'!A492="","",IF(AND('Bittrex Data'!C492="LIMIT_SELL",Bittrex!D492="USD"),"Sale",IF(AND('Bittrex Data'!C492="LIMIT_BUY",Bittrex!D492="USD"),"Buy","Trade")))</f>
        <v/>
      </c>
      <c r="D492" t="str">
        <f>IF('Bittrex Data'!B492="","",LEFT(LEFT('Bittrex Data'!B492,SEARCH("-",'Bittrex Data'!B492,1)),LEN(LEFT('Bittrex Data'!B492,SEARCH("-",'Bittrex Data'!B492,1)))-1))</f>
        <v/>
      </c>
      <c r="E492" t="str">
        <f>IF('Bittrex Data'!B492="","",RIGHT(RIGHT('Bittrex Data'!B492,LEN('Bittrex Data'!B492)-SEARCH("-",'Bittrex Data'!B492,1)+1),LEN(RIGHT('Bittrex Data'!B492,LEN('Bittrex Data'!B492)-SEARCH("-",'Bittrex Data'!B492,1)+1))-1))</f>
        <v/>
      </c>
      <c r="F492" t="str">
        <f>IF('Bittrex Data'!C492="","",IF('Bittrex Data'!C492="Limit_Sell",'Bittrex Data'!G492-'Bittrex Data'!F492,IF('Bittrex Data'!C492="Limit_Buy",'Bittrex Data'!G492+'Bittrex Data'!F492,"")))</f>
        <v/>
      </c>
      <c r="G492" t="str">
        <f>IF('Bittrex Data'!B492="","",'Bittrex Data'!D492)</f>
        <v/>
      </c>
      <c r="H492" t="str">
        <f>IF('Bittrex Data'!C492="","",IF(Bittrex!C492="Buy",Bittrex!D492,IF(Bittrex!C492="Sale",Bittrex!E492,IF(AND(Bittrex!C492="Trade",'Bittrex Data'!C492="Limit_Sell"),Bittrex!E492,IF(AND(Bittrex!C492="Trade",'Bittrex Data'!C492="Limit_Buy"),Bittrex!D492,"")))))</f>
        <v/>
      </c>
      <c r="I492" t="str">
        <f>IF('Bittrex Data'!C492="","",IF(Bittrex!C492="Buy",F492,IF(C492="Sale",Bittrex!G492,IF(AND(C492="Trade",'Bittrex Data'!C492="Limit_Sell"),Bittrex!G492,IF(AND(Bittrex!C492="Trade",'Bittrex Data'!C492="Limit_Buy"),F492,"")))))</f>
        <v/>
      </c>
      <c r="J492" t="str">
        <f>IF('Bittrex Data'!B492="","",IF('Bittrex Data'!B492="","",IF(Bittrex!H492=Bittrex!E492,D492,Bittrex!E492)))</f>
        <v/>
      </c>
      <c r="K492" t="str">
        <f>IF('Bittrex Data'!B492="","",IF(Bittrex!I492=Bittrex!G492,Bittrex!F492,Bittrex!G492))</f>
        <v/>
      </c>
    </row>
    <row r="493" spans="3:11" x14ac:dyDescent="0.2">
      <c r="C493" t="str">
        <f>IF('Bittrex Data'!A493="","",IF(AND('Bittrex Data'!C493="LIMIT_SELL",Bittrex!D493="USD"),"Sale",IF(AND('Bittrex Data'!C493="LIMIT_BUY",Bittrex!D493="USD"),"Buy","Trade")))</f>
        <v/>
      </c>
      <c r="D493" t="str">
        <f>IF('Bittrex Data'!B493="","",LEFT(LEFT('Bittrex Data'!B493,SEARCH("-",'Bittrex Data'!B493,1)),LEN(LEFT('Bittrex Data'!B493,SEARCH("-",'Bittrex Data'!B493,1)))-1))</f>
        <v/>
      </c>
      <c r="E493" t="str">
        <f>IF('Bittrex Data'!B493="","",RIGHT(RIGHT('Bittrex Data'!B493,LEN('Bittrex Data'!B493)-SEARCH("-",'Bittrex Data'!B493,1)+1),LEN(RIGHT('Bittrex Data'!B493,LEN('Bittrex Data'!B493)-SEARCH("-",'Bittrex Data'!B493,1)+1))-1))</f>
        <v/>
      </c>
      <c r="F493" t="str">
        <f>IF('Bittrex Data'!C493="","",IF('Bittrex Data'!C493="Limit_Sell",'Bittrex Data'!G493-'Bittrex Data'!F493,IF('Bittrex Data'!C493="Limit_Buy",'Bittrex Data'!G493+'Bittrex Data'!F493,"")))</f>
        <v/>
      </c>
      <c r="G493" t="str">
        <f>IF('Bittrex Data'!B493="","",'Bittrex Data'!D493)</f>
        <v/>
      </c>
      <c r="H493" t="str">
        <f>IF('Bittrex Data'!C493="","",IF(Bittrex!C493="Buy",Bittrex!D493,IF(Bittrex!C493="Sale",Bittrex!E493,IF(AND(Bittrex!C493="Trade",'Bittrex Data'!C493="Limit_Sell"),Bittrex!E493,IF(AND(Bittrex!C493="Trade",'Bittrex Data'!C493="Limit_Buy"),Bittrex!D493,"")))))</f>
        <v/>
      </c>
      <c r="I493" t="str">
        <f>IF('Bittrex Data'!C493="","",IF(Bittrex!C493="Buy",F493,IF(C493="Sale",Bittrex!G493,IF(AND(C493="Trade",'Bittrex Data'!C493="Limit_Sell"),Bittrex!G493,IF(AND(Bittrex!C493="Trade",'Bittrex Data'!C493="Limit_Buy"),F493,"")))))</f>
        <v/>
      </c>
      <c r="J493" t="str">
        <f>IF('Bittrex Data'!B493="","",IF('Bittrex Data'!B493="","",IF(Bittrex!H493=Bittrex!E493,D493,Bittrex!E493)))</f>
        <v/>
      </c>
      <c r="K493" t="str">
        <f>IF('Bittrex Data'!B493="","",IF(Bittrex!I493=Bittrex!G493,Bittrex!F493,Bittrex!G493))</f>
        <v/>
      </c>
    </row>
    <row r="494" spans="3:11" x14ac:dyDescent="0.2">
      <c r="C494" t="str">
        <f>IF('Bittrex Data'!A494="","",IF(AND('Bittrex Data'!C494="LIMIT_SELL",Bittrex!D494="USD"),"Sale",IF(AND('Bittrex Data'!C494="LIMIT_BUY",Bittrex!D494="USD"),"Buy","Trade")))</f>
        <v/>
      </c>
      <c r="D494" t="str">
        <f>IF('Bittrex Data'!B494="","",LEFT(LEFT('Bittrex Data'!B494,SEARCH("-",'Bittrex Data'!B494,1)),LEN(LEFT('Bittrex Data'!B494,SEARCH("-",'Bittrex Data'!B494,1)))-1))</f>
        <v/>
      </c>
      <c r="E494" t="str">
        <f>IF('Bittrex Data'!B494="","",RIGHT(RIGHT('Bittrex Data'!B494,LEN('Bittrex Data'!B494)-SEARCH("-",'Bittrex Data'!B494,1)+1),LEN(RIGHT('Bittrex Data'!B494,LEN('Bittrex Data'!B494)-SEARCH("-",'Bittrex Data'!B494,1)+1))-1))</f>
        <v/>
      </c>
      <c r="F494" t="str">
        <f>IF('Bittrex Data'!C494="","",IF('Bittrex Data'!C494="Limit_Sell",'Bittrex Data'!G494-'Bittrex Data'!F494,IF('Bittrex Data'!C494="Limit_Buy",'Bittrex Data'!G494+'Bittrex Data'!F494,"")))</f>
        <v/>
      </c>
      <c r="G494" t="str">
        <f>IF('Bittrex Data'!B494="","",'Bittrex Data'!D494)</f>
        <v/>
      </c>
      <c r="H494" t="str">
        <f>IF('Bittrex Data'!C494="","",IF(Bittrex!C494="Buy",Bittrex!D494,IF(Bittrex!C494="Sale",Bittrex!E494,IF(AND(Bittrex!C494="Trade",'Bittrex Data'!C494="Limit_Sell"),Bittrex!E494,IF(AND(Bittrex!C494="Trade",'Bittrex Data'!C494="Limit_Buy"),Bittrex!D494,"")))))</f>
        <v/>
      </c>
      <c r="I494" t="str">
        <f>IF('Bittrex Data'!C494="","",IF(Bittrex!C494="Buy",F494,IF(C494="Sale",Bittrex!G494,IF(AND(C494="Trade",'Bittrex Data'!C494="Limit_Sell"),Bittrex!G494,IF(AND(Bittrex!C494="Trade",'Bittrex Data'!C494="Limit_Buy"),F494,"")))))</f>
        <v/>
      </c>
      <c r="J494" t="str">
        <f>IF('Bittrex Data'!B494="","",IF('Bittrex Data'!B494="","",IF(Bittrex!H494=Bittrex!E494,D494,Bittrex!E494)))</f>
        <v/>
      </c>
      <c r="K494" t="str">
        <f>IF('Bittrex Data'!B494="","",IF(Bittrex!I494=Bittrex!G494,Bittrex!F494,Bittrex!G494))</f>
        <v/>
      </c>
    </row>
    <row r="495" spans="3:11" x14ac:dyDescent="0.2">
      <c r="C495" t="str">
        <f>IF('Bittrex Data'!A495="","",IF(AND('Bittrex Data'!C495="LIMIT_SELL",Bittrex!D495="USD"),"Sale",IF(AND('Bittrex Data'!C495="LIMIT_BUY",Bittrex!D495="USD"),"Buy","Trade")))</f>
        <v/>
      </c>
      <c r="D495" t="str">
        <f>IF('Bittrex Data'!B495="","",LEFT(LEFT('Bittrex Data'!B495,SEARCH("-",'Bittrex Data'!B495,1)),LEN(LEFT('Bittrex Data'!B495,SEARCH("-",'Bittrex Data'!B495,1)))-1))</f>
        <v/>
      </c>
      <c r="E495" t="str">
        <f>IF('Bittrex Data'!B495="","",RIGHT(RIGHT('Bittrex Data'!B495,LEN('Bittrex Data'!B495)-SEARCH("-",'Bittrex Data'!B495,1)+1),LEN(RIGHT('Bittrex Data'!B495,LEN('Bittrex Data'!B495)-SEARCH("-",'Bittrex Data'!B495,1)+1))-1))</f>
        <v/>
      </c>
      <c r="F495" t="str">
        <f>IF('Bittrex Data'!C495="","",IF('Bittrex Data'!C495="Limit_Sell",'Bittrex Data'!G495-'Bittrex Data'!F495,IF('Bittrex Data'!C495="Limit_Buy",'Bittrex Data'!G495+'Bittrex Data'!F495,"")))</f>
        <v/>
      </c>
      <c r="G495" t="str">
        <f>IF('Bittrex Data'!B495="","",'Bittrex Data'!D495)</f>
        <v/>
      </c>
      <c r="H495" t="str">
        <f>IF('Bittrex Data'!C495="","",IF(Bittrex!C495="Buy",Bittrex!D495,IF(Bittrex!C495="Sale",Bittrex!E495,IF(AND(Bittrex!C495="Trade",'Bittrex Data'!C495="Limit_Sell"),Bittrex!E495,IF(AND(Bittrex!C495="Trade",'Bittrex Data'!C495="Limit_Buy"),Bittrex!D495,"")))))</f>
        <v/>
      </c>
      <c r="I495" t="str">
        <f>IF('Bittrex Data'!C495="","",IF(Bittrex!C495="Buy",F495,IF(C495="Sale",Bittrex!G495,IF(AND(C495="Trade",'Bittrex Data'!C495="Limit_Sell"),Bittrex!G495,IF(AND(Bittrex!C495="Trade",'Bittrex Data'!C495="Limit_Buy"),F495,"")))))</f>
        <v/>
      </c>
      <c r="J495" t="str">
        <f>IF('Bittrex Data'!B495="","",IF('Bittrex Data'!B495="","",IF(Bittrex!H495=Bittrex!E495,D495,Bittrex!E495)))</f>
        <v/>
      </c>
      <c r="K495" t="str">
        <f>IF('Bittrex Data'!B495="","",IF(Bittrex!I495=Bittrex!G495,Bittrex!F495,Bittrex!G495))</f>
        <v/>
      </c>
    </row>
    <row r="496" spans="3:11" x14ac:dyDescent="0.2">
      <c r="C496" t="str">
        <f>IF('Bittrex Data'!A496="","",IF(AND('Bittrex Data'!C496="LIMIT_SELL",Bittrex!D496="USD"),"Sale",IF(AND('Bittrex Data'!C496="LIMIT_BUY",Bittrex!D496="USD"),"Buy","Trade")))</f>
        <v/>
      </c>
      <c r="D496" t="str">
        <f>IF('Bittrex Data'!B496="","",LEFT(LEFT('Bittrex Data'!B496,SEARCH("-",'Bittrex Data'!B496,1)),LEN(LEFT('Bittrex Data'!B496,SEARCH("-",'Bittrex Data'!B496,1)))-1))</f>
        <v/>
      </c>
      <c r="E496" t="str">
        <f>IF('Bittrex Data'!B496="","",RIGHT(RIGHT('Bittrex Data'!B496,LEN('Bittrex Data'!B496)-SEARCH("-",'Bittrex Data'!B496,1)+1),LEN(RIGHT('Bittrex Data'!B496,LEN('Bittrex Data'!B496)-SEARCH("-",'Bittrex Data'!B496,1)+1))-1))</f>
        <v/>
      </c>
      <c r="F496" t="str">
        <f>IF('Bittrex Data'!C496="","",IF('Bittrex Data'!C496="Limit_Sell",'Bittrex Data'!G496-'Bittrex Data'!F496,IF('Bittrex Data'!C496="Limit_Buy",'Bittrex Data'!G496+'Bittrex Data'!F496,"")))</f>
        <v/>
      </c>
      <c r="G496" t="str">
        <f>IF('Bittrex Data'!B496="","",'Bittrex Data'!D496)</f>
        <v/>
      </c>
      <c r="H496" t="str">
        <f>IF('Bittrex Data'!C496="","",IF(Bittrex!C496="Buy",Bittrex!D496,IF(Bittrex!C496="Sale",Bittrex!E496,IF(AND(Bittrex!C496="Trade",'Bittrex Data'!C496="Limit_Sell"),Bittrex!E496,IF(AND(Bittrex!C496="Trade",'Bittrex Data'!C496="Limit_Buy"),Bittrex!D496,"")))))</f>
        <v/>
      </c>
      <c r="I496" t="str">
        <f>IF('Bittrex Data'!C496="","",IF(Bittrex!C496="Buy",F496,IF(C496="Sale",Bittrex!G496,IF(AND(C496="Trade",'Bittrex Data'!C496="Limit_Sell"),Bittrex!G496,IF(AND(Bittrex!C496="Trade",'Bittrex Data'!C496="Limit_Buy"),F496,"")))))</f>
        <v/>
      </c>
      <c r="J496" t="str">
        <f>IF('Bittrex Data'!B496="","",IF('Bittrex Data'!B496="","",IF(Bittrex!H496=Bittrex!E496,D496,Bittrex!E496)))</f>
        <v/>
      </c>
      <c r="K496" t="str">
        <f>IF('Bittrex Data'!B496="","",IF(Bittrex!I496=Bittrex!G496,Bittrex!F496,Bittrex!G496))</f>
        <v/>
      </c>
    </row>
    <row r="497" spans="3:11" x14ac:dyDescent="0.2">
      <c r="C497" t="str">
        <f>IF('Bittrex Data'!A497="","",IF(AND('Bittrex Data'!C497="LIMIT_SELL",Bittrex!D497="USD"),"Sale",IF(AND('Bittrex Data'!C497="LIMIT_BUY",Bittrex!D497="USD"),"Buy","Trade")))</f>
        <v/>
      </c>
      <c r="D497" t="str">
        <f>IF('Bittrex Data'!B497="","",LEFT(LEFT('Bittrex Data'!B497,SEARCH("-",'Bittrex Data'!B497,1)),LEN(LEFT('Bittrex Data'!B497,SEARCH("-",'Bittrex Data'!B497,1)))-1))</f>
        <v/>
      </c>
      <c r="E497" t="str">
        <f>IF('Bittrex Data'!B497="","",RIGHT(RIGHT('Bittrex Data'!B497,LEN('Bittrex Data'!B497)-SEARCH("-",'Bittrex Data'!B497,1)+1),LEN(RIGHT('Bittrex Data'!B497,LEN('Bittrex Data'!B497)-SEARCH("-",'Bittrex Data'!B497,1)+1))-1))</f>
        <v/>
      </c>
      <c r="F497" t="str">
        <f>IF('Bittrex Data'!C497="","",IF('Bittrex Data'!C497="Limit_Sell",'Bittrex Data'!G497-'Bittrex Data'!F497,IF('Bittrex Data'!C497="Limit_Buy",'Bittrex Data'!G497+'Bittrex Data'!F497,"")))</f>
        <v/>
      </c>
      <c r="G497" t="str">
        <f>IF('Bittrex Data'!B497="","",'Bittrex Data'!D497)</f>
        <v/>
      </c>
      <c r="H497" t="str">
        <f>IF('Bittrex Data'!C497="","",IF(Bittrex!C497="Buy",Bittrex!D497,IF(Bittrex!C497="Sale",Bittrex!E497,IF(AND(Bittrex!C497="Trade",'Bittrex Data'!C497="Limit_Sell"),Bittrex!E497,IF(AND(Bittrex!C497="Trade",'Bittrex Data'!C497="Limit_Buy"),Bittrex!D497,"")))))</f>
        <v/>
      </c>
      <c r="I497" t="str">
        <f>IF('Bittrex Data'!C497="","",IF(Bittrex!C497="Buy",F497,IF(C497="Sale",Bittrex!G497,IF(AND(C497="Trade",'Bittrex Data'!C497="Limit_Sell"),Bittrex!G497,IF(AND(Bittrex!C497="Trade",'Bittrex Data'!C497="Limit_Buy"),F497,"")))))</f>
        <v/>
      </c>
      <c r="J497" t="str">
        <f>IF('Bittrex Data'!B497="","",IF('Bittrex Data'!B497="","",IF(Bittrex!H497=Bittrex!E497,D497,Bittrex!E497)))</f>
        <v/>
      </c>
      <c r="K497" t="str">
        <f>IF('Bittrex Data'!B497="","",IF(Bittrex!I497=Bittrex!G497,Bittrex!F497,Bittrex!G497))</f>
        <v/>
      </c>
    </row>
    <row r="498" spans="3:11" x14ac:dyDescent="0.2">
      <c r="C498" t="str">
        <f>IF('Bittrex Data'!A498="","",IF(AND('Bittrex Data'!C498="LIMIT_SELL",Bittrex!D498="USD"),"Sale",IF(AND('Bittrex Data'!C498="LIMIT_BUY",Bittrex!D498="USD"),"Buy","Trade")))</f>
        <v/>
      </c>
      <c r="D498" t="str">
        <f>IF('Bittrex Data'!B498="","",LEFT(LEFT('Bittrex Data'!B498,SEARCH("-",'Bittrex Data'!B498,1)),LEN(LEFT('Bittrex Data'!B498,SEARCH("-",'Bittrex Data'!B498,1)))-1))</f>
        <v/>
      </c>
      <c r="E498" t="str">
        <f>IF('Bittrex Data'!B498="","",RIGHT(RIGHT('Bittrex Data'!B498,LEN('Bittrex Data'!B498)-SEARCH("-",'Bittrex Data'!B498,1)+1),LEN(RIGHT('Bittrex Data'!B498,LEN('Bittrex Data'!B498)-SEARCH("-",'Bittrex Data'!B498,1)+1))-1))</f>
        <v/>
      </c>
      <c r="F498" t="str">
        <f>IF('Bittrex Data'!C498="","",IF('Bittrex Data'!C498="Limit_Sell",'Bittrex Data'!G498-'Bittrex Data'!F498,IF('Bittrex Data'!C498="Limit_Buy",'Bittrex Data'!G498+'Bittrex Data'!F498,"")))</f>
        <v/>
      </c>
      <c r="G498" t="str">
        <f>IF('Bittrex Data'!B498="","",'Bittrex Data'!D498)</f>
        <v/>
      </c>
      <c r="H498" t="str">
        <f>IF('Bittrex Data'!C498="","",IF(Bittrex!C498="Buy",Bittrex!D498,IF(Bittrex!C498="Sale",Bittrex!E498,IF(AND(Bittrex!C498="Trade",'Bittrex Data'!C498="Limit_Sell"),Bittrex!E498,IF(AND(Bittrex!C498="Trade",'Bittrex Data'!C498="Limit_Buy"),Bittrex!D498,"")))))</f>
        <v/>
      </c>
      <c r="I498" t="str">
        <f>IF('Bittrex Data'!C498="","",IF(Bittrex!C498="Buy",F498,IF(C498="Sale",Bittrex!G498,IF(AND(C498="Trade",'Bittrex Data'!C498="Limit_Sell"),Bittrex!G498,IF(AND(Bittrex!C498="Trade",'Bittrex Data'!C498="Limit_Buy"),F498,"")))))</f>
        <v/>
      </c>
      <c r="J498" t="str">
        <f>IF('Bittrex Data'!B498="","",IF('Bittrex Data'!B498="","",IF(Bittrex!H498=Bittrex!E498,D498,Bittrex!E498)))</f>
        <v/>
      </c>
      <c r="K498" t="str">
        <f>IF('Bittrex Data'!B498="","",IF(Bittrex!I498=Bittrex!G498,Bittrex!F498,Bittrex!G498))</f>
        <v/>
      </c>
    </row>
    <row r="499" spans="3:11" x14ac:dyDescent="0.2">
      <c r="C499" t="str">
        <f>IF('Bittrex Data'!A499="","",IF(AND('Bittrex Data'!C499="LIMIT_SELL",Bittrex!D499="USD"),"Sale",IF(AND('Bittrex Data'!C499="LIMIT_BUY",Bittrex!D499="USD"),"Buy","Trade")))</f>
        <v/>
      </c>
      <c r="D499" t="str">
        <f>IF('Bittrex Data'!B499="","",LEFT(LEFT('Bittrex Data'!B499,SEARCH("-",'Bittrex Data'!B499,1)),LEN(LEFT('Bittrex Data'!B499,SEARCH("-",'Bittrex Data'!B499,1)))-1))</f>
        <v/>
      </c>
      <c r="E499" t="str">
        <f>IF('Bittrex Data'!B499="","",RIGHT(RIGHT('Bittrex Data'!B499,LEN('Bittrex Data'!B499)-SEARCH("-",'Bittrex Data'!B499,1)+1),LEN(RIGHT('Bittrex Data'!B499,LEN('Bittrex Data'!B499)-SEARCH("-",'Bittrex Data'!B499,1)+1))-1))</f>
        <v/>
      </c>
      <c r="F499" t="str">
        <f>IF('Bittrex Data'!C499="","",IF('Bittrex Data'!C499="Limit_Sell",'Bittrex Data'!G499-'Bittrex Data'!F499,IF('Bittrex Data'!C499="Limit_Buy",'Bittrex Data'!G499+'Bittrex Data'!F499,"")))</f>
        <v/>
      </c>
      <c r="G499" t="str">
        <f>IF('Bittrex Data'!B499="","",'Bittrex Data'!D499)</f>
        <v/>
      </c>
      <c r="H499" t="str">
        <f>IF('Bittrex Data'!C499="","",IF(Bittrex!C499="Buy",Bittrex!D499,IF(Bittrex!C499="Sale",Bittrex!E499,IF(AND(Bittrex!C499="Trade",'Bittrex Data'!C499="Limit_Sell"),Bittrex!E499,IF(AND(Bittrex!C499="Trade",'Bittrex Data'!C499="Limit_Buy"),Bittrex!D499,"")))))</f>
        <v/>
      </c>
      <c r="I499" t="str">
        <f>IF('Bittrex Data'!C499="","",IF(Bittrex!C499="Buy",F499,IF(C499="Sale",Bittrex!G499,IF(AND(C499="Trade",'Bittrex Data'!C499="Limit_Sell"),Bittrex!G499,IF(AND(Bittrex!C499="Trade",'Bittrex Data'!C499="Limit_Buy"),F499,"")))))</f>
        <v/>
      </c>
      <c r="J499" t="str">
        <f>IF('Bittrex Data'!B499="","",IF('Bittrex Data'!B499="","",IF(Bittrex!H499=Bittrex!E499,D499,Bittrex!E499)))</f>
        <v/>
      </c>
      <c r="K499" t="str">
        <f>IF('Bittrex Data'!B499="","",IF(Bittrex!I499=Bittrex!G499,Bittrex!F499,Bittrex!G499))</f>
        <v/>
      </c>
    </row>
    <row r="500" spans="3:11" x14ac:dyDescent="0.2">
      <c r="C500" t="str">
        <f>IF('Bittrex Data'!A500="","",IF(AND('Bittrex Data'!C500="LIMIT_SELL",Bittrex!D500="USD"),"Sale",IF(AND('Bittrex Data'!C500="LIMIT_BUY",Bittrex!D500="USD"),"Buy","Trade")))</f>
        <v/>
      </c>
      <c r="D500" t="str">
        <f>IF('Bittrex Data'!B500="","",LEFT(LEFT('Bittrex Data'!B500,SEARCH("-",'Bittrex Data'!B500,1)),LEN(LEFT('Bittrex Data'!B500,SEARCH("-",'Bittrex Data'!B500,1)))-1))</f>
        <v/>
      </c>
      <c r="E500" t="str">
        <f>IF('Bittrex Data'!B500="","",RIGHT(RIGHT('Bittrex Data'!B500,LEN('Bittrex Data'!B500)-SEARCH("-",'Bittrex Data'!B500,1)+1),LEN(RIGHT('Bittrex Data'!B500,LEN('Bittrex Data'!B500)-SEARCH("-",'Bittrex Data'!B500,1)+1))-1))</f>
        <v/>
      </c>
      <c r="F500" t="str">
        <f>IF('Bittrex Data'!C500="","",IF('Bittrex Data'!C500="Limit_Sell",'Bittrex Data'!G500-'Bittrex Data'!F500,IF('Bittrex Data'!C500="Limit_Buy",'Bittrex Data'!G500+'Bittrex Data'!F500,"")))</f>
        <v/>
      </c>
      <c r="G500" t="str">
        <f>IF('Bittrex Data'!B500="","",'Bittrex Data'!D500)</f>
        <v/>
      </c>
      <c r="H500" t="str">
        <f>IF('Bittrex Data'!C500="","",IF(Bittrex!C500="Buy",Bittrex!D500,IF(Bittrex!C500="Sale",Bittrex!E500,IF(AND(Bittrex!C500="Trade",'Bittrex Data'!C500="Limit_Sell"),Bittrex!E500,IF(AND(Bittrex!C500="Trade",'Bittrex Data'!C500="Limit_Buy"),Bittrex!D500,"")))))</f>
        <v/>
      </c>
      <c r="I500" t="str">
        <f>IF('Bittrex Data'!C500="","",IF(Bittrex!C500="Buy",F500,IF(C500="Sale",Bittrex!G500,IF(AND(C500="Trade",'Bittrex Data'!C500="Limit_Sell"),Bittrex!G500,IF(AND(Bittrex!C500="Trade",'Bittrex Data'!C500="Limit_Buy"),F500,"")))))</f>
        <v/>
      </c>
      <c r="J500" t="str">
        <f>IF('Bittrex Data'!B500="","",IF('Bittrex Data'!B500="","",IF(Bittrex!H500=Bittrex!E500,D500,Bittrex!E500)))</f>
        <v/>
      </c>
      <c r="K500" t="str">
        <f>IF('Bittrex Data'!B500="","",IF(Bittrex!I500=Bittrex!G500,Bittrex!F500,Bittrex!G500))</f>
        <v/>
      </c>
    </row>
    <row r="501" spans="3:11" x14ac:dyDescent="0.2">
      <c r="C501" t="str">
        <f>IF('Bittrex Data'!A501="","",IF(AND('Bittrex Data'!C501="LIMIT_SELL",Bittrex!D501="USD"),"Sale",IF(AND('Bittrex Data'!C501="LIMIT_BUY",Bittrex!D501="USD"),"Buy","Trade")))</f>
        <v/>
      </c>
      <c r="D501" t="str">
        <f>IF('Bittrex Data'!B501="","",LEFT(LEFT('Bittrex Data'!B501,SEARCH("-",'Bittrex Data'!B501,1)),LEN(LEFT('Bittrex Data'!B501,SEARCH("-",'Bittrex Data'!B501,1)))-1))</f>
        <v/>
      </c>
      <c r="E501" t="str">
        <f>IF('Bittrex Data'!B501="","",RIGHT(RIGHT('Bittrex Data'!B501,LEN('Bittrex Data'!B501)-SEARCH("-",'Bittrex Data'!B501,1)+1),LEN(RIGHT('Bittrex Data'!B501,LEN('Bittrex Data'!B501)-SEARCH("-",'Bittrex Data'!B501,1)+1))-1))</f>
        <v/>
      </c>
      <c r="F501" t="str">
        <f>IF('Bittrex Data'!C501="","",IF('Bittrex Data'!C501="Limit_Sell",'Bittrex Data'!G501-'Bittrex Data'!F501,IF('Bittrex Data'!C501="Limit_Buy",'Bittrex Data'!G501+'Bittrex Data'!F501,"")))</f>
        <v/>
      </c>
      <c r="G501" t="str">
        <f>IF('Bittrex Data'!B501="","",'Bittrex Data'!D501)</f>
        <v/>
      </c>
      <c r="H501" t="str">
        <f>IF('Bittrex Data'!C501="","",IF(Bittrex!C501="Buy",Bittrex!D501,IF(Bittrex!C501="Sale",Bittrex!E501,IF(AND(Bittrex!C501="Trade",'Bittrex Data'!C501="Limit_Sell"),Bittrex!E501,IF(AND(Bittrex!C501="Trade",'Bittrex Data'!C501="Limit_Buy"),Bittrex!D501,"")))))</f>
        <v/>
      </c>
      <c r="I501" t="str">
        <f>IF('Bittrex Data'!C501="","",IF(Bittrex!C501="Buy",F501,IF(C501="Sale",Bittrex!G501,IF(AND(C501="Trade",'Bittrex Data'!C501="Limit_Sell"),Bittrex!G501,IF(AND(Bittrex!C501="Trade",'Bittrex Data'!C501="Limit_Buy"),F501,"")))))</f>
        <v/>
      </c>
      <c r="J501" t="str">
        <f>IF('Bittrex Data'!B501="","",IF('Bittrex Data'!B501="","",IF(Bittrex!H501=Bittrex!E501,D501,Bittrex!E501)))</f>
        <v/>
      </c>
      <c r="K501" t="str">
        <f>IF('Bittrex Data'!B501="","",IF(Bittrex!I501=Bittrex!G501,Bittrex!F501,Bittrex!G501))</f>
        <v/>
      </c>
    </row>
    <row r="502" spans="3:11" x14ac:dyDescent="0.2">
      <c r="C502" t="str">
        <f>IF('Bittrex Data'!A502="","",IF(AND('Bittrex Data'!C502="LIMIT_SELL",Bittrex!D502="USD"),"Sale",IF(AND('Bittrex Data'!C502="LIMIT_BUY",Bittrex!D502="USD"),"Buy","Trade")))</f>
        <v/>
      </c>
      <c r="D502" t="str">
        <f>IF('Bittrex Data'!B502="","",LEFT(LEFT('Bittrex Data'!B502,SEARCH("-",'Bittrex Data'!B502,1)),LEN(LEFT('Bittrex Data'!B502,SEARCH("-",'Bittrex Data'!B502,1)))-1))</f>
        <v/>
      </c>
      <c r="E502" t="str">
        <f>IF('Bittrex Data'!B502="","",RIGHT(RIGHT('Bittrex Data'!B502,LEN('Bittrex Data'!B502)-SEARCH("-",'Bittrex Data'!B502,1)+1),LEN(RIGHT('Bittrex Data'!B502,LEN('Bittrex Data'!B502)-SEARCH("-",'Bittrex Data'!B502,1)+1))-1))</f>
        <v/>
      </c>
      <c r="F502" t="str">
        <f>IF('Bittrex Data'!C502="","",IF('Bittrex Data'!C502="Limit_Sell",'Bittrex Data'!G502-'Bittrex Data'!F502,IF('Bittrex Data'!C502="Limit_Buy",'Bittrex Data'!G502+'Bittrex Data'!F502,"")))</f>
        <v/>
      </c>
      <c r="G502" t="str">
        <f>IF('Bittrex Data'!B502="","",'Bittrex Data'!D502)</f>
        <v/>
      </c>
      <c r="H502" t="str">
        <f>IF('Bittrex Data'!C502="","",IF(Bittrex!C502="Buy",Bittrex!D502,IF(Bittrex!C502="Sale",Bittrex!E502,IF(AND(Bittrex!C502="Trade",'Bittrex Data'!C502="Limit_Sell"),Bittrex!E502,IF(AND(Bittrex!C502="Trade",'Bittrex Data'!C502="Limit_Buy"),Bittrex!D502,"")))))</f>
        <v/>
      </c>
      <c r="I502" t="str">
        <f>IF('Bittrex Data'!C502="","",IF(Bittrex!C502="Buy",F502,IF(C502="Sale",Bittrex!G502,IF(AND(C502="Trade",'Bittrex Data'!C502="Limit_Sell"),Bittrex!G502,IF(AND(Bittrex!C502="Trade",'Bittrex Data'!C502="Limit_Buy"),F502,"")))))</f>
        <v/>
      </c>
      <c r="J502" t="str">
        <f>IF('Bittrex Data'!B502="","",IF('Bittrex Data'!B502="","",IF(Bittrex!H502=Bittrex!E502,D502,Bittrex!E502)))</f>
        <v/>
      </c>
      <c r="K502" t="str">
        <f>IF('Bittrex Data'!B502="","",IF(Bittrex!I502=Bittrex!G502,Bittrex!F502,Bittrex!G502))</f>
        <v/>
      </c>
    </row>
    <row r="503" spans="3:11" x14ac:dyDescent="0.2">
      <c r="C503" t="str">
        <f>IF('Bittrex Data'!A503="","",IF(AND('Bittrex Data'!C503="LIMIT_SELL",Bittrex!D503="USD"),"Sale",IF(AND('Bittrex Data'!C503="LIMIT_BUY",Bittrex!D503="USD"),"Buy","Trade")))</f>
        <v/>
      </c>
      <c r="D503" t="str">
        <f>IF('Bittrex Data'!B503="","",LEFT(LEFT('Bittrex Data'!B503,SEARCH("-",'Bittrex Data'!B503,1)),LEN(LEFT('Bittrex Data'!B503,SEARCH("-",'Bittrex Data'!B503,1)))-1))</f>
        <v/>
      </c>
      <c r="E503" t="str">
        <f>IF('Bittrex Data'!B503="","",RIGHT(RIGHT('Bittrex Data'!B503,LEN('Bittrex Data'!B503)-SEARCH("-",'Bittrex Data'!B503,1)+1),LEN(RIGHT('Bittrex Data'!B503,LEN('Bittrex Data'!B503)-SEARCH("-",'Bittrex Data'!B503,1)+1))-1))</f>
        <v/>
      </c>
      <c r="F503" t="str">
        <f>IF('Bittrex Data'!C503="","",IF('Bittrex Data'!C503="Limit_Sell",'Bittrex Data'!G503-'Bittrex Data'!F503,IF('Bittrex Data'!C503="Limit_Buy",'Bittrex Data'!G503+'Bittrex Data'!F503,"")))</f>
        <v/>
      </c>
      <c r="G503" t="str">
        <f>IF('Bittrex Data'!B503="","",'Bittrex Data'!D503)</f>
        <v/>
      </c>
      <c r="H503" t="str">
        <f>IF('Bittrex Data'!C503="","",IF(Bittrex!C503="Buy",Bittrex!D503,IF(Bittrex!C503="Sale",Bittrex!E503,IF(AND(Bittrex!C503="Trade",'Bittrex Data'!C503="Limit_Sell"),Bittrex!E503,IF(AND(Bittrex!C503="Trade",'Bittrex Data'!C503="Limit_Buy"),Bittrex!D503,"")))))</f>
        <v/>
      </c>
      <c r="I503" t="str">
        <f>IF('Bittrex Data'!C503="","",IF(Bittrex!C503="Buy",F503,IF(C503="Sale",Bittrex!G503,IF(AND(C503="Trade",'Bittrex Data'!C503="Limit_Sell"),Bittrex!G503,IF(AND(Bittrex!C503="Trade",'Bittrex Data'!C503="Limit_Buy"),F503,"")))))</f>
        <v/>
      </c>
      <c r="J503" t="str">
        <f>IF('Bittrex Data'!B503="","",IF('Bittrex Data'!B503="","",IF(Bittrex!H503=Bittrex!E503,D503,Bittrex!E503)))</f>
        <v/>
      </c>
      <c r="K503" t="str">
        <f>IF('Bittrex Data'!B503="","",IF(Bittrex!I503=Bittrex!G503,Bittrex!F503,Bittrex!G503))</f>
        <v/>
      </c>
    </row>
    <row r="504" spans="3:11" x14ac:dyDescent="0.2">
      <c r="C504" t="str">
        <f>IF('Bittrex Data'!A504="","",IF(AND('Bittrex Data'!C504="LIMIT_SELL",Bittrex!D504="USD"),"Sale",IF(AND('Bittrex Data'!C504="LIMIT_BUY",Bittrex!D504="USD"),"Buy","Trade")))</f>
        <v/>
      </c>
      <c r="D504" t="str">
        <f>IF('Bittrex Data'!B504="","",LEFT(LEFT('Bittrex Data'!B504,SEARCH("-",'Bittrex Data'!B504,1)),LEN(LEFT('Bittrex Data'!B504,SEARCH("-",'Bittrex Data'!B504,1)))-1))</f>
        <v/>
      </c>
      <c r="E504" t="str">
        <f>IF('Bittrex Data'!B504="","",RIGHT(RIGHT('Bittrex Data'!B504,LEN('Bittrex Data'!B504)-SEARCH("-",'Bittrex Data'!B504,1)+1),LEN(RIGHT('Bittrex Data'!B504,LEN('Bittrex Data'!B504)-SEARCH("-",'Bittrex Data'!B504,1)+1))-1))</f>
        <v/>
      </c>
      <c r="F504" t="str">
        <f>IF('Bittrex Data'!C504="","",IF('Bittrex Data'!C504="Limit_Sell",'Bittrex Data'!G504-'Bittrex Data'!F504,IF('Bittrex Data'!C504="Limit_Buy",'Bittrex Data'!G504+'Bittrex Data'!F504,"")))</f>
        <v/>
      </c>
      <c r="G504" t="str">
        <f>IF('Bittrex Data'!B504="","",'Bittrex Data'!D504)</f>
        <v/>
      </c>
      <c r="H504" t="str">
        <f>IF('Bittrex Data'!C504="","",IF(Bittrex!C504="Buy",Bittrex!D504,IF(Bittrex!C504="Sale",Bittrex!E504,IF(AND(Bittrex!C504="Trade",'Bittrex Data'!C504="Limit_Sell"),Bittrex!E504,IF(AND(Bittrex!C504="Trade",'Bittrex Data'!C504="Limit_Buy"),Bittrex!D504,"")))))</f>
        <v/>
      </c>
      <c r="I504" t="str">
        <f>IF('Bittrex Data'!C504="","",IF(Bittrex!C504="Buy",F504,IF(C504="Sale",Bittrex!G504,IF(AND(C504="Trade",'Bittrex Data'!C504="Limit_Sell"),Bittrex!G504,IF(AND(Bittrex!C504="Trade",'Bittrex Data'!C504="Limit_Buy"),F504,"")))))</f>
        <v/>
      </c>
      <c r="J504" t="str">
        <f>IF('Bittrex Data'!B504="","",IF('Bittrex Data'!B504="","",IF(Bittrex!H504=Bittrex!E504,D504,Bittrex!E504)))</f>
        <v/>
      </c>
      <c r="K504" t="str">
        <f>IF('Bittrex Data'!B504="","",IF(Bittrex!I504=Bittrex!G504,Bittrex!F504,Bittrex!G504))</f>
        <v/>
      </c>
    </row>
    <row r="505" spans="3:11" x14ac:dyDescent="0.2">
      <c r="C505" t="str">
        <f>IF('Bittrex Data'!A505="","",IF(AND('Bittrex Data'!C505="LIMIT_SELL",Bittrex!D505="USD"),"Sale",IF(AND('Bittrex Data'!C505="LIMIT_BUY",Bittrex!D505="USD"),"Buy","Trade")))</f>
        <v/>
      </c>
      <c r="D505" t="str">
        <f>IF('Bittrex Data'!B505="","",LEFT(LEFT('Bittrex Data'!B505,SEARCH("-",'Bittrex Data'!B505,1)),LEN(LEFT('Bittrex Data'!B505,SEARCH("-",'Bittrex Data'!B505,1)))-1))</f>
        <v/>
      </c>
      <c r="E505" t="str">
        <f>IF('Bittrex Data'!B505="","",RIGHT(RIGHT('Bittrex Data'!B505,LEN('Bittrex Data'!B505)-SEARCH("-",'Bittrex Data'!B505,1)+1),LEN(RIGHT('Bittrex Data'!B505,LEN('Bittrex Data'!B505)-SEARCH("-",'Bittrex Data'!B505,1)+1))-1))</f>
        <v/>
      </c>
      <c r="F505" t="str">
        <f>IF('Bittrex Data'!C505="","",IF('Bittrex Data'!C505="Limit_Sell",'Bittrex Data'!G505-'Bittrex Data'!F505,IF('Bittrex Data'!C505="Limit_Buy",'Bittrex Data'!G505+'Bittrex Data'!F505,"")))</f>
        <v/>
      </c>
      <c r="G505" t="str">
        <f>IF('Bittrex Data'!B505="","",'Bittrex Data'!D505)</f>
        <v/>
      </c>
      <c r="H505" t="str">
        <f>IF('Bittrex Data'!C505="","",IF(Bittrex!C505="Buy",Bittrex!D505,IF(Bittrex!C505="Sale",Bittrex!E505,IF(AND(Bittrex!C505="Trade",'Bittrex Data'!C505="Limit_Sell"),Bittrex!E505,IF(AND(Bittrex!C505="Trade",'Bittrex Data'!C505="Limit_Buy"),Bittrex!D505,"")))))</f>
        <v/>
      </c>
      <c r="I505" t="str">
        <f>IF('Bittrex Data'!C505="","",IF(Bittrex!C505="Buy",F505,IF(C505="Sale",Bittrex!G505,IF(AND(C505="Trade",'Bittrex Data'!C505="Limit_Sell"),Bittrex!G505,IF(AND(Bittrex!C505="Trade",'Bittrex Data'!C505="Limit_Buy"),F505,"")))))</f>
        <v/>
      </c>
      <c r="J505" t="str">
        <f>IF('Bittrex Data'!B505="","",IF('Bittrex Data'!B505="","",IF(Bittrex!H505=Bittrex!E505,D505,Bittrex!E505)))</f>
        <v/>
      </c>
      <c r="K505" t="str">
        <f>IF('Bittrex Data'!B505="","",IF(Bittrex!I505=Bittrex!G505,Bittrex!F505,Bittrex!G505))</f>
        <v/>
      </c>
    </row>
    <row r="506" spans="3:11" x14ac:dyDescent="0.2">
      <c r="C506" t="str">
        <f>IF('Bittrex Data'!A506="","",IF(AND('Bittrex Data'!C506="LIMIT_SELL",Bittrex!D506="USD"),"Sale",IF(AND('Bittrex Data'!C506="LIMIT_BUY",Bittrex!D506="USD"),"Buy","Trade")))</f>
        <v/>
      </c>
      <c r="D506" t="str">
        <f>IF('Bittrex Data'!B506="","",LEFT(LEFT('Bittrex Data'!B506,SEARCH("-",'Bittrex Data'!B506,1)),LEN(LEFT('Bittrex Data'!B506,SEARCH("-",'Bittrex Data'!B506,1)))-1))</f>
        <v/>
      </c>
      <c r="E506" t="str">
        <f>IF('Bittrex Data'!B506="","",RIGHT(RIGHT('Bittrex Data'!B506,LEN('Bittrex Data'!B506)-SEARCH("-",'Bittrex Data'!B506,1)+1),LEN(RIGHT('Bittrex Data'!B506,LEN('Bittrex Data'!B506)-SEARCH("-",'Bittrex Data'!B506,1)+1))-1))</f>
        <v/>
      </c>
      <c r="F506" t="str">
        <f>IF('Bittrex Data'!C506="","",IF('Bittrex Data'!C506="Limit_Sell",'Bittrex Data'!G506-'Bittrex Data'!F506,IF('Bittrex Data'!C506="Limit_Buy",'Bittrex Data'!G506+'Bittrex Data'!F506,"")))</f>
        <v/>
      </c>
      <c r="G506" t="str">
        <f>IF('Bittrex Data'!B506="","",'Bittrex Data'!D506)</f>
        <v/>
      </c>
      <c r="H506" t="str">
        <f>IF('Bittrex Data'!C506="","",IF(Bittrex!C506="Buy",Bittrex!D506,IF(Bittrex!C506="Sale",Bittrex!E506,IF(AND(Bittrex!C506="Trade",'Bittrex Data'!C506="Limit_Sell"),Bittrex!E506,IF(AND(Bittrex!C506="Trade",'Bittrex Data'!C506="Limit_Buy"),Bittrex!D506,"")))))</f>
        <v/>
      </c>
      <c r="I506" t="str">
        <f>IF('Bittrex Data'!C506="","",IF(Bittrex!C506="Buy",F506,IF(C506="Sale",Bittrex!G506,IF(AND(C506="Trade",'Bittrex Data'!C506="Limit_Sell"),Bittrex!G506,IF(AND(Bittrex!C506="Trade",'Bittrex Data'!C506="Limit_Buy"),F506,"")))))</f>
        <v/>
      </c>
      <c r="J506" t="str">
        <f>IF('Bittrex Data'!B506="","",IF('Bittrex Data'!B506="","",IF(Bittrex!H506=Bittrex!E506,D506,Bittrex!E506)))</f>
        <v/>
      </c>
      <c r="K506" t="str">
        <f>IF('Bittrex Data'!B506="","",IF(Bittrex!I506=Bittrex!G506,Bittrex!F506,Bittrex!G506))</f>
        <v/>
      </c>
    </row>
    <row r="507" spans="3:11" x14ac:dyDescent="0.2">
      <c r="C507" t="str">
        <f>IF('Bittrex Data'!A507="","",IF(AND('Bittrex Data'!C507="LIMIT_SELL",Bittrex!D507="USD"),"Sale",IF(AND('Bittrex Data'!C507="LIMIT_BUY",Bittrex!D507="USD"),"Buy","Trade")))</f>
        <v/>
      </c>
      <c r="D507" t="str">
        <f>IF('Bittrex Data'!B507="","",LEFT(LEFT('Bittrex Data'!B507,SEARCH("-",'Bittrex Data'!B507,1)),LEN(LEFT('Bittrex Data'!B507,SEARCH("-",'Bittrex Data'!B507,1)))-1))</f>
        <v/>
      </c>
      <c r="E507" t="str">
        <f>IF('Bittrex Data'!B507="","",RIGHT(RIGHT('Bittrex Data'!B507,LEN('Bittrex Data'!B507)-SEARCH("-",'Bittrex Data'!B507,1)+1),LEN(RIGHT('Bittrex Data'!B507,LEN('Bittrex Data'!B507)-SEARCH("-",'Bittrex Data'!B507,1)+1))-1))</f>
        <v/>
      </c>
      <c r="F507" t="str">
        <f>IF('Bittrex Data'!C507="","",IF('Bittrex Data'!C507="Limit_Sell",'Bittrex Data'!G507-'Bittrex Data'!F507,IF('Bittrex Data'!C507="Limit_Buy",'Bittrex Data'!G507+'Bittrex Data'!F507,"")))</f>
        <v/>
      </c>
      <c r="G507" t="str">
        <f>IF('Bittrex Data'!B507="","",'Bittrex Data'!D507)</f>
        <v/>
      </c>
      <c r="H507" t="str">
        <f>IF('Bittrex Data'!C507="","",IF(Bittrex!C507="Buy",Bittrex!D507,IF(Bittrex!C507="Sale",Bittrex!E507,IF(AND(Bittrex!C507="Trade",'Bittrex Data'!C507="Limit_Sell"),Bittrex!E507,IF(AND(Bittrex!C507="Trade",'Bittrex Data'!C507="Limit_Buy"),Bittrex!D507,"")))))</f>
        <v/>
      </c>
      <c r="I507" t="str">
        <f>IF('Bittrex Data'!C507="","",IF(Bittrex!C507="Buy",F507,IF(C507="Sale",Bittrex!G507,IF(AND(C507="Trade",'Bittrex Data'!C507="Limit_Sell"),Bittrex!G507,IF(AND(Bittrex!C507="Trade",'Bittrex Data'!C507="Limit_Buy"),F507,"")))))</f>
        <v/>
      </c>
      <c r="J507" t="str">
        <f>IF('Bittrex Data'!B507="","",IF('Bittrex Data'!B507="","",IF(Bittrex!H507=Bittrex!E507,D507,Bittrex!E507)))</f>
        <v/>
      </c>
      <c r="K507" t="str">
        <f>IF('Bittrex Data'!B507="","",IF(Bittrex!I507=Bittrex!G507,Bittrex!F507,Bittrex!G507))</f>
        <v/>
      </c>
    </row>
    <row r="508" spans="3:11" x14ac:dyDescent="0.2">
      <c r="C508" t="str">
        <f>IF('Bittrex Data'!A508="","",IF(AND('Bittrex Data'!C508="LIMIT_SELL",Bittrex!D508="USD"),"Sale",IF(AND('Bittrex Data'!C508="LIMIT_BUY",Bittrex!D508="USD"),"Buy","Trade")))</f>
        <v/>
      </c>
      <c r="D508" t="str">
        <f>IF('Bittrex Data'!B508="","",LEFT(LEFT('Bittrex Data'!B508,SEARCH("-",'Bittrex Data'!B508,1)),LEN(LEFT('Bittrex Data'!B508,SEARCH("-",'Bittrex Data'!B508,1)))-1))</f>
        <v/>
      </c>
      <c r="E508" t="str">
        <f>IF('Bittrex Data'!B508="","",RIGHT(RIGHT('Bittrex Data'!B508,LEN('Bittrex Data'!B508)-SEARCH("-",'Bittrex Data'!B508,1)+1),LEN(RIGHT('Bittrex Data'!B508,LEN('Bittrex Data'!B508)-SEARCH("-",'Bittrex Data'!B508,1)+1))-1))</f>
        <v/>
      </c>
      <c r="F508" t="str">
        <f>IF('Bittrex Data'!C508="","",IF('Bittrex Data'!C508="Limit_Sell",'Bittrex Data'!G508-'Bittrex Data'!F508,IF('Bittrex Data'!C508="Limit_Buy",'Bittrex Data'!G508+'Bittrex Data'!F508,"")))</f>
        <v/>
      </c>
      <c r="G508" t="str">
        <f>IF('Bittrex Data'!B508="","",'Bittrex Data'!D508)</f>
        <v/>
      </c>
      <c r="H508" t="str">
        <f>IF('Bittrex Data'!C508="","",IF(Bittrex!C508="Buy",Bittrex!D508,IF(Bittrex!C508="Sale",Bittrex!E508,IF(AND(Bittrex!C508="Trade",'Bittrex Data'!C508="Limit_Sell"),Bittrex!E508,IF(AND(Bittrex!C508="Trade",'Bittrex Data'!C508="Limit_Buy"),Bittrex!D508,"")))))</f>
        <v/>
      </c>
      <c r="I508" t="str">
        <f>IF('Bittrex Data'!C508="","",IF(Bittrex!C508="Buy",F508,IF(C508="Sale",Bittrex!G508,IF(AND(C508="Trade",'Bittrex Data'!C508="Limit_Sell"),Bittrex!G508,IF(AND(Bittrex!C508="Trade",'Bittrex Data'!C508="Limit_Buy"),F508,"")))))</f>
        <v/>
      </c>
      <c r="J508" t="str">
        <f>IF('Bittrex Data'!B508="","",IF('Bittrex Data'!B508="","",IF(Bittrex!H508=Bittrex!E508,D508,Bittrex!E508)))</f>
        <v/>
      </c>
      <c r="K508" t="str">
        <f>IF('Bittrex Data'!B508="","",IF(Bittrex!I508=Bittrex!G508,Bittrex!F508,Bittrex!G508))</f>
        <v/>
      </c>
    </row>
    <row r="509" spans="3:11" x14ac:dyDescent="0.2">
      <c r="C509" t="str">
        <f>IF('Bittrex Data'!A509="","",IF(AND('Bittrex Data'!C509="LIMIT_SELL",Bittrex!D509="USD"),"Sale",IF(AND('Bittrex Data'!C509="LIMIT_BUY",Bittrex!D509="USD"),"Buy","Trade")))</f>
        <v/>
      </c>
      <c r="D509" t="str">
        <f>IF('Bittrex Data'!B509="","",LEFT(LEFT('Bittrex Data'!B509,SEARCH("-",'Bittrex Data'!B509,1)),LEN(LEFT('Bittrex Data'!B509,SEARCH("-",'Bittrex Data'!B509,1)))-1))</f>
        <v/>
      </c>
      <c r="E509" t="str">
        <f>IF('Bittrex Data'!B509="","",RIGHT(RIGHT('Bittrex Data'!B509,LEN('Bittrex Data'!B509)-SEARCH("-",'Bittrex Data'!B509,1)+1),LEN(RIGHT('Bittrex Data'!B509,LEN('Bittrex Data'!B509)-SEARCH("-",'Bittrex Data'!B509,1)+1))-1))</f>
        <v/>
      </c>
      <c r="F509" t="str">
        <f>IF('Bittrex Data'!C509="","",IF('Bittrex Data'!C509="Limit_Sell",'Bittrex Data'!G509-'Bittrex Data'!F509,IF('Bittrex Data'!C509="Limit_Buy",'Bittrex Data'!G509+'Bittrex Data'!F509,"")))</f>
        <v/>
      </c>
      <c r="G509" t="str">
        <f>IF('Bittrex Data'!B509="","",'Bittrex Data'!D509)</f>
        <v/>
      </c>
      <c r="H509" t="str">
        <f>IF('Bittrex Data'!C509="","",IF(Bittrex!C509="Buy",Bittrex!D509,IF(Bittrex!C509="Sale",Bittrex!E509,IF(AND(Bittrex!C509="Trade",'Bittrex Data'!C509="Limit_Sell"),Bittrex!E509,IF(AND(Bittrex!C509="Trade",'Bittrex Data'!C509="Limit_Buy"),Bittrex!D509,"")))))</f>
        <v/>
      </c>
      <c r="I509" t="str">
        <f>IF('Bittrex Data'!C509="","",IF(Bittrex!C509="Buy",F509,IF(C509="Sale",Bittrex!G509,IF(AND(C509="Trade",'Bittrex Data'!C509="Limit_Sell"),Bittrex!G509,IF(AND(Bittrex!C509="Trade",'Bittrex Data'!C509="Limit_Buy"),F509,"")))))</f>
        <v/>
      </c>
      <c r="J509" t="str">
        <f>IF('Bittrex Data'!B509="","",IF('Bittrex Data'!B509="","",IF(Bittrex!H509=Bittrex!E509,D509,Bittrex!E509)))</f>
        <v/>
      </c>
      <c r="K509" t="str">
        <f>IF('Bittrex Data'!B509="","",IF(Bittrex!I509=Bittrex!G509,Bittrex!F509,Bittrex!G509))</f>
        <v/>
      </c>
    </row>
    <row r="510" spans="3:11" x14ac:dyDescent="0.2">
      <c r="C510" t="str">
        <f>IF('Bittrex Data'!A510="","",IF(AND('Bittrex Data'!C510="LIMIT_SELL",Bittrex!D510="USD"),"Sale",IF(AND('Bittrex Data'!C510="LIMIT_BUY",Bittrex!D510="USD"),"Buy","Trade")))</f>
        <v/>
      </c>
      <c r="D510" t="str">
        <f>IF('Bittrex Data'!B510="","",LEFT(LEFT('Bittrex Data'!B510,SEARCH("-",'Bittrex Data'!B510,1)),LEN(LEFT('Bittrex Data'!B510,SEARCH("-",'Bittrex Data'!B510,1)))-1))</f>
        <v/>
      </c>
      <c r="E510" t="str">
        <f>IF('Bittrex Data'!B510="","",RIGHT(RIGHT('Bittrex Data'!B510,LEN('Bittrex Data'!B510)-SEARCH("-",'Bittrex Data'!B510,1)+1),LEN(RIGHT('Bittrex Data'!B510,LEN('Bittrex Data'!B510)-SEARCH("-",'Bittrex Data'!B510,1)+1))-1))</f>
        <v/>
      </c>
      <c r="F510" t="str">
        <f>IF('Bittrex Data'!C510="","",IF('Bittrex Data'!C510="Limit_Sell",'Bittrex Data'!G510-'Bittrex Data'!F510,IF('Bittrex Data'!C510="Limit_Buy",'Bittrex Data'!G510+'Bittrex Data'!F510,"")))</f>
        <v/>
      </c>
      <c r="G510" t="str">
        <f>IF('Bittrex Data'!B510="","",'Bittrex Data'!D510)</f>
        <v/>
      </c>
      <c r="H510" t="str">
        <f>IF('Bittrex Data'!C510="","",IF(Bittrex!C510="Buy",Bittrex!D510,IF(Bittrex!C510="Sale",Bittrex!E510,IF(AND(Bittrex!C510="Trade",'Bittrex Data'!C510="Limit_Sell"),Bittrex!E510,IF(AND(Bittrex!C510="Trade",'Bittrex Data'!C510="Limit_Buy"),Bittrex!D510,"")))))</f>
        <v/>
      </c>
      <c r="I510" t="str">
        <f>IF('Bittrex Data'!C510="","",IF(Bittrex!C510="Buy",F510,IF(C510="Sale",Bittrex!G510,IF(AND(C510="Trade",'Bittrex Data'!C510="Limit_Sell"),Bittrex!G510,IF(AND(Bittrex!C510="Trade",'Bittrex Data'!C510="Limit_Buy"),F510,"")))))</f>
        <v/>
      </c>
      <c r="J510" t="str">
        <f>IF('Bittrex Data'!B510="","",IF('Bittrex Data'!B510="","",IF(Bittrex!H510=Bittrex!E510,D510,Bittrex!E510)))</f>
        <v/>
      </c>
      <c r="K510" t="str">
        <f>IF('Bittrex Data'!B510="","",IF(Bittrex!I510=Bittrex!G510,Bittrex!F510,Bittrex!G510))</f>
        <v/>
      </c>
    </row>
    <row r="511" spans="3:11" x14ac:dyDescent="0.2">
      <c r="C511" t="str">
        <f>IF('Bittrex Data'!A511="","",IF(AND('Bittrex Data'!C511="LIMIT_SELL",Bittrex!D511="USD"),"Sale",IF(AND('Bittrex Data'!C511="LIMIT_BUY",Bittrex!D511="USD"),"Buy","Trade")))</f>
        <v/>
      </c>
      <c r="D511" t="str">
        <f>IF('Bittrex Data'!B511="","",LEFT(LEFT('Bittrex Data'!B511,SEARCH("-",'Bittrex Data'!B511,1)),LEN(LEFT('Bittrex Data'!B511,SEARCH("-",'Bittrex Data'!B511,1)))-1))</f>
        <v/>
      </c>
      <c r="E511" t="str">
        <f>IF('Bittrex Data'!B511="","",RIGHT(RIGHT('Bittrex Data'!B511,LEN('Bittrex Data'!B511)-SEARCH("-",'Bittrex Data'!B511,1)+1),LEN(RIGHT('Bittrex Data'!B511,LEN('Bittrex Data'!B511)-SEARCH("-",'Bittrex Data'!B511,1)+1))-1))</f>
        <v/>
      </c>
      <c r="F511" t="str">
        <f>IF('Bittrex Data'!C511="","",IF('Bittrex Data'!C511="Limit_Sell",'Bittrex Data'!G511-'Bittrex Data'!F511,IF('Bittrex Data'!C511="Limit_Buy",'Bittrex Data'!G511+'Bittrex Data'!F511,"")))</f>
        <v/>
      </c>
      <c r="G511" t="str">
        <f>IF('Bittrex Data'!B511="","",'Bittrex Data'!D511)</f>
        <v/>
      </c>
      <c r="H511" t="str">
        <f>IF('Bittrex Data'!C511="","",IF(Bittrex!C511="Buy",Bittrex!D511,IF(Bittrex!C511="Sale",Bittrex!E511,IF(AND(Bittrex!C511="Trade",'Bittrex Data'!C511="Limit_Sell"),Bittrex!E511,IF(AND(Bittrex!C511="Trade",'Bittrex Data'!C511="Limit_Buy"),Bittrex!D511,"")))))</f>
        <v/>
      </c>
      <c r="I511" t="str">
        <f>IF('Bittrex Data'!C511="","",IF(Bittrex!C511="Buy",F511,IF(C511="Sale",Bittrex!G511,IF(AND(C511="Trade",'Bittrex Data'!C511="Limit_Sell"),Bittrex!G511,IF(AND(Bittrex!C511="Trade",'Bittrex Data'!C511="Limit_Buy"),F511,"")))))</f>
        <v/>
      </c>
      <c r="J511" t="str">
        <f>IF('Bittrex Data'!B511="","",IF('Bittrex Data'!B511="","",IF(Bittrex!H511=Bittrex!E511,D511,Bittrex!E511)))</f>
        <v/>
      </c>
      <c r="K511" t="str">
        <f>IF('Bittrex Data'!B511="","",IF(Bittrex!I511=Bittrex!G511,Bittrex!F511,Bittrex!G511))</f>
        <v/>
      </c>
    </row>
    <row r="512" spans="3:11" x14ac:dyDescent="0.2">
      <c r="C512" t="str">
        <f>IF('Bittrex Data'!A512="","",IF(AND('Bittrex Data'!C512="LIMIT_SELL",Bittrex!D512="USD"),"Sale",IF(AND('Bittrex Data'!C512="LIMIT_BUY",Bittrex!D512="USD"),"Buy","Trade")))</f>
        <v/>
      </c>
      <c r="D512" t="str">
        <f>IF('Bittrex Data'!B512="","",LEFT(LEFT('Bittrex Data'!B512,SEARCH("-",'Bittrex Data'!B512,1)),LEN(LEFT('Bittrex Data'!B512,SEARCH("-",'Bittrex Data'!B512,1)))-1))</f>
        <v/>
      </c>
      <c r="E512" t="str">
        <f>IF('Bittrex Data'!B512="","",RIGHT(RIGHT('Bittrex Data'!B512,LEN('Bittrex Data'!B512)-SEARCH("-",'Bittrex Data'!B512,1)+1),LEN(RIGHT('Bittrex Data'!B512,LEN('Bittrex Data'!B512)-SEARCH("-",'Bittrex Data'!B512,1)+1))-1))</f>
        <v/>
      </c>
      <c r="F512" t="str">
        <f>IF('Bittrex Data'!C512="","",IF('Bittrex Data'!C512="Limit_Sell",'Bittrex Data'!G512-'Bittrex Data'!F512,IF('Bittrex Data'!C512="Limit_Buy",'Bittrex Data'!G512+'Bittrex Data'!F512,"")))</f>
        <v/>
      </c>
      <c r="G512" t="str">
        <f>IF('Bittrex Data'!B512="","",'Bittrex Data'!D512)</f>
        <v/>
      </c>
      <c r="H512" t="str">
        <f>IF('Bittrex Data'!C512="","",IF(Bittrex!C512="Buy",Bittrex!D512,IF(Bittrex!C512="Sale",Bittrex!E512,IF(AND(Bittrex!C512="Trade",'Bittrex Data'!C512="Limit_Sell"),Bittrex!E512,IF(AND(Bittrex!C512="Trade",'Bittrex Data'!C512="Limit_Buy"),Bittrex!D512,"")))))</f>
        <v/>
      </c>
      <c r="I512" t="str">
        <f>IF('Bittrex Data'!C512="","",IF(Bittrex!C512="Buy",F512,IF(C512="Sale",Bittrex!G512,IF(AND(C512="Trade",'Bittrex Data'!C512="Limit_Sell"),Bittrex!G512,IF(AND(Bittrex!C512="Trade",'Bittrex Data'!C512="Limit_Buy"),F512,"")))))</f>
        <v/>
      </c>
      <c r="J512" t="str">
        <f>IF('Bittrex Data'!B512="","",IF('Bittrex Data'!B512="","",IF(Bittrex!H512=Bittrex!E512,D512,Bittrex!E512)))</f>
        <v/>
      </c>
      <c r="K512" t="str">
        <f>IF('Bittrex Data'!B512="","",IF(Bittrex!I512=Bittrex!G512,Bittrex!F512,Bittrex!G512))</f>
        <v/>
      </c>
    </row>
    <row r="513" spans="3:11" x14ac:dyDescent="0.2">
      <c r="C513" t="str">
        <f>IF('Bittrex Data'!A513="","",IF(AND('Bittrex Data'!C513="LIMIT_SELL",Bittrex!D513="USD"),"Sale",IF(AND('Bittrex Data'!C513="LIMIT_BUY",Bittrex!D513="USD"),"Buy","Trade")))</f>
        <v/>
      </c>
      <c r="D513" t="str">
        <f>IF('Bittrex Data'!B513="","",LEFT(LEFT('Bittrex Data'!B513,SEARCH("-",'Bittrex Data'!B513,1)),LEN(LEFT('Bittrex Data'!B513,SEARCH("-",'Bittrex Data'!B513,1)))-1))</f>
        <v/>
      </c>
      <c r="E513" t="str">
        <f>IF('Bittrex Data'!B513="","",RIGHT(RIGHT('Bittrex Data'!B513,LEN('Bittrex Data'!B513)-SEARCH("-",'Bittrex Data'!B513,1)+1),LEN(RIGHT('Bittrex Data'!B513,LEN('Bittrex Data'!B513)-SEARCH("-",'Bittrex Data'!B513,1)+1))-1))</f>
        <v/>
      </c>
      <c r="F513" t="str">
        <f>IF('Bittrex Data'!C513="","",IF('Bittrex Data'!C513="Limit_Sell",'Bittrex Data'!G513-'Bittrex Data'!F513,IF('Bittrex Data'!C513="Limit_Buy",'Bittrex Data'!G513+'Bittrex Data'!F513,"")))</f>
        <v/>
      </c>
      <c r="G513" t="str">
        <f>IF('Bittrex Data'!B513="","",'Bittrex Data'!D513)</f>
        <v/>
      </c>
      <c r="H513" t="str">
        <f>IF('Bittrex Data'!C513="","",IF(Bittrex!C513="Buy",Bittrex!D513,IF(Bittrex!C513="Sale",Bittrex!E513,IF(AND(Bittrex!C513="Trade",'Bittrex Data'!C513="Limit_Sell"),Bittrex!E513,IF(AND(Bittrex!C513="Trade",'Bittrex Data'!C513="Limit_Buy"),Bittrex!D513,"")))))</f>
        <v/>
      </c>
      <c r="I513" t="str">
        <f>IF('Bittrex Data'!C513="","",IF(Bittrex!C513="Buy",F513,IF(C513="Sale",Bittrex!G513,IF(AND(C513="Trade",'Bittrex Data'!C513="Limit_Sell"),Bittrex!G513,IF(AND(Bittrex!C513="Trade",'Bittrex Data'!C513="Limit_Buy"),F513,"")))))</f>
        <v/>
      </c>
      <c r="J513" t="str">
        <f>IF('Bittrex Data'!B513="","",IF('Bittrex Data'!B513="","",IF(Bittrex!H513=Bittrex!E513,D513,Bittrex!E513)))</f>
        <v/>
      </c>
      <c r="K513" t="str">
        <f>IF('Bittrex Data'!B513="","",IF(Bittrex!I513=Bittrex!G513,Bittrex!F513,Bittrex!G513))</f>
        <v/>
      </c>
    </row>
    <row r="514" spans="3:11" x14ac:dyDescent="0.2">
      <c r="C514" t="str">
        <f>IF('Bittrex Data'!A514="","",IF(AND('Bittrex Data'!C514="LIMIT_SELL",Bittrex!D514="USD"),"Sale",IF(AND('Bittrex Data'!C514="LIMIT_BUY",Bittrex!D514="USD"),"Buy","Trade")))</f>
        <v/>
      </c>
      <c r="D514" t="str">
        <f>IF('Bittrex Data'!B514="","",LEFT(LEFT('Bittrex Data'!B514,SEARCH("-",'Bittrex Data'!B514,1)),LEN(LEFT('Bittrex Data'!B514,SEARCH("-",'Bittrex Data'!B514,1)))-1))</f>
        <v/>
      </c>
      <c r="E514" t="str">
        <f>IF('Bittrex Data'!B514="","",RIGHT(RIGHT('Bittrex Data'!B514,LEN('Bittrex Data'!B514)-SEARCH("-",'Bittrex Data'!B514,1)+1),LEN(RIGHT('Bittrex Data'!B514,LEN('Bittrex Data'!B514)-SEARCH("-",'Bittrex Data'!B514,1)+1))-1))</f>
        <v/>
      </c>
      <c r="F514" t="str">
        <f>IF('Bittrex Data'!C514="","",IF('Bittrex Data'!C514="Limit_Sell",'Bittrex Data'!G514-'Bittrex Data'!F514,IF('Bittrex Data'!C514="Limit_Buy",'Bittrex Data'!G514+'Bittrex Data'!F514,"")))</f>
        <v/>
      </c>
      <c r="G514" t="str">
        <f>IF('Bittrex Data'!B514="","",'Bittrex Data'!D514)</f>
        <v/>
      </c>
      <c r="H514" t="str">
        <f>IF('Bittrex Data'!C514="","",IF(Bittrex!C514="Buy",Bittrex!D514,IF(Bittrex!C514="Sale",Bittrex!E514,IF(AND(Bittrex!C514="Trade",'Bittrex Data'!C514="Limit_Sell"),Bittrex!E514,IF(AND(Bittrex!C514="Trade",'Bittrex Data'!C514="Limit_Buy"),Bittrex!D514,"")))))</f>
        <v/>
      </c>
      <c r="I514" t="str">
        <f>IF('Bittrex Data'!C514="","",IF(Bittrex!C514="Buy",F514,IF(C514="Sale",Bittrex!G514,IF(AND(C514="Trade",'Bittrex Data'!C514="Limit_Sell"),Bittrex!G514,IF(AND(Bittrex!C514="Trade",'Bittrex Data'!C514="Limit_Buy"),F514,"")))))</f>
        <v/>
      </c>
      <c r="J514" t="str">
        <f>IF('Bittrex Data'!B514="","",IF('Bittrex Data'!B514="","",IF(Bittrex!H514=Bittrex!E514,D514,Bittrex!E514)))</f>
        <v/>
      </c>
      <c r="K514" t="str">
        <f>IF('Bittrex Data'!B514="","",IF(Bittrex!I514=Bittrex!G514,Bittrex!F514,Bittrex!G514))</f>
        <v/>
      </c>
    </row>
    <row r="515" spans="3:11" x14ac:dyDescent="0.2">
      <c r="C515" t="str">
        <f>IF('Bittrex Data'!A515="","",IF(AND('Bittrex Data'!C515="LIMIT_SELL",Bittrex!D515="USD"),"Sale",IF(AND('Bittrex Data'!C515="LIMIT_BUY",Bittrex!D515="USD"),"Buy","Trade")))</f>
        <v/>
      </c>
      <c r="D515" t="str">
        <f>IF('Bittrex Data'!B515="","",LEFT(LEFT('Bittrex Data'!B515,SEARCH("-",'Bittrex Data'!B515,1)),LEN(LEFT('Bittrex Data'!B515,SEARCH("-",'Bittrex Data'!B515,1)))-1))</f>
        <v/>
      </c>
      <c r="E515" t="str">
        <f>IF('Bittrex Data'!B515="","",RIGHT(RIGHT('Bittrex Data'!B515,LEN('Bittrex Data'!B515)-SEARCH("-",'Bittrex Data'!B515,1)+1),LEN(RIGHT('Bittrex Data'!B515,LEN('Bittrex Data'!B515)-SEARCH("-",'Bittrex Data'!B515,1)+1))-1))</f>
        <v/>
      </c>
      <c r="F515" t="str">
        <f>IF('Bittrex Data'!C515="","",IF('Bittrex Data'!C515="Limit_Sell",'Bittrex Data'!G515-'Bittrex Data'!F515,IF('Bittrex Data'!C515="Limit_Buy",'Bittrex Data'!G515+'Bittrex Data'!F515,"")))</f>
        <v/>
      </c>
      <c r="G515" t="str">
        <f>IF('Bittrex Data'!B515="","",'Bittrex Data'!D515)</f>
        <v/>
      </c>
      <c r="H515" t="str">
        <f>IF('Bittrex Data'!C515="","",IF(Bittrex!C515="Buy",Bittrex!D515,IF(Bittrex!C515="Sale",Bittrex!E515,IF(AND(Bittrex!C515="Trade",'Bittrex Data'!C515="Limit_Sell"),Bittrex!E515,IF(AND(Bittrex!C515="Trade",'Bittrex Data'!C515="Limit_Buy"),Bittrex!D515,"")))))</f>
        <v/>
      </c>
      <c r="I515" t="str">
        <f>IF('Bittrex Data'!C515="","",IF(Bittrex!C515="Buy",F515,IF(C515="Sale",Bittrex!G515,IF(AND(C515="Trade",'Bittrex Data'!C515="Limit_Sell"),Bittrex!G515,IF(AND(Bittrex!C515="Trade",'Bittrex Data'!C515="Limit_Buy"),F515,"")))))</f>
        <v/>
      </c>
      <c r="J515" t="str">
        <f>IF('Bittrex Data'!B515="","",IF('Bittrex Data'!B515="","",IF(Bittrex!H515=Bittrex!E515,D515,Bittrex!E515)))</f>
        <v/>
      </c>
      <c r="K515" t="str">
        <f>IF('Bittrex Data'!B515="","",IF(Bittrex!I515=Bittrex!G515,Bittrex!F515,Bittrex!G515))</f>
        <v/>
      </c>
    </row>
    <row r="516" spans="3:11" x14ac:dyDescent="0.2">
      <c r="C516" t="str">
        <f>IF('Bittrex Data'!A516="","",IF(AND('Bittrex Data'!C516="LIMIT_SELL",Bittrex!D516="USD"),"Sale",IF(AND('Bittrex Data'!C516="LIMIT_BUY",Bittrex!D516="USD"),"Buy","Trade")))</f>
        <v/>
      </c>
      <c r="D516" t="str">
        <f>IF('Bittrex Data'!B516="","",LEFT(LEFT('Bittrex Data'!B516,SEARCH("-",'Bittrex Data'!B516,1)),LEN(LEFT('Bittrex Data'!B516,SEARCH("-",'Bittrex Data'!B516,1)))-1))</f>
        <v/>
      </c>
      <c r="E516" t="str">
        <f>IF('Bittrex Data'!B516="","",RIGHT(RIGHT('Bittrex Data'!B516,LEN('Bittrex Data'!B516)-SEARCH("-",'Bittrex Data'!B516,1)+1),LEN(RIGHT('Bittrex Data'!B516,LEN('Bittrex Data'!B516)-SEARCH("-",'Bittrex Data'!B516,1)+1))-1))</f>
        <v/>
      </c>
      <c r="F516" t="str">
        <f>IF('Bittrex Data'!C516="","",IF('Bittrex Data'!C516="Limit_Sell",'Bittrex Data'!G516-'Bittrex Data'!F516,IF('Bittrex Data'!C516="Limit_Buy",'Bittrex Data'!G516+'Bittrex Data'!F516,"")))</f>
        <v/>
      </c>
      <c r="G516" t="str">
        <f>IF('Bittrex Data'!B516="","",'Bittrex Data'!D516)</f>
        <v/>
      </c>
      <c r="H516" t="str">
        <f>IF('Bittrex Data'!C516="","",IF(Bittrex!C516="Buy",Bittrex!D516,IF(Bittrex!C516="Sale",Bittrex!E516,IF(AND(Bittrex!C516="Trade",'Bittrex Data'!C516="Limit_Sell"),Bittrex!E516,IF(AND(Bittrex!C516="Trade",'Bittrex Data'!C516="Limit_Buy"),Bittrex!D516,"")))))</f>
        <v/>
      </c>
      <c r="I516" t="str">
        <f>IF('Bittrex Data'!C516="","",IF(Bittrex!C516="Buy",F516,IF(C516="Sale",Bittrex!G516,IF(AND(C516="Trade",'Bittrex Data'!C516="Limit_Sell"),Bittrex!G516,IF(AND(Bittrex!C516="Trade",'Bittrex Data'!C516="Limit_Buy"),F516,"")))))</f>
        <v/>
      </c>
      <c r="J516" t="str">
        <f>IF('Bittrex Data'!B516="","",IF('Bittrex Data'!B516="","",IF(Bittrex!H516=Bittrex!E516,D516,Bittrex!E516)))</f>
        <v/>
      </c>
      <c r="K516" t="str">
        <f>IF('Bittrex Data'!B516="","",IF(Bittrex!I516=Bittrex!G516,Bittrex!F516,Bittrex!G516))</f>
        <v/>
      </c>
    </row>
    <row r="517" spans="3:11" x14ac:dyDescent="0.2">
      <c r="C517" t="str">
        <f>IF('Bittrex Data'!A517="","",IF(AND('Bittrex Data'!C517="LIMIT_SELL",Bittrex!D517="USD"),"Sale",IF(AND('Bittrex Data'!C517="LIMIT_BUY",Bittrex!D517="USD"),"Buy","Trade")))</f>
        <v/>
      </c>
      <c r="D517" t="str">
        <f>IF('Bittrex Data'!B517="","",LEFT(LEFT('Bittrex Data'!B517,SEARCH("-",'Bittrex Data'!B517,1)),LEN(LEFT('Bittrex Data'!B517,SEARCH("-",'Bittrex Data'!B517,1)))-1))</f>
        <v/>
      </c>
      <c r="E517" t="str">
        <f>IF('Bittrex Data'!B517="","",RIGHT(RIGHT('Bittrex Data'!B517,LEN('Bittrex Data'!B517)-SEARCH("-",'Bittrex Data'!B517,1)+1),LEN(RIGHT('Bittrex Data'!B517,LEN('Bittrex Data'!B517)-SEARCH("-",'Bittrex Data'!B517,1)+1))-1))</f>
        <v/>
      </c>
      <c r="F517" t="str">
        <f>IF('Bittrex Data'!C517="","",IF('Bittrex Data'!C517="Limit_Sell",'Bittrex Data'!G517-'Bittrex Data'!F517,IF('Bittrex Data'!C517="Limit_Buy",'Bittrex Data'!G517+'Bittrex Data'!F517,"")))</f>
        <v/>
      </c>
      <c r="G517" t="str">
        <f>IF('Bittrex Data'!B517="","",'Bittrex Data'!D517)</f>
        <v/>
      </c>
      <c r="H517" t="str">
        <f>IF('Bittrex Data'!C517="","",IF(Bittrex!C517="Buy",Bittrex!D517,IF(Bittrex!C517="Sale",Bittrex!E517,IF(AND(Bittrex!C517="Trade",'Bittrex Data'!C517="Limit_Sell"),Bittrex!E517,IF(AND(Bittrex!C517="Trade",'Bittrex Data'!C517="Limit_Buy"),Bittrex!D517,"")))))</f>
        <v/>
      </c>
      <c r="I517" t="str">
        <f>IF('Bittrex Data'!C517="","",IF(Bittrex!C517="Buy",F517,IF(C517="Sale",Bittrex!G517,IF(AND(C517="Trade",'Bittrex Data'!C517="Limit_Sell"),Bittrex!G517,IF(AND(Bittrex!C517="Trade",'Bittrex Data'!C517="Limit_Buy"),F517,"")))))</f>
        <v/>
      </c>
      <c r="J517" t="str">
        <f>IF('Bittrex Data'!B517="","",IF('Bittrex Data'!B517="","",IF(Bittrex!H517=Bittrex!E517,D517,Bittrex!E517)))</f>
        <v/>
      </c>
      <c r="K517" t="str">
        <f>IF('Bittrex Data'!B517="","",IF(Bittrex!I517=Bittrex!G517,Bittrex!F517,Bittrex!G517))</f>
        <v/>
      </c>
    </row>
    <row r="518" spans="3:11" x14ac:dyDescent="0.2">
      <c r="C518" t="str">
        <f>IF('Bittrex Data'!A518="","",IF(AND('Bittrex Data'!C518="LIMIT_SELL",Bittrex!D518="USD"),"Sale",IF(AND('Bittrex Data'!C518="LIMIT_BUY",Bittrex!D518="USD"),"Buy","Trade")))</f>
        <v/>
      </c>
      <c r="D518" t="str">
        <f>IF('Bittrex Data'!B518="","",LEFT(LEFT('Bittrex Data'!B518,SEARCH("-",'Bittrex Data'!B518,1)),LEN(LEFT('Bittrex Data'!B518,SEARCH("-",'Bittrex Data'!B518,1)))-1))</f>
        <v/>
      </c>
      <c r="E518" t="str">
        <f>IF('Bittrex Data'!B518="","",RIGHT(RIGHT('Bittrex Data'!B518,LEN('Bittrex Data'!B518)-SEARCH("-",'Bittrex Data'!B518,1)+1),LEN(RIGHT('Bittrex Data'!B518,LEN('Bittrex Data'!B518)-SEARCH("-",'Bittrex Data'!B518,1)+1))-1))</f>
        <v/>
      </c>
      <c r="F518" t="str">
        <f>IF('Bittrex Data'!C518="","",IF('Bittrex Data'!C518="Limit_Sell",'Bittrex Data'!G518-'Bittrex Data'!F518,IF('Bittrex Data'!C518="Limit_Buy",'Bittrex Data'!G518+'Bittrex Data'!F518,"")))</f>
        <v/>
      </c>
      <c r="G518" t="str">
        <f>IF('Bittrex Data'!B518="","",'Bittrex Data'!D518)</f>
        <v/>
      </c>
      <c r="H518" t="str">
        <f>IF('Bittrex Data'!C518="","",IF(Bittrex!C518="Buy",Bittrex!D518,IF(Bittrex!C518="Sale",Bittrex!E518,IF(AND(Bittrex!C518="Trade",'Bittrex Data'!C518="Limit_Sell"),Bittrex!E518,IF(AND(Bittrex!C518="Trade",'Bittrex Data'!C518="Limit_Buy"),Bittrex!D518,"")))))</f>
        <v/>
      </c>
      <c r="I518" t="str">
        <f>IF('Bittrex Data'!C518="","",IF(Bittrex!C518="Buy",F518,IF(C518="Sale",Bittrex!G518,IF(AND(C518="Trade",'Bittrex Data'!C518="Limit_Sell"),Bittrex!G518,IF(AND(Bittrex!C518="Trade",'Bittrex Data'!C518="Limit_Buy"),F518,"")))))</f>
        <v/>
      </c>
      <c r="J518" t="str">
        <f>IF('Bittrex Data'!B518="","",IF('Bittrex Data'!B518="","",IF(Bittrex!H518=Bittrex!E518,D518,Bittrex!E518)))</f>
        <v/>
      </c>
      <c r="K518" t="str">
        <f>IF('Bittrex Data'!B518="","",IF(Bittrex!I518=Bittrex!G518,Bittrex!F518,Bittrex!G518))</f>
        <v/>
      </c>
    </row>
    <row r="519" spans="3:11" x14ac:dyDescent="0.2">
      <c r="C519" t="str">
        <f>IF('Bittrex Data'!A519="","",IF(AND('Bittrex Data'!C519="LIMIT_SELL",Bittrex!D519="USD"),"Sale",IF(AND('Bittrex Data'!C519="LIMIT_BUY",Bittrex!D519="USD"),"Buy","Trade")))</f>
        <v/>
      </c>
      <c r="D519" t="str">
        <f>IF('Bittrex Data'!B519="","",LEFT(LEFT('Bittrex Data'!B519,SEARCH("-",'Bittrex Data'!B519,1)),LEN(LEFT('Bittrex Data'!B519,SEARCH("-",'Bittrex Data'!B519,1)))-1))</f>
        <v/>
      </c>
      <c r="E519" t="str">
        <f>IF('Bittrex Data'!B519="","",RIGHT(RIGHT('Bittrex Data'!B519,LEN('Bittrex Data'!B519)-SEARCH("-",'Bittrex Data'!B519,1)+1),LEN(RIGHT('Bittrex Data'!B519,LEN('Bittrex Data'!B519)-SEARCH("-",'Bittrex Data'!B519,1)+1))-1))</f>
        <v/>
      </c>
      <c r="F519" t="str">
        <f>IF('Bittrex Data'!C519="","",IF('Bittrex Data'!C519="Limit_Sell",'Bittrex Data'!G519-'Bittrex Data'!F519,IF('Bittrex Data'!C519="Limit_Buy",'Bittrex Data'!G519+'Bittrex Data'!F519,"")))</f>
        <v/>
      </c>
      <c r="G519" t="str">
        <f>IF('Bittrex Data'!B519="","",'Bittrex Data'!D519)</f>
        <v/>
      </c>
      <c r="H519" t="str">
        <f>IF('Bittrex Data'!C519="","",IF(Bittrex!C519="Buy",Bittrex!D519,IF(Bittrex!C519="Sale",Bittrex!E519,IF(AND(Bittrex!C519="Trade",'Bittrex Data'!C519="Limit_Sell"),Bittrex!E519,IF(AND(Bittrex!C519="Trade",'Bittrex Data'!C519="Limit_Buy"),Bittrex!D519,"")))))</f>
        <v/>
      </c>
      <c r="I519" t="str">
        <f>IF('Bittrex Data'!C519="","",IF(Bittrex!C519="Buy",F519,IF(C519="Sale",Bittrex!G519,IF(AND(C519="Trade",'Bittrex Data'!C519="Limit_Sell"),Bittrex!G519,IF(AND(Bittrex!C519="Trade",'Bittrex Data'!C519="Limit_Buy"),F519,"")))))</f>
        <v/>
      </c>
      <c r="J519" t="str">
        <f>IF('Bittrex Data'!B519="","",IF('Bittrex Data'!B519="","",IF(Bittrex!H519=Bittrex!E519,D519,Bittrex!E519)))</f>
        <v/>
      </c>
      <c r="K519" t="str">
        <f>IF('Bittrex Data'!B519="","",IF(Bittrex!I519=Bittrex!G519,Bittrex!F519,Bittrex!G519))</f>
        <v/>
      </c>
    </row>
    <row r="520" spans="3:11" x14ac:dyDescent="0.2">
      <c r="C520" t="str">
        <f>IF('Bittrex Data'!A520="","",IF(AND('Bittrex Data'!C520="LIMIT_SELL",Bittrex!D520="USD"),"Sale",IF(AND('Bittrex Data'!C520="LIMIT_BUY",Bittrex!D520="USD"),"Buy","Trade")))</f>
        <v/>
      </c>
      <c r="D520" t="str">
        <f>IF('Bittrex Data'!B520="","",LEFT(LEFT('Bittrex Data'!B520,SEARCH("-",'Bittrex Data'!B520,1)),LEN(LEFT('Bittrex Data'!B520,SEARCH("-",'Bittrex Data'!B520,1)))-1))</f>
        <v/>
      </c>
      <c r="E520" t="str">
        <f>IF('Bittrex Data'!B520="","",RIGHT(RIGHT('Bittrex Data'!B520,LEN('Bittrex Data'!B520)-SEARCH("-",'Bittrex Data'!B520,1)+1),LEN(RIGHT('Bittrex Data'!B520,LEN('Bittrex Data'!B520)-SEARCH("-",'Bittrex Data'!B520,1)+1))-1))</f>
        <v/>
      </c>
      <c r="F520" t="str">
        <f>IF('Bittrex Data'!C520="","",IF('Bittrex Data'!C520="Limit_Sell",'Bittrex Data'!G520-'Bittrex Data'!F520,IF('Bittrex Data'!C520="Limit_Buy",'Bittrex Data'!G520+'Bittrex Data'!F520,"")))</f>
        <v/>
      </c>
      <c r="G520" t="str">
        <f>IF('Bittrex Data'!B520="","",'Bittrex Data'!D520)</f>
        <v/>
      </c>
      <c r="H520" t="str">
        <f>IF('Bittrex Data'!C520="","",IF(Bittrex!C520="Buy",Bittrex!D520,IF(Bittrex!C520="Sale",Bittrex!E520,IF(AND(Bittrex!C520="Trade",'Bittrex Data'!C520="Limit_Sell"),Bittrex!E520,IF(AND(Bittrex!C520="Trade",'Bittrex Data'!C520="Limit_Buy"),Bittrex!D520,"")))))</f>
        <v/>
      </c>
      <c r="I520" t="str">
        <f>IF('Bittrex Data'!C520="","",IF(Bittrex!C520="Buy",F520,IF(C520="Sale",Bittrex!G520,IF(AND(C520="Trade",'Bittrex Data'!C520="Limit_Sell"),Bittrex!G520,IF(AND(Bittrex!C520="Trade",'Bittrex Data'!C520="Limit_Buy"),F520,"")))))</f>
        <v/>
      </c>
      <c r="J520" t="str">
        <f>IF('Bittrex Data'!B520="","",IF('Bittrex Data'!B520="","",IF(Bittrex!H520=Bittrex!E520,D520,Bittrex!E520)))</f>
        <v/>
      </c>
      <c r="K520" t="str">
        <f>IF('Bittrex Data'!B520="","",IF(Bittrex!I520=Bittrex!G520,Bittrex!F520,Bittrex!G520))</f>
        <v/>
      </c>
    </row>
    <row r="521" spans="3:11" x14ac:dyDescent="0.2">
      <c r="C521" t="str">
        <f>IF('Bittrex Data'!A521="","",IF(AND('Bittrex Data'!C521="LIMIT_SELL",Bittrex!D521="USD"),"Sale",IF(AND('Bittrex Data'!C521="LIMIT_BUY",Bittrex!D521="USD"),"Buy","Trade")))</f>
        <v/>
      </c>
      <c r="D521" t="str">
        <f>IF('Bittrex Data'!B521="","",LEFT(LEFT('Bittrex Data'!B521,SEARCH("-",'Bittrex Data'!B521,1)),LEN(LEFT('Bittrex Data'!B521,SEARCH("-",'Bittrex Data'!B521,1)))-1))</f>
        <v/>
      </c>
      <c r="E521" t="str">
        <f>IF('Bittrex Data'!B521="","",RIGHT(RIGHT('Bittrex Data'!B521,LEN('Bittrex Data'!B521)-SEARCH("-",'Bittrex Data'!B521,1)+1),LEN(RIGHT('Bittrex Data'!B521,LEN('Bittrex Data'!B521)-SEARCH("-",'Bittrex Data'!B521,1)+1))-1))</f>
        <v/>
      </c>
      <c r="F521" t="str">
        <f>IF('Bittrex Data'!C521="","",IF('Bittrex Data'!C521="Limit_Sell",'Bittrex Data'!G521-'Bittrex Data'!F521,IF('Bittrex Data'!C521="Limit_Buy",'Bittrex Data'!G521+'Bittrex Data'!F521,"")))</f>
        <v/>
      </c>
      <c r="G521" t="str">
        <f>IF('Bittrex Data'!B521="","",'Bittrex Data'!D521)</f>
        <v/>
      </c>
      <c r="H521" t="str">
        <f>IF('Bittrex Data'!C521="","",IF(Bittrex!C521="Buy",Bittrex!D521,IF(Bittrex!C521="Sale",Bittrex!E521,IF(AND(Bittrex!C521="Trade",'Bittrex Data'!C521="Limit_Sell"),Bittrex!E521,IF(AND(Bittrex!C521="Trade",'Bittrex Data'!C521="Limit_Buy"),Bittrex!D521,"")))))</f>
        <v/>
      </c>
      <c r="I521" t="str">
        <f>IF('Bittrex Data'!C521="","",IF(Bittrex!C521="Buy",F521,IF(C521="Sale",Bittrex!G521,IF(AND(C521="Trade",'Bittrex Data'!C521="Limit_Sell"),Bittrex!G521,IF(AND(Bittrex!C521="Trade",'Bittrex Data'!C521="Limit_Buy"),F521,"")))))</f>
        <v/>
      </c>
      <c r="J521" t="str">
        <f>IF('Bittrex Data'!B521="","",IF('Bittrex Data'!B521="","",IF(Bittrex!H521=Bittrex!E521,D521,Bittrex!E521)))</f>
        <v/>
      </c>
      <c r="K521" t="str">
        <f>IF('Bittrex Data'!B521="","",IF(Bittrex!I521=Bittrex!G521,Bittrex!F521,Bittrex!G521))</f>
        <v/>
      </c>
    </row>
    <row r="522" spans="3:11" x14ac:dyDescent="0.2">
      <c r="C522" t="str">
        <f>IF('Bittrex Data'!A522="","",IF(AND('Bittrex Data'!C522="LIMIT_SELL",Bittrex!D522="USD"),"Sale",IF(AND('Bittrex Data'!C522="LIMIT_BUY",Bittrex!D522="USD"),"Buy","Trade")))</f>
        <v/>
      </c>
      <c r="D522" t="str">
        <f>IF('Bittrex Data'!B522="","",LEFT(LEFT('Bittrex Data'!B522,SEARCH("-",'Bittrex Data'!B522,1)),LEN(LEFT('Bittrex Data'!B522,SEARCH("-",'Bittrex Data'!B522,1)))-1))</f>
        <v/>
      </c>
      <c r="E522" t="str">
        <f>IF('Bittrex Data'!B522="","",RIGHT(RIGHT('Bittrex Data'!B522,LEN('Bittrex Data'!B522)-SEARCH("-",'Bittrex Data'!B522,1)+1),LEN(RIGHT('Bittrex Data'!B522,LEN('Bittrex Data'!B522)-SEARCH("-",'Bittrex Data'!B522,1)+1))-1))</f>
        <v/>
      </c>
      <c r="F522" t="str">
        <f>IF('Bittrex Data'!C522="","",IF('Bittrex Data'!C522="Limit_Sell",'Bittrex Data'!G522-'Bittrex Data'!F522,IF('Bittrex Data'!C522="Limit_Buy",'Bittrex Data'!G522+'Bittrex Data'!F522,"")))</f>
        <v/>
      </c>
      <c r="G522" t="str">
        <f>IF('Bittrex Data'!B522="","",'Bittrex Data'!D522)</f>
        <v/>
      </c>
      <c r="H522" t="str">
        <f>IF('Bittrex Data'!C522="","",IF(Bittrex!C522="Buy",Bittrex!D522,IF(Bittrex!C522="Sale",Bittrex!E522,IF(AND(Bittrex!C522="Trade",'Bittrex Data'!C522="Limit_Sell"),Bittrex!E522,IF(AND(Bittrex!C522="Trade",'Bittrex Data'!C522="Limit_Buy"),Bittrex!D522,"")))))</f>
        <v/>
      </c>
      <c r="I522" t="str">
        <f>IF('Bittrex Data'!C522="","",IF(Bittrex!C522="Buy",F522,IF(C522="Sale",Bittrex!G522,IF(AND(C522="Trade",'Bittrex Data'!C522="Limit_Sell"),Bittrex!G522,IF(AND(Bittrex!C522="Trade",'Bittrex Data'!C522="Limit_Buy"),F522,"")))))</f>
        <v/>
      </c>
      <c r="J522" t="str">
        <f>IF('Bittrex Data'!B522="","",IF('Bittrex Data'!B522="","",IF(Bittrex!H522=Bittrex!E522,D522,Bittrex!E522)))</f>
        <v/>
      </c>
      <c r="K522" t="str">
        <f>IF('Bittrex Data'!B522="","",IF(Bittrex!I522=Bittrex!G522,Bittrex!F522,Bittrex!G522))</f>
        <v/>
      </c>
    </row>
    <row r="523" spans="3:11" x14ac:dyDescent="0.2">
      <c r="C523" t="str">
        <f>IF('Bittrex Data'!A523="","",IF(AND('Bittrex Data'!C523="LIMIT_SELL",Bittrex!D523="USD"),"Sale",IF(AND('Bittrex Data'!C523="LIMIT_BUY",Bittrex!D523="USD"),"Buy","Trade")))</f>
        <v/>
      </c>
      <c r="D523" t="str">
        <f>IF('Bittrex Data'!B523="","",LEFT(LEFT('Bittrex Data'!B523,SEARCH("-",'Bittrex Data'!B523,1)),LEN(LEFT('Bittrex Data'!B523,SEARCH("-",'Bittrex Data'!B523,1)))-1))</f>
        <v/>
      </c>
      <c r="E523" t="str">
        <f>IF('Bittrex Data'!B523="","",RIGHT(RIGHT('Bittrex Data'!B523,LEN('Bittrex Data'!B523)-SEARCH("-",'Bittrex Data'!B523,1)+1),LEN(RIGHT('Bittrex Data'!B523,LEN('Bittrex Data'!B523)-SEARCH("-",'Bittrex Data'!B523,1)+1))-1))</f>
        <v/>
      </c>
      <c r="F523" t="str">
        <f>IF('Bittrex Data'!C523="","",IF('Bittrex Data'!C523="Limit_Sell",'Bittrex Data'!G523-'Bittrex Data'!F523,IF('Bittrex Data'!C523="Limit_Buy",'Bittrex Data'!G523+'Bittrex Data'!F523,"")))</f>
        <v/>
      </c>
      <c r="G523" t="str">
        <f>IF('Bittrex Data'!B523="","",'Bittrex Data'!D523)</f>
        <v/>
      </c>
      <c r="H523" t="str">
        <f>IF('Bittrex Data'!C523="","",IF(Bittrex!C523="Buy",Bittrex!D523,IF(Bittrex!C523="Sale",Bittrex!E523,IF(AND(Bittrex!C523="Trade",'Bittrex Data'!C523="Limit_Sell"),Bittrex!E523,IF(AND(Bittrex!C523="Trade",'Bittrex Data'!C523="Limit_Buy"),Bittrex!D523,"")))))</f>
        <v/>
      </c>
      <c r="I523" t="str">
        <f>IF('Bittrex Data'!C523="","",IF(Bittrex!C523="Buy",F523,IF(C523="Sale",Bittrex!G523,IF(AND(C523="Trade",'Bittrex Data'!C523="Limit_Sell"),Bittrex!G523,IF(AND(Bittrex!C523="Trade",'Bittrex Data'!C523="Limit_Buy"),F523,"")))))</f>
        <v/>
      </c>
      <c r="J523" t="str">
        <f>IF('Bittrex Data'!B523="","",IF('Bittrex Data'!B523="","",IF(Bittrex!H523=Bittrex!E523,D523,Bittrex!E523)))</f>
        <v/>
      </c>
      <c r="K523" t="str">
        <f>IF('Bittrex Data'!B523="","",IF(Bittrex!I523=Bittrex!G523,Bittrex!F523,Bittrex!G523))</f>
        <v/>
      </c>
    </row>
    <row r="524" spans="3:11" x14ac:dyDescent="0.2">
      <c r="C524" t="str">
        <f>IF('Bittrex Data'!A524="","",IF(AND('Bittrex Data'!C524="LIMIT_SELL",Bittrex!D524="USD"),"Sale",IF(AND('Bittrex Data'!C524="LIMIT_BUY",Bittrex!D524="USD"),"Buy","Trade")))</f>
        <v/>
      </c>
      <c r="D524" t="str">
        <f>IF('Bittrex Data'!B524="","",LEFT(LEFT('Bittrex Data'!B524,SEARCH("-",'Bittrex Data'!B524,1)),LEN(LEFT('Bittrex Data'!B524,SEARCH("-",'Bittrex Data'!B524,1)))-1))</f>
        <v/>
      </c>
      <c r="E524" t="str">
        <f>IF('Bittrex Data'!B524="","",RIGHT(RIGHT('Bittrex Data'!B524,LEN('Bittrex Data'!B524)-SEARCH("-",'Bittrex Data'!B524,1)+1),LEN(RIGHT('Bittrex Data'!B524,LEN('Bittrex Data'!B524)-SEARCH("-",'Bittrex Data'!B524,1)+1))-1))</f>
        <v/>
      </c>
      <c r="F524" t="str">
        <f>IF('Bittrex Data'!C524="","",IF('Bittrex Data'!C524="Limit_Sell",'Bittrex Data'!G524-'Bittrex Data'!F524,IF('Bittrex Data'!C524="Limit_Buy",'Bittrex Data'!G524+'Bittrex Data'!F524,"")))</f>
        <v/>
      </c>
      <c r="G524" t="str">
        <f>IF('Bittrex Data'!B524="","",'Bittrex Data'!D524)</f>
        <v/>
      </c>
      <c r="H524" t="str">
        <f>IF('Bittrex Data'!C524="","",IF(Bittrex!C524="Buy",Bittrex!D524,IF(Bittrex!C524="Sale",Bittrex!E524,IF(AND(Bittrex!C524="Trade",'Bittrex Data'!C524="Limit_Sell"),Bittrex!E524,IF(AND(Bittrex!C524="Trade",'Bittrex Data'!C524="Limit_Buy"),Bittrex!D524,"")))))</f>
        <v/>
      </c>
      <c r="I524" t="str">
        <f>IF('Bittrex Data'!C524="","",IF(Bittrex!C524="Buy",F524,IF(C524="Sale",Bittrex!G524,IF(AND(C524="Trade",'Bittrex Data'!C524="Limit_Sell"),Bittrex!G524,IF(AND(Bittrex!C524="Trade",'Bittrex Data'!C524="Limit_Buy"),F524,"")))))</f>
        <v/>
      </c>
      <c r="J524" t="str">
        <f>IF('Bittrex Data'!B524="","",IF('Bittrex Data'!B524="","",IF(Bittrex!H524=Bittrex!E524,D524,Bittrex!E524)))</f>
        <v/>
      </c>
      <c r="K524" t="str">
        <f>IF('Bittrex Data'!B524="","",IF(Bittrex!I524=Bittrex!G524,Bittrex!F524,Bittrex!G524))</f>
        <v/>
      </c>
    </row>
    <row r="525" spans="3:11" x14ac:dyDescent="0.2">
      <c r="C525" t="str">
        <f>IF('Bittrex Data'!A525="","",IF(AND('Bittrex Data'!C525="LIMIT_SELL",Bittrex!D525="USD"),"Sale",IF(AND('Bittrex Data'!C525="LIMIT_BUY",Bittrex!D525="USD"),"Buy","Trade")))</f>
        <v/>
      </c>
      <c r="D525" t="str">
        <f>IF('Bittrex Data'!B525="","",LEFT(LEFT('Bittrex Data'!B525,SEARCH("-",'Bittrex Data'!B525,1)),LEN(LEFT('Bittrex Data'!B525,SEARCH("-",'Bittrex Data'!B525,1)))-1))</f>
        <v/>
      </c>
      <c r="E525" t="str">
        <f>IF('Bittrex Data'!B525="","",RIGHT(RIGHT('Bittrex Data'!B525,LEN('Bittrex Data'!B525)-SEARCH("-",'Bittrex Data'!B525,1)+1),LEN(RIGHT('Bittrex Data'!B525,LEN('Bittrex Data'!B525)-SEARCH("-",'Bittrex Data'!B525,1)+1))-1))</f>
        <v/>
      </c>
      <c r="F525" t="str">
        <f>IF('Bittrex Data'!C525="","",IF('Bittrex Data'!C525="Limit_Sell",'Bittrex Data'!G525-'Bittrex Data'!F525,IF('Bittrex Data'!C525="Limit_Buy",'Bittrex Data'!G525+'Bittrex Data'!F525,"")))</f>
        <v/>
      </c>
      <c r="G525" t="str">
        <f>IF('Bittrex Data'!B525="","",'Bittrex Data'!D525)</f>
        <v/>
      </c>
      <c r="H525" t="str">
        <f>IF('Bittrex Data'!C525="","",IF(Bittrex!C525="Buy",Bittrex!D525,IF(Bittrex!C525="Sale",Bittrex!E525,IF(AND(Bittrex!C525="Trade",'Bittrex Data'!C525="Limit_Sell"),Bittrex!E525,IF(AND(Bittrex!C525="Trade",'Bittrex Data'!C525="Limit_Buy"),Bittrex!D525,"")))))</f>
        <v/>
      </c>
      <c r="I525" t="str">
        <f>IF('Bittrex Data'!C525="","",IF(Bittrex!C525="Buy",F525,IF(C525="Sale",Bittrex!G525,IF(AND(C525="Trade",'Bittrex Data'!C525="Limit_Sell"),Bittrex!G525,IF(AND(Bittrex!C525="Trade",'Bittrex Data'!C525="Limit_Buy"),F525,"")))))</f>
        <v/>
      </c>
      <c r="J525" t="str">
        <f>IF('Bittrex Data'!B525="","",IF('Bittrex Data'!B525="","",IF(Bittrex!H525=Bittrex!E525,D525,Bittrex!E525)))</f>
        <v/>
      </c>
      <c r="K525" t="str">
        <f>IF('Bittrex Data'!B525="","",IF(Bittrex!I525=Bittrex!G525,Bittrex!F525,Bittrex!G525))</f>
        <v/>
      </c>
    </row>
    <row r="526" spans="3:11" x14ac:dyDescent="0.2">
      <c r="C526" t="str">
        <f>IF('Bittrex Data'!A526="","",IF(AND('Bittrex Data'!C526="LIMIT_SELL",Bittrex!D526="USD"),"Sale",IF(AND('Bittrex Data'!C526="LIMIT_BUY",Bittrex!D526="USD"),"Buy","Trade")))</f>
        <v/>
      </c>
      <c r="D526" t="str">
        <f>IF('Bittrex Data'!B526="","",LEFT(LEFT('Bittrex Data'!B526,SEARCH("-",'Bittrex Data'!B526,1)),LEN(LEFT('Bittrex Data'!B526,SEARCH("-",'Bittrex Data'!B526,1)))-1))</f>
        <v/>
      </c>
      <c r="E526" t="str">
        <f>IF('Bittrex Data'!B526="","",RIGHT(RIGHT('Bittrex Data'!B526,LEN('Bittrex Data'!B526)-SEARCH("-",'Bittrex Data'!B526,1)+1),LEN(RIGHT('Bittrex Data'!B526,LEN('Bittrex Data'!B526)-SEARCH("-",'Bittrex Data'!B526,1)+1))-1))</f>
        <v/>
      </c>
      <c r="F526" t="str">
        <f>IF('Bittrex Data'!C526="","",IF('Bittrex Data'!C526="Limit_Sell",'Bittrex Data'!G526-'Bittrex Data'!F526,IF('Bittrex Data'!C526="Limit_Buy",'Bittrex Data'!G526+'Bittrex Data'!F526,"")))</f>
        <v/>
      </c>
      <c r="G526" t="str">
        <f>IF('Bittrex Data'!B526="","",'Bittrex Data'!D526)</f>
        <v/>
      </c>
      <c r="H526" t="str">
        <f>IF('Bittrex Data'!C526="","",IF(Bittrex!C526="Buy",Bittrex!D526,IF(Bittrex!C526="Sale",Bittrex!E526,IF(AND(Bittrex!C526="Trade",'Bittrex Data'!C526="Limit_Sell"),Bittrex!E526,IF(AND(Bittrex!C526="Trade",'Bittrex Data'!C526="Limit_Buy"),Bittrex!D526,"")))))</f>
        <v/>
      </c>
      <c r="I526" t="str">
        <f>IF('Bittrex Data'!C526="","",IF(Bittrex!C526="Buy",F526,IF(C526="Sale",Bittrex!G526,IF(AND(C526="Trade",'Bittrex Data'!C526="Limit_Sell"),Bittrex!G526,IF(AND(Bittrex!C526="Trade",'Bittrex Data'!C526="Limit_Buy"),F526,"")))))</f>
        <v/>
      </c>
      <c r="J526" t="str">
        <f>IF('Bittrex Data'!B526="","",IF('Bittrex Data'!B526="","",IF(Bittrex!H526=Bittrex!E526,D526,Bittrex!E526)))</f>
        <v/>
      </c>
      <c r="K526" t="str">
        <f>IF('Bittrex Data'!B526="","",IF(Bittrex!I526=Bittrex!G526,Bittrex!F526,Bittrex!G526))</f>
        <v/>
      </c>
    </row>
    <row r="527" spans="3:11" x14ac:dyDescent="0.2">
      <c r="C527" t="str">
        <f>IF('Bittrex Data'!A527="","",IF(AND('Bittrex Data'!C527="LIMIT_SELL",Bittrex!D527="USD"),"Sale",IF(AND('Bittrex Data'!C527="LIMIT_BUY",Bittrex!D527="USD"),"Buy","Trade")))</f>
        <v/>
      </c>
      <c r="D527" t="str">
        <f>IF('Bittrex Data'!B527="","",LEFT(LEFT('Bittrex Data'!B527,SEARCH("-",'Bittrex Data'!B527,1)),LEN(LEFT('Bittrex Data'!B527,SEARCH("-",'Bittrex Data'!B527,1)))-1))</f>
        <v/>
      </c>
      <c r="E527" t="str">
        <f>IF('Bittrex Data'!B527="","",RIGHT(RIGHT('Bittrex Data'!B527,LEN('Bittrex Data'!B527)-SEARCH("-",'Bittrex Data'!B527,1)+1),LEN(RIGHT('Bittrex Data'!B527,LEN('Bittrex Data'!B527)-SEARCH("-",'Bittrex Data'!B527,1)+1))-1))</f>
        <v/>
      </c>
      <c r="F527" t="str">
        <f>IF('Bittrex Data'!C527="","",IF('Bittrex Data'!C527="Limit_Sell",'Bittrex Data'!G527-'Bittrex Data'!F527,IF('Bittrex Data'!C527="Limit_Buy",'Bittrex Data'!G527+'Bittrex Data'!F527,"")))</f>
        <v/>
      </c>
      <c r="G527" t="str">
        <f>IF('Bittrex Data'!B527="","",'Bittrex Data'!D527)</f>
        <v/>
      </c>
      <c r="H527" t="str">
        <f>IF('Bittrex Data'!C527="","",IF(Bittrex!C527="Buy",Bittrex!D527,IF(Bittrex!C527="Sale",Bittrex!E527,IF(AND(Bittrex!C527="Trade",'Bittrex Data'!C527="Limit_Sell"),Bittrex!E527,IF(AND(Bittrex!C527="Trade",'Bittrex Data'!C527="Limit_Buy"),Bittrex!D527,"")))))</f>
        <v/>
      </c>
      <c r="I527" t="str">
        <f>IF('Bittrex Data'!C527="","",IF(Bittrex!C527="Buy",F527,IF(C527="Sale",Bittrex!G527,IF(AND(C527="Trade",'Bittrex Data'!C527="Limit_Sell"),Bittrex!G527,IF(AND(Bittrex!C527="Trade",'Bittrex Data'!C527="Limit_Buy"),F527,"")))))</f>
        <v/>
      </c>
      <c r="J527" t="str">
        <f>IF('Bittrex Data'!B527="","",IF('Bittrex Data'!B527="","",IF(Bittrex!H527=Bittrex!E527,D527,Bittrex!E527)))</f>
        <v/>
      </c>
      <c r="K527" t="str">
        <f>IF('Bittrex Data'!B527="","",IF(Bittrex!I527=Bittrex!G527,Bittrex!F527,Bittrex!G527))</f>
        <v/>
      </c>
    </row>
    <row r="528" spans="3:11" x14ac:dyDescent="0.2">
      <c r="C528" t="str">
        <f>IF('Bittrex Data'!A528="","",IF(AND('Bittrex Data'!C528="LIMIT_SELL",Bittrex!D528="USD"),"Sale",IF(AND('Bittrex Data'!C528="LIMIT_BUY",Bittrex!D528="USD"),"Buy","Trade")))</f>
        <v/>
      </c>
      <c r="D528" t="str">
        <f>IF('Bittrex Data'!B528="","",LEFT(LEFT('Bittrex Data'!B528,SEARCH("-",'Bittrex Data'!B528,1)),LEN(LEFT('Bittrex Data'!B528,SEARCH("-",'Bittrex Data'!B528,1)))-1))</f>
        <v/>
      </c>
      <c r="E528" t="str">
        <f>IF('Bittrex Data'!B528="","",RIGHT(RIGHT('Bittrex Data'!B528,LEN('Bittrex Data'!B528)-SEARCH("-",'Bittrex Data'!B528,1)+1),LEN(RIGHT('Bittrex Data'!B528,LEN('Bittrex Data'!B528)-SEARCH("-",'Bittrex Data'!B528,1)+1))-1))</f>
        <v/>
      </c>
      <c r="F528" t="str">
        <f>IF('Bittrex Data'!C528="","",IF('Bittrex Data'!C528="Limit_Sell",'Bittrex Data'!G528-'Bittrex Data'!F528,IF('Bittrex Data'!C528="Limit_Buy",'Bittrex Data'!G528+'Bittrex Data'!F528,"")))</f>
        <v/>
      </c>
      <c r="G528" t="str">
        <f>IF('Bittrex Data'!B528="","",'Bittrex Data'!D528)</f>
        <v/>
      </c>
      <c r="H528" t="str">
        <f>IF('Bittrex Data'!C528="","",IF(Bittrex!C528="Buy",Bittrex!D528,IF(Bittrex!C528="Sale",Bittrex!E528,IF(AND(Bittrex!C528="Trade",'Bittrex Data'!C528="Limit_Sell"),Bittrex!E528,IF(AND(Bittrex!C528="Trade",'Bittrex Data'!C528="Limit_Buy"),Bittrex!D528,"")))))</f>
        <v/>
      </c>
      <c r="I528" t="str">
        <f>IF('Bittrex Data'!C528="","",IF(Bittrex!C528="Buy",F528,IF(C528="Sale",Bittrex!G528,IF(AND(C528="Trade",'Bittrex Data'!C528="Limit_Sell"),Bittrex!G528,IF(AND(Bittrex!C528="Trade",'Bittrex Data'!C528="Limit_Buy"),F528,"")))))</f>
        <v/>
      </c>
      <c r="J528" t="str">
        <f>IF('Bittrex Data'!B528="","",IF('Bittrex Data'!B528="","",IF(Bittrex!H528=Bittrex!E528,D528,Bittrex!E528)))</f>
        <v/>
      </c>
      <c r="K528" t="str">
        <f>IF('Bittrex Data'!B528="","",IF(Bittrex!I528=Bittrex!G528,Bittrex!F528,Bittrex!G528))</f>
        <v/>
      </c>
    </row>
    <row r="529" spans="3:11" x14ac:dyDescent="0.2">
      <c r="C529" t="str">
        <f>IF('Bittrex Data'!A529="","",IF(AND('Bittrex Data'!C529="LIMIT_SELL",Bittrex!D529="USD"),"Sale",IF(AND('Bittrex Data'!C529="LIMIT_BUY",Bittrex!D529="USD"),"Buy","Trade")))</f>
        <v/>
      </c>
      <c r="D529" t="str">
        <f>IF('Bittrex Data'!B529="","",LEFT(LEFT('Bittrex Data'!B529,SEARCH("-",'Bittrex Data'!B529,1)),LEN(LEFT('Bittrex Data'!B529,SEARCH("-",'Bittrex Data'!B529,1)))-1))</f>
        <v/>
      </c>
      <c r="E529" t="str">
        <f>IF('Bittrex Data'!B529="","",RIGHT(RIGHT('Bittrex Data'!B529,LEN('Bittrex Data'!B529)-SEARCH("-",'Bittrex Data'!B529,1)+1),LEN(RIGHT('Bittrex Data'!B529,LEN('Bittrex Data'!B529)-SEARCH("-",'Bittrex Data'!B529,1)+1))-1))</f>
        <v/>
      </c>
      <c r="F529" t="str">
        <f>IF('Bittrex Data'!C529="","",IF('Bittrex Data'!C529="Limit_Sell",'Bittrex Data'!G529-'Bittrex Data'!F529,IF('Bittrex Data'!C529="Limit_Buy",'Bittrex Data'!G529+'Bittrex Data'!F529,"")))</f>
        <v/>
      </c>
      <c r="G529" t="str">
        <f>IF('Bittrex Data'!B529="","",'Bittrex Data'!D529)</f>
        <v/>
      </c>
      <c r="H529" t="str">
        <f>IF('Bittrex Data'!C529="","",IF(Bittrex!C529="Buy",Bittrex!D529,IF(Bittrex!C529="Sale",Bittrex!E529,IF(AND(Bittrex!C529="Trade",'Bittrex Data'!C529="Limit_Sell"),Bittrex!E529,IF(AND(Bittrex!C529="Trade",'Bittrex Data'!C529="Limit_Buy"),Bittrex!D529,"")))))</f>
        <v/>
      </c>
      <c r="I529" t="str">
        <f>IF('Bittrex Data'!C529="","",IF(Bittrex!C529="Buy",F529,IF(C529="Sale",Bittrex!G529,IF(AND(C529="Trade",'Bittrex Data'!C529="Limit_Sell"),Bittrex!G529,IF(AND(Bittrex!C529="Trade",'Bittrex Data'!C529="Limit_Buy"),F529,"")))))</f>
        <v/>
      </c>
      <c r="J529" t="str">
        <f>IF('Bittrex Data'!B529="","",IF('Bittrex Data'!B529="","",IF(Bittrex!H529=Bittrex!E529,D529,Bittrex!E529)))</f>
        <v/>
      </c>
      <c r="K529" t="str">
        <f>IF('Bittrex Data'!B529="","",IF(Bittrex!I529=Bittrex!G529,Bittrex!F529,Bittrex!G529))</f>
        <v/>
      </c>
    </row>
    <row r="530" spans="3:11" x14ac:dyDescent="0.2">
      <c r="C530" t="str">
        <f>IF('Bittrex Data'!A530="","",IF(AND('Bittrex Data'!C530="LIMIT_SELL",Bittrex!D530="USD"),"Sale",IF(AND('Bittrex Data'!C530="LIMIT_BUY",Bittrex!D530="USD"),"Buy","Trade")))</f>
        <v/>
      </c>
      <c r="D530" t="str">
        <f>IF('Bittrex Data'!B530="","",LEFT(LEFT('Bittrex Data'!B530,SEARCH("-",'Bittrex Data'!B530,1)),LEN(LEFT('Bittrex Data'!B530,SEARCH("-",'Bittrex Data'!B530,1)))-1))</f>
        <v/>
      </c>
      <c r="E530" t="str">
        <f>IF('Bittrex Data'!B530="","",RIGHT(RIGHT('Bittrex Data'!B530,LEN('Bittrex Data'!B530)-SEARCH("-",'Bittrex Data'!B530,1)+1),LEN(RIGHT('Bittrex Data'!B530,LEN('Bittrex Data'!B530)-SEARCH("-",'Bittrex Data'!B530,1)+1))-1))</f>
        <v/>
      </c>
      <c r="F530" t="str">
        <f>IF('Bittrex Data'!C530="","",IF('Bittrex Data'!C530="Limit_Sell",'Bittrex Data'!G530-'Bittrex Data'!F530,IF('Bittrex Data'!C530="Limit_Buy",'Bittrex Data'!G530+'Bittrex Data'!F530,"")))</f>
        <v/>
      </c>
      <c r="G530" t="str">
        <f>IF('Bittrex Data'!B530="","",'Bittrex Data'!D530)</f>
        <v/>
      </c>
      <c r="H530" t="str">
        <f>IF('Bittrex Data'!C530="","",IF(Bittrex!C530="Buy",Bittrex!D530,IF(Bittrex!C530="Sale",Bittrex!E530,IF(AND(Bittrex!C530="Trade",'Bittrex Data'!C530="Limit_Sell"),Bittrex!E530,IF(AND(Bittrex!C530="Trade",'Bittrex Data'!C530="Limit_Buy"),Bittrex!D530,"")))))</f>
        <v/>
      </c>
      <c r="I530" t="str">
        <f>IF('Bittrex Data'!C530="","",IF(Bittrex!C530="Buy",F530,IF(C530="Sale",Bittrex!G530,IF(AND(C530="Trade",'Bittrex Data'!C530="Limit_Sell"),Bittrex!G530,IF(AND(Bittrex!C530="Trade",'Bittrex Data'!C530="Limit_Buy"),F530,"")))))</f>
        <v/>
      </c>
      <c r="J530" t="str">
        <f>IF('Bittrex Data'!B530="","",IF('Bittrex Data'!B530="","",IF(Bittrex!H530=Bittrex!E530,D530,Bittrex!E530)))</f>
        <v/>
      </c>
      <c r="K530" t="str">
        <f>IF('Bittrex Data'!B530="","",IF(Bittrex!I530=Bittrex!G530,Bittrex!F530,Bittrex!G530))</f>
        <v/>
      </c>
    </row>
    <row r="531" spans="3:11" x14ac:dyDescent="0.2">
      <c r="C531" t="str">
        <f>IF('Bittrex Data'!A531="","",IF(AND('Bittrex Data'!C531="LIMIT_SELL",Bittrex!D531="USD"),"Sale",IF(AND('Bittrex Data'!C531="LIMIT_BUY",Bittrex!D531="USD"),"Buy","Trade")))</f>
        <v/>
      </c>
      <c r="D531" t="str">
        <f>IF('Bittrex Data'!B531="","",LEFT(LEFT('Bittrex Data'!B531,SEARCH("-",'Bittrex Data'!B531,1)),LEN(LEFT('Bittrex Data'!B531,SEARCH("-",'Bittrex Data'!B531,1)))-1))</f>
        <v/>
      </c>
      <c r="E531" t="str">
        <f>IF('Bittrex Data'!B531="","",RIGHT(RIGHT('Bittrex Data'!B531,LEN('Bittrex Data'!B531)-SEARCH("-",'Bittrex Data'!B531,1)+1),LEN(RIGHT('Bittrex Data'!B531,LEN('Bittrex Data'!B531)-SEARCH("-",'Bittrex Data'!B531,1)+1))-1))</f>
        <v/>
      </c>
      <c r="F531" t="str">
        <f>IF('Bittrex Data'!C531="","",IF('Bittrex Data'!C531="Limit_Sell",'Bittrex Data'!G531-'Bittrex Data'!F531,IF('Bittrex Data'!C531="Limit_Buy",'Bittrex Data'!G531+'Bittrex Data'!F531,"")))</f>
        <v/>
      </c>
      <c r="G531" t="str">
        <f>IF('Bittrex Data'!B531="","",'Bittrex Data'!D531)</f>
        <v/>
      </c>
      <c r="H531" t="str">
        <f>IF('Bittrex Data'!C531="","",IF(Bittrex!C531="Buy",Bittrex!D531,IF(Bittrex!C531="Sale",Bittrex!E531,IF(AND(Bittrex!C531="Trade",'Bittrex Data'!C531="Limit_Sell"),Bittrex!E531,IF(AND(Bittrex!C531="Trade",'Bittrex Data'!C531="Limit_Buy"),Bittrex!D531,"")))))</f>
        <v/>
      </c>
      <c r="I531" t="str">
        <f>IF('Bittrex Data'!C531="","",IF(Bittrex!C531="Buy",F531,IF(C531="Sale",Bittrex!G531,IF(AND(C531="Trade",'Bittrex Data'!C531="Limit_Sell"),Bittrex!G531,IF(AND(Bittrex!C531="Trade",'Bittrex Data'!C531="Limit_Buy"),F531,"")))))</f>
        <v/>
      </c>
      <c r="J531" t="str">
        <f>IF('Bittrex Data'!B531="","",IF('Bittrex Data'!B531="","",IF(Bittrex!H531=Bittrex!E531,D531,Bittrex!E531)))</f>
        <v/>
      </c>
      <c r="K531" t="str">
        <f>IF('Bittrex Data'!B531="","",IF(Bittrex!I531=Bittrex!G531,Bittrex!F531,Bittrex!G531))</f>
        <v/>
      </c>
    </row>
    <row r="532" spans="3:11" x14ac:dyDescent="0.2">
      <c r="C532" t="str">
        <f>IF('Bittrex Data'!A532="","",IF(AND('Bittrex Data'!C532="LIMIT_SELL",Bittrex!D532="USD"),"Sale",IF(AND('Bittrex Data'!C532="LIMIT_BUY",Bittrex!D532="USD"),"Buy","Trade")))</f>
        <v/>
      </c>
      <c r="D532" t="str">
        <f>IF('Bittrex Data'!B532="","",LEFT(LEFT('Bittrex Data'!B532,SEARCH("-",'Bittrex Data'!B532,1)),LEN(LEFT('Bittrex Data'!B532,SEARCH("-",'Bittrex Data'!B532,1)))-1))</f>
        <v/>
      </c>
      <c r="E532" t="str">
        <f>IF('Bittrex Data'!B532="","",RIGHT(RIGHT('Bittrex Data'!B532,LEN('Bittrex Data'!B532)-SEARCH("-",'Bittrex Data'!B532,1)+1),LEN(RIGHT('Bittrex Data'!B532,LEN('Bittrex Data'!B532)-SEARCH("-",'Bittrex Data'!B532,1)+1))-1))</f>
        <v/>
      </c>
      <c r="F532" t="str">
        <f>IF('Bittrex Data'!C532="","",IF('Bittrex Data'!C532="Limit_Sell",'Bittrex Data'!G532-'Bittrex Data'!F532,IF('Bittrex Data'!C532="Limit_Buy",'Bittrex Data'!G532+'Bittrex Data'!F532,"")))</f>
        <v/>
      </c>
      <c r="G532" t="str">
        <f>IF('Bittrex Data'!B532="","",'Bittrex Data'!D532)</f>
        <v/>
      </c>
      <c r="H532" t="str">
        <f>IF('Bittrex Data'!C532="","",IF(Bittrex!C532="Buy",Bittrex!D532,IF(Bittrex!C532="Sale",Bittrex!E532,IF(AND(Bittrex!C532="Trade",'Bittrex Data'!C532="Limit_Sell"),Bittrex!E532,IF(AND(Bittrex!C532="Trade",'Bittrex Data'!C532="Limit_Buy"),Bittrex!D532,"")))))</f>
        <v/>
      </c>
      <c r="I532" t="str">
        <f>IF('Bittrex Data'!C532="","",IF(Bittrex!C532="Buy",F532,IF(C532="Sale",Bittrex!G532,IF(AND(C532="Trade",'Bittrex Data'!C532="Limit_Sell"),Bittrex!G532,IF(AND(Bittrex!C532="Trade",'Bittrex Data'!C532="Limit_Buy"),F532,"")))))</f>
        <v/>
      </c>
      <c r="J532" t="str">
        <f>IF('Bittrex Data'!B532="","",IF('Bittrex Data'!B532="","",IF(Bittrex!H532=Bittrex!E532,D532,Bittrex!E532)))</f>
        <v/>
      </c>
      <c r="K532" t="str">
        <f>IF('Bittrex Data'!B532="","",IF(Bittrex!I532=Bittrex!G532,Bittrex!F532,Bittrex!G532))</f>
        <v/>
      </c>
    </row>
    <row r="533" spans="3:11" x14ac:dyDescent="0.2">
      <c r="C533" t="str">
        <f>IF('Bittrex Data'!A533="","",IF(AND('Bittrex Data'!C533="LIMIT_SELL",Bittrex!D533="USD"),"Sale",IF(AND('Bittrex Data'!C533="LIMIT_BUY",Bittrex!D533="USD"),"Buy","Trade")))</f>
        <v/>
      </c>
      <c r="D533" t="str">
        <f>IF('Bittrex Data'!B533="","",LEFT(LEFT('Bittrex Data'!B533,SEARCH("-",'Bittrex Data'!B533,1)),LEN(LEFT('Bittrex Data'!B533,SEARCH("-",'Bittrex Data'!B533,1)))-1))</f>
        <v/>
      </c>
      <c r="E533" t="str">
        <f>IF('Bittrex Data'!B533="","",RIGHT(RIGHT('Bittrex Data'!B533,LEN('Bittrex Data'!B533)-SEARCH("-",'Bittrex Data'!B533,1)+1),LEN(RIGHT('Bittrex Data'!B533,LEN('Bittrex Data'!B533)-SEARCH("-",'Bittrex Data'!B533,1)+1))-1))</f>
        <v/>
      </c>
      <c r="F533" t="str">
        <f>IF('Bittrex Data'!C533="","",IF('Bittrex Data'!C533="Limit_Sell",'Bittrex Data'!G533-'Bittrex Data'!F533,IF('Bittrex Data'!C533="Limit_Buy",'Bittrex Data'!G533+'Bittrex Data'!F533,"")))</f>
        <v/>
      </c>
      <c r="G533" t="str">
        <f>IF('Bittrex Data'!B533="","",'Bittrex Data'!D533)</f>
        <v/>
      </c>
      <c r="H533" t="str">
        <f>IF('Bittrex Data'!C533="","",IF(Bittrex!C533="Buy",Bittrex!D533,IF(Bittrex!C533="Sale",Bittrex!E533,IF(AND(Bittrex!C533="Trade",'Bittrex Data'!C533="Limit_Sell"),Bittrex!E533,IF(AND(Bittrex!C533="Trade",'Bittrex Data'!C533="Limit_Buy"),Bittrex!D533,"")))))</f>
        <v/>
      </c>
      <c r="I533" t="str">
        <f>IF('Bittrex Data'!C533="","",IF(Bittrex!C533="Buy",F533,IF(C533="Sale",Bittrex!G533,IF(AND(C533="Trade",'Bittrex Data'!C533="Limit_Sell"),Bittrex!G533,IF(AND(Bittrex!C533="Trade",'Bittrex Data'!C533="Limit_Buy"),F533,"")))))</f>
        <v/>
      </c>
      <c r="J533" t="str">
        <f>IF('Bittrex Data'!B533="","",IF('Bittrex Data'!B533="","",IF(Bittrex!H533=Bittrex!E533,D533,Bittrex!E533)))</f>
        <v/>
      </c>
      <c r="K533" t="str">
        <f>IF('Bittrex Data'!B533="","",IF(Bittrex!I533=Bittrex!G533,Bittrex!F533,Bittrex!G533))</f>
        <v/>
      </c>
    </row>
    <row r="534" spans="3:11" x14ac:dyDescent="0.2">
      <c r="C534" t="str">
        <f>IF('Bittrex Data'!A534="","",IF(AND('Bittrex Data'!C534="LIMIT_SELL",Bittrex!D534="USD"),"Sale",IF(AND('Bittrex Data'!C534="LIMIT_BUY",Bittrex!D534="USD"),"Buy","Trade")))</f>
        <v/>
      </c>
      <c r="D534" t="str">
        <f>IF('Bittrex Data'!B534="","",LEFT(LEFT('Bittrex Data'!B534,SEARCH("-",'Bittrex Data'!B534,1)),LEN(LEFT('Bittrex Data'!B534,SEARCH("-",'Bittrex Data'!B534,1)))-1))</f>
        <v/>
      </c>
      <c r="E534" t="str">
        <f>IF('Bittrex Data'!B534="","",RIGHT(RIGHT('Bittrex Data'!B534,LEN('Bittrex Data'!B534)-SEARCH("-",'Bittrex Data'!B534,1)+1),LEN(RIGHT('Bittrex Data'!B534,LEN('Bittrex Data'!B534)-SEARCH("-",'Bittrex Data'!B534,1)+1))-1))</f>
        <v/>
      </c>
      <c r="F534" t="str">
        <f>IF('Bittrex Data'!C534="","",IF('Bittrex Data'!C534="Limit_Sell",'Bittrex Data'!G534-'Bittrex Data'!F534,IF('Bittrex Data'!C534="Limit_Buy",'Bittrex Data'!G534+'Bittrex Data'!F534,"")))</f>
        <v/>
      </c>
      <c r="G534" t="str">
        <f>IF('Bittrex Data'!B534="","",'Bittrex Data'!D534)</f>
        <v/>
      </c>
      <c r="H534" t="str">
        <f>IF('Bittrex Data'!C534="","",IF(Bittrex!C534="Buy",Bittrex!D534,IF(Bittrex!C534="Sale",Bittrex!E534,IF(AND(Bittrex!C534="Trade",'Bittrex Data'!C534="Limit_Sell"),Bittrex!E534,IF(AND(Bittrex!C534="Trade",'Bittrex Data'!C534="Limit_Buy"),Bittrex!D534,"")))))</f>
        <v/>
      </c>
      <c r="I534" t="str">
        <f>IF('Bittrex Data'!C534="","",IF(Bittrex!C534="Buy",F534,IF(C534="Sale",Bittrex!G534,IF(AND(C534="Trade",'Bittrex Data'!C534="Limit_Sell"),Bittrex!G534,IF(AND(Bittrex!C534="Trade",'Bittrex Data'!C534="Limit_Buy"),F534,"")))))</f>
        <v/>
      </c>
      <c r="J534" t="str">
        <f>IF('Bittrex Data'!B534="","",IF('Bittrex Data'!B534="","",IF(Bittrex!H534=Bittrex!E534,D534,Bittrex!E534)))</f>
        <v/>
      </c>
      <c r="K534" t="str">
        <f>IF('Bittrex Data'!B534="","",IF(Bittrex!I534=Bittrex!G534,Bittrex!F534,Bittrex!G534))</f>
        <v/>
      </c>
    </row>
    <row r="535" spans="3:11" x14ac:dyDescent="0.2">
      <c r="C535" t="str">
        <f>IF('Bittrex Data'!A535="","",IF(AND('Bittrex Data'!C535="LIMIT_SELL",Bittrex!D535="USD"),"Sale",IF(AND('Bittrex Data'!C535="LIMIT_BUY",Bittrex!D535="USD"),"Buy","Trade")))</f>
        <v/>
      </c>
      <c r="D535" t="str">
        <f>IF('Bittrex Data'!B535="","",LEFT(LEFT('Bittrex Data'!B535,SEARCH("-",'Bittrex Data'!B535,1)),LEN(LEFT('Bittrex Data'!B535,SEARCH("-",'Bittrex Data'!B535,1)))-1))</f>
        <v/>
      </c>
      <c r="E535" t="str">
        <f>IF('Bittrex Data'!B535="","",RIGHT(RIGHT('Bittrex Data'!B535,LEN('Bittrex Data'!B535)-SEARCH("-",'Bittrex Data'!B535,1)+1),LEN(RIGHT('Bittrex Data'!B535,LEN('Bittrex Data'!B535)-SEARCH("-",'Bittrex Data'!B535,1)+1))-1))</f>
        <v/>
      </c>
      <c r="F535" t="str">
        <f>IF('Bittrex Data'!C535="","",IF('Bittrex Data'!C535="Limit_Sell",'Bittrex Data'!G535-'Bittrex Data'!F535,IF('Bittrex Data'!C535="Limit_Buy",'Bittrex Data'!G535+'Bittrex Data'!F535,"")))</f>
        <v/>
      </c>
      <c r="G535" t="str">
        <f>IF('Bittrex Data'!B535="","",'Bittrex Data'!D535)</f>
        <v/>
      </c>
      <c r="H535" t="str">
        <f>IF('Bittrex Data'!C535="","",IF(Bittrex!C535="Buy",Bittrex!D535,IF(Bittrex!C535="Sale",Bittrex!E535,IF(AND(Bittrex!C535="Trade",'Bittrex Data'!C535="Limit_Sell"),Bittrex!E535,IF(AND(Bittrex!C535="Trade",'Bittrex Data'!C535="Limit_Buy"),Bittrex!D535,"")))))</f>
        <v/>
      </c>
      <c r="I535" t="str">
        <f>IF('Bittrex Data'!C535="","",IF(Bittrex!C535="Buy",F535,IF(C535="Sale",Bittrex!G535,IF(AND(C535="Trade",'Bittrex Data'!C535="Limit_Sell"),Bittrex!G535,IF(AND(Bittrex!C535="Trade",'Bittrex Data'!C535="Limit_Buy"),F535,"")))))</f>
        <v/>
      </c>
      <c r="J535" t="str">
        <f>IF('Bittrex Data'!B535="","",IF('Bittrex Data'!B535="","",IF(Bittrex!H535=Bittrex!E535,D535,Bittrex!E535)))</f>
        <v/>
      </c>
      <c r="K535" t="str">
        <f>IF('Bittrex Data'!B535="","",IF(Bittrex!I535=Bittrex!G535,Bittrex!F535,Bittrex!G535))</f>
        <v/>
      </c>
    </row>
    <row r="536" spans="3:11" x14ac:dyDescent="0.2">
      <c r="C536" t="str">
        <f>IF('Bittrex Data'!A536="","",IF(AND('Bittrex Data'!C536="LIMIT_SELL",Bittrex!D536="USD"),"Sale",IF(AND('Bittrex Data'!C536="LIMIT_BUY",Bittrex!D536="USD"),"Buy","Trade")))</f>
        <v/>
      </c>
      <c r="D536" t="str">
        <f>IF('Bittrex Data'!B536="","",LEFT(LEFT('Bittrex Data'!B536,SEARCH("-",'Bittrex Data'!B536,1)),LEN(LEFT('Bittrex Data'!B536,SEARCH("-",'Bittrex Data'!B536,1)))-1))</f>
        <v/>
      </c>
      <c r="E536" t="str">
        <f>IF('Bittrex Data'!B536="","",RIGHT(RIGHT('Bittrex Data'!B536,LEN('Bittrex Data'!B536)-SEARCH("-",'Bittrex Data'!B536,1)+1),LEN(RIGHT('Bittrex Data'!B536,LEN('Bittrex Data'!B536)-SEARCH("-",'Bittrex Data'!B536,1)+1))-1))</f>
        <v/>
      </c>
      <c r="F536" t="str">
        <f>IF('Bittrex Data'!C536="","",IF('Bittrex Data'!C536="Limit_Sell",'Bittrex Data'!G536-'Bittrex Data'!F536,IF('Bittrex Data'!C536="Limit_Buy",'Bittrex Data'!G536+'Bittrex Data'!F536,"")))</f>
        <v/>
      </c>
      <c r="G536" t="str">
        <f>IF('Bittrex Data'!B536="","",'Bittrex Data'!D536)</f>
        <v/>
      </c>
      <c r="H536" t="str">
        <f>IF('Bittrex Data'!C536="","",IF(Bittrex!C536="Buy",Bittrex!D536,IF(Bittrex!C536="Sale",Bittrex!E536,IF(AND(Bittrex!C536="Trade",'Bittrex Data'!C536="Limit_Sell"),Bittrex!E536,IF(AND(Bittrex!C536="Trade",'Bittrex Data'!C536="Limit_Buy"),Bittrex!D536,"")))))</f>
        <v/>
      </c>
      <c r="I536" t="str">
        <f>IF('Bittrex Data'!C536="","",IF(Bittrex!C536="Buy",F536,IF(C536="Sale",Bittrex!G536,IF(AND(C536="Trade",'Bittrex Data'!C536="Limit_Sell"),Bittrex!G536,IF(AND(Bittrex!C536="Trade",'Bittrex Data'!C536="Limit_Buy"),F536,"")))))</f>
        <v/>
      </c>
      <c r="J536" t="str">
        <f>IF('Bittrex Data'!B536="","",IF('Bittrex Data'!B536="","",IF(Bittrex!H536=Bittrex!E536,D536,Bittrex!E536)))</f>
        <v/>
      </c>
      <c r="K536" t="str">
        <f>IF('Bittrex Data'!B536="","",IF(Bittrex!I536=Bittrex!G536,Bittrex!F536,Bittrex!G536))</f>
        <v/>
      </c>
    </row>
    <row r="537" spans="3:11" x14ac:dyDescent="0.2">
      <c r="C537" t="str">
        <f>IF('Bittrex Data'!A537="","",IF(AND('Bittrex Data'!C537="LIMIT_SELL",Bittrex!D537="USD"),"Sale",IF(AND('Bittrex Data'!C537="LIMIT_BUY",Bittrex!D537="USD"),"Buy","Trade")))</f>
        <v/>
      </c>
      <c r="D537" t="str">
        <f>IF('Bittrex Data'!B537="","",LEFT(LEFT('Bittrex Data'!B537,SEARCH("-",'Bittrex Data'!B537,1)),LEN(LEFT('Bittrex Data'!B537,SEARCH("-",'Bittrex Data'!B537,1)))-1))</f>
        <v/>
      </c>
      <c r="E537" t="str">
        <f>IF('Bittrex Data'!B537="","",RIGHT(RIGHT('Bittrex Data'!B537,LEN('Bittrex Data'!B537)-SEARCH("-",'Bittrex Data'!B537,1)+1),LEN(RIGHT('Bittrex Data'!B537,LEN('Bittrex Data'!B537)-SEARCH("-",'Bittrex Data'!B537,1)+1))-1))</f>
        <v/>
      </c>
      <c r="F537" t="str">
        <f>IF('Bittrex Data'!C537="","",IF('Bittrex Data'!C537="Limit_Sell",'Bittrex Data'!G537-'Bittrex Data'!F537,IF('Bittrex Data'!C537="Limit_Buy",'Bittrex Data'!G537+'Bittrex Data'!F537,"")))</f>
        <v/>
      </c>
      <c r="G537" t="str">
        <f>IF('Bittrex Data'!B537="","",'Bittrex Data'!D537)</f>
        <v/>
      </c>
      <c r="H537" t="str">
        <f>IF('Bittrex Data'!C537="","",IF(Bittrex!C537="Buy",Bittrex!D537,IF(Bittrex!C537="Sale",Bittrex!E537,IF(AND(Bittrex!C537="Trade",'Bittrex Data'!C537="Limit_Sell"),Bittrex!E537,IF(AND(Bittrex!C537="Trade",'Bittrex Data'!C537="Limit_Buy"),Bittrex!D537,"")))))</f>
        <v/>
      </c>
      <c r="I537" t="str">
        <f>IF('Bittrex Data'!C537="","",IF(Bittrex!C537="Buy",F537,IF(C537="Sale",Bittrex!G537,IF(AND(C537="Trade",'Bittrex Data'!C537="Limit_Sell"),Bittrex!G537,IF(AND(Bittrex!C537="Trade",'Bittrex Data'!C537="Limit_Buy"),F537,"")))))</f>
        <v/>
      </c>
      <c r="J537" t="str">
        <f>IF('Bittrex Data'!B537="","",IF('Bittrex Data'!B537="","",IF(Bittrex!H537=Bittrex!E537,D537,Bittrex!E537)))</f>
        <v/>
      </c>
      <c r="K537" t="str">
        <f>IF('Bittrex Data'!B537="","",IF(Bittrex!I537=Bittrex!G537,Bittrex!F537,Bittrex!G537))</f>
        <v/>
      </c>
    </row>
    <row r="538" spans="3:11" x14ac:dyDescent="0.2">
      <c r="C538" t="str">
        <f>IF('Bittrex Data'!A538="","",IF(AND('Bittrex Data'!C538="LIMIT_SELL",Bittrex!D538="USD"),"Sale",IF(AND('Bittrex Data'!C538="LIMIT_BUY",Bittrex!D538="USD"),"Buy","Trade")))</f>
        <v/>
      </c>
      <c r="D538" t="str">
        <f>IF('Bittrex Data'!B538="","",LEFT(LEFT('Bittrex Data'!B538,SEARCH("-",'Bittrex Data'!B538,1)),LEN(LEFT('Bittrex Data'!B538,SEARCH("-",'Bittrex Data'!B538,1)))-1))</f>
        <v/>
      </c>
      <c r="E538" t="str">
        <f>IF('Bittrex Data'!B538="","",RIGHT(RIGHT('Bittrex Data'!B538,LEN('Bittrex Data'!B538)-SEARCH("-",'Bittrex Data'!B538,1)+1),LEN(RIGHT('Bittrex Data'!B538,LEN('Bittrex Data'!B538)-SEARCH("-",'Bittrex Data'!B538,1)+1))-1))</f>
        <v/>
      </c>
      <c r="F538" t="str">
        <f>IF('Bittrex Data'!C538="","",IF('Bittrex Data'!C538="Limit_Sell",'Bittrex Data'!G538-'Bittrex Data'!F538,IF('Bittrex Data'!C538="Limit_Buy",'Bittrex Data'!G538+'Bittrex Data'!F538,"")))</f>
        <v/>
      </c>
      <c r="G538" t="str">
        <f>IF('Bittrex Data'!B538="","",'Bittrex Data'!D538)</f>
        <v/>
      </c>
      <c r="H538" t="str">
        <f>IF('Bittrex Data'!C538="","",IF(Bittrex!C538="Buy",Bittrex!D538,IF(Bittrex!C538="Sale",Bittrex!E538,IF(AND(Bittrex!C538="Trade",'Bittrex Data'!C538="Limit_Sell"),Bittrex!E538,IF(AND(Bittrex!C538="Trade",'Bittrex Data'!C538="Limit_Buy"),Bittrex!D538,"")))))</f>
        <v/>
      </c>
      <c r="I538" t="str">
        <f>IF('Bittrex Data'!C538="","",IF(Bittrex!C538="Buy",F538,IF(C538="Sale",Bittrex!G538,IF(AND(C538="Trade",'Bittrex Data'!C538="Limit_Sell"),Bittrex!G538,IF(AND(Bittrex!C538="Trade",'Bittrex Data'!C538="Limit_Buy"),F538,"")))))</f>
        <v/>
      </c>
      <c r="J538" t="str">
        <f>IF('Bittrex Data'!B538="","",IF('Bittrex Data'!B538="","",IF(Bittrex!H538=Bittrex!E538,D538,Bittrex!E538)))</f>
        <v/>
      </c>
      <c r="K538" t="str">
        <f>IF('Bittrex Data'!B538="","",IF(Bittrex!I538=Bittrex!G538,Bittrex!F538,Bittrex!G538))</f>
        <v/>
      </c>
    </row>
    <row r="539" spans="3:11" x14ac:dyDescent="0.2">
      <c r="C539" t="str">
        <f>IF('Bittrex Data'!A539="","",IF(AND('Bittrex Data'!C539="LIMIT_SELL",Bittrex!D539="USD"),"Sale",IF(AND('Bittrex Data'!C539="LIMIT_BUY",Bittrex!D539="USD"),"Buy","Trade")))</f>
        <v/>
      </c>
      <c r="D539" t="str">
        <f>IF('Bittrex Data'!B539="","",LEFT(LEFT('Bittrex Data'!B539,SEARCH("-",'Bittrex Data'!B539,1)),LEN(LEFT('Bittrex Data'!B539,SEARCH("-",'Bittrex Data'!B539,1)))-1))</f>
        <v/>
      </c>
      <c r="E539" t="str">
        <f>IF('Bittrex Data'!B539="","",RIGHT(RIGHT('Bittrex Data'!B539,LEN('Bittrex Data'!B539)-SEARCH("-",'Bittrex Data'!B539,1)+1),LEN(RIGHT('Bittrex Data'!B539,LEN('Bittrex Data'!B539)-SEARCH("-",'Bittrex Data'!B539,1)+1))-1))</f>
        <v/>
      </c>
      <c r="F539" t="str">
        <f>IF('Bittrex Data'!C539="","",IF('Bittrex Data'!C539="Limit_Sell",'Bittrex Data'!G539-'Bittrex Data'!F539,IF('Bittrex Data'!C539="Limit_Buy",'Bittrex Data'!G539+'Bittrex Data'!F539,"")))</f>
        <v/>
      </c>
      <c r="G539" t="str">
        <f>IF('Bittrex Data'!B539="","",'Bittrex Data'!D539)</f>
        <v/>
      </c>
      <c r="H539" t="str">
        <f>IF('Bittrex Data'!C539="","",IF(Bittrex!C539="Buy",Bittrex!D539,IF(Bittrex!C539="Sale",Bittrex!E539,IF(AND(Bittrex!C539="Trade",'Bittrex Data'!C539="Limit_Sell"),Bittrex!E539,IF(AND(Bittrex!C539="Trade",'Bittrex Data'!C539="Limit_Buy"),Bittrex!D539,"")))))</f>
        <v/>
      </c>
      <c r="I539" t="str">
        <f>IF('Bittrex Data'!C539="","",IF(Bittrex!C539="Buy",F539,IF(C539="Sale",Bittrex!G539,IF(AND(C539="Trade",'Bittrex Data'!C539="Limit_Sell"),Bittrex!G539,IF(AND(Bittrex!C539="Trade",'Bittrex Data'!C539="Limit_Buy"),F539,"")))))</f>
        <v/>
      </c>
      <c r="J539" t="str">
        <f>IF('Bittrex Data'!B539="","",IF('Bittrex Data'!B539="","",IF(Bittrex!H539=Bittrex!E539,D539,Bittrex!E539)))</f>
        <v/>
      </c>
      <c r="K539" t="str">
        <f>IF('Bittrex Data'!B539="","",IF(Bittrex!I539=Bittrex!G539,Bittrex!F539,Bittrex!G539))</f>
        <v/>
      </c>
    </row>
    <row r="540" spans="3:11" x14ac:dyDescent="0.2">
      <c r="C540" t="str">
        <f>IF('Bittrex Data'!A540="","",IF(AND('Bittrex Data'!C540="LIMIT_SELL",Bittrex!D540="USD"),"Sale",IF(AND('Bittrex Data'!C540="LIMIT_BUY",Bittrex!D540="USD"),"Buy","Trade")))</f>
        <v/>
      </c>
      <c r="D540" t="str">
        <f>IF('Bittrex Data'!B540="","",LEFT(LEFT('Bittrex Data'!B540,SEARCH("-",'Bittrex Data'!B540,1)),LEN(LEFT('Bittrex Data'!B540,SEARCH("-",'Bittrex Data'!B540,1)))-1))</f>
        <v/>
      </c>
      <c r="E540" t="str">
        <f>IF('Bittrex Data'!B540="","",RIGHT(RIGHT('Bittrex Data'!B540,LEN('Bittrex Data'!B540)-SEARCH("-",'Bittrex Data'!B540,1)+1),LEN(RIGHT('Bittrex Data'!B540,LEN('Bittrex Data'!B540)-SEARCH("-",'Bittrex Data'!B540,1)+1))-1))</f>
        <v/>
      </c>
      <c r="F540" t="str">
        <f>IF('Bittrex Data'!C540="","",IF('Bittrex Data'!C540="Limit_Sell",'Bittrex Data'!G540-'Bittrex Data'!F540,IF('Bittrex Data'!C540="Limit_Buy",'Bittrex Data'!G540+'Bittrex Data'!F540,"")))</f>
        <v/>
      </c>
      <c r="G540" t="str">
        <f>IF('Bittrex Data'!B540="","",'Bittrex Data'!D540)</f>
        <v/>
      </c>
      <c r="H540" t="str">
        <f>IF('Bittrex Data'!C540="","",IF(Bittrex!C540="Buy",Bittrex!D540,IF(Bittrex!C540="Sale",Bittrex!E540,IF(AND(Bittrex!C540="Trade",'Bittrex Data'!C540="Limit_Sell"),Bittrex!E540,IF(AND(Bittrex!C540="Trade",'Bittrex Data'!C540="Limit_Buy"),Bittrex!D540,"")))))</f>
        <v/>
      </c>
      <c r="I540" t="str">
        <f>IF('Bittrex Data'!C540="","",IF(Bittrex!C540="Buy",F540,IF(C540="Sale",Bittrex!G540,IF(AND(C540="Trade",'Bittrex Data'!C540="Limit_Sell"),Bittrex!G540,IF(AND(Bittrex!C540="Trade",'Bittrex Data'!C540="Limit_Buy"),F540,"")))))</f>
        <v/>
      </c>
      <c r="J540" t="str">
        <f>IF('Bittrex Data'!B540="","",IF('Bittrex Data'!B540="","",IF(Bittrex!H540=Bittrex!E540,D540,Bittrex!E540)))</f>
        <v/>
      </c>
      <c r="K540" t="str">
        <f>IF('Bittrex Data'!B540="","",IF(Bittrex!I540=Bittrex!G540,Bittrex!F540,Bittrex!G540))</f>
        <v/>
      </c>
    </row>
    <row r="541" spans="3:11" x14ac:dyDescent="0.2">
      <c r="C541" t="str">
        <f>IF('Bittrex Data'!A541="","",IF(AND('Bittrex Data'!C541="LIMIT_SELL",Bittrex!D541="USD"),"Sale",IF(AND('Bittrex Data'!C541="LIMIT_BUY",Bittrex!D541="USD"),"Buy","Trade")))</f>
        <v/>
      </c>
      <c r="D541" t="str">
        <f>IF('Bittrex Data'!B541="","",LEFT(LEFT('Bittrex Data'!B541,SEARCH("-",'Bittrex Data'!B541,1)),LEN(LEFT('Bittrex Data'!B541,SEARCH("-",'Bittrex Data'!B541,1)))-1))</f>
        <v/>
      </c>
      <c r="E541" t="str">
        <f>IF('Bittrex Data'!B541="","",RIGHT(RIGHT('Bittrex Data'!B541,LEN('Bittrex Data'!B541)-SEARCH("-",'Bittrex Data'!B541,1)+1),LEN(RIGHT('Bittrex Data'!B541,LEN('Bittrex Data'!B541)-SEARCH("-",'Bittrex Data'!B541,1)+1))-1))</f>
        <v/>
      </c>
      <c r="F541" t="str">
        <f>IF('Bittrex Data'!C541="","",IF('Bittrex Data'!C541="Limit_Sell",'Bittrex Data'!G541-'Bittrex Data'!F541,IF('Bittrex Data'!C541="Limit_Buy",'Bittrex Data'!G541+'Bittrex Data'!F541,"")))</f>
        <v/>
      </c>
      <c r="G541" t="str">
        <f>IF('Bittrex Data'!B541="","",'Bittrex Data'!D541)</f>
        <v/>
      </c>
      <c r="H541" t="str">
        <f>IF('Bittrex Data'!C541="","",IF(Bittrex!C541="Buy",Bittrex!D541,IF(Bittrex!C541="Sale",Bittrex!E541,IF(AND(Bittrex!C541="Trade",'Bittrex Data'!C541="Limit_Sell"),Bittrex!E541,IF(AND(Bittrex!C541="Trade",'Bittrex Data'!C541="Limit_Buy"),Bittrex!D541,"")))))</f>
        <v/>
      </c>
      <c r="I541" t="str">
        <f>IF('Bittrex Data'!C541="","",IF(Bittrex!C541="Buy",F541,IF(C541="Sale",Bittrex!G541,IF(AND(C541="Trade",'Bittrex Data'!C541="Limit_Sell"),Bittrex!G541,IF(AND(Bittrex!C541="Trade",'Bittrex Data'!C541="Limit_Buy"),F541,"")))))</f>
        <v/>
      </c>
      <c r="J541" t="str">
        <f>IF('Bittrex Data'!B541="","",IF('Bittrex Data'!B541="","",IF(Bittrex!H541=Bittrex!E541,D541,Bittrex!E541)))</f>
        <v/>
      </c>
      <c r="K541" t="str">
        <f>IF('Bittrex Data'!B541="","",IF(Bittrex!I541=Bittrex!G541,Bittrex!F541,Bittrex!G541))</f>
        <v/>
      </c>
    </row>
    <row r="542" spans="3:11" x14ac:dyDescent="0.2">
      <c r="C542" t="str">
        <f>IF('Bittrex Data'!A542="","",IF(AND('Bittrex Data'!C542="LIMIT_SELL",Bittrex!D542="USD"),"Sale",IF(AND('Bittrex Data'!C542="LIMIT_BUY",Bittrex!D542="USD"),"Buy","Trade")))</f>
        <v/>
      </c>
      <c r="D542" t="str">
        <f>IF('Bittrex Data'!B542="","",LEFT(LEFT('Bittrex Data'!B542,SEARCH("-",'Bittrex Data'!B542,1)),LEN(LEFT('Bittrex Data'!B542,SEARCH("-",'Bittrex Data'!B542,1)))-1))</f>
        <v/>
      </c>
      <c r="E542" t="str">
        <f>IF('Bittrex Data'!B542="","",RIGHT(RIGHT('Bittrex Data'!B542,LEN('Bittrex Data'!B542)-SEARCH("-",'Bittrex Data'!B542,1)+1),LEN(RIGHT('Bittrex Data'!B542,LEN('Bittrex Data'!B542)-SEARCH("-",'Bittrex Data'!B542,1)+1))-1))</f>
        <v/>
      </c>
      <c r="F542" t="str">
        <f>IF('Bittrex Data'!C542="","",IF('Bittrex Data'!C542="Limit_Sell",'Bittrex Data'!G542-'Bittrex Data'!F542,IF('Bittrex Data'!C542="Limit_Buy",'Bittrex Data'!G542+'Bittrex Data'!F542,"")))</f>
        <v/>
      </c>
      <c r="G542" t="str">
        <f>IF('Bittrex Data'!B542="","",'Bittrex Data'!D542)</f>
        <v/>
      </c>
      <c r="H542" t="str">
        <f>IF('Bittrex Data'!C542="","",IF(Bittrex!C542="Buy",Bittrex!D542,IF(Bittrex!C542="Sale",Bittrex!E542,IF(AND(Bittrex!C542="Trade",'Bittrex Data'!C542="Limit_Sell"),Bittrex!E542,IF(AND(Bittrex!C542="Trade",'Bittrex Data'!C542="Limit_Buy"),Bittrex!D542,"")))))</f>
        <v/>
      </c>
      <c r="I542" t="str">
        <f>IF('Bittrex Data'!C542="","",IF(Bittrex!C542="Buy",F542,IF(C542="Sale",Bittrex!G542,IF(AND(C542="Trade",'Bittrex Data'!C542="Limit_Sell"),Bittrex!G542,IF(AND(Bittrex!C542="Trade",'Bittrex Data'!C542="Limit_Buy"),F542,"")))))</f>
        <v/>
      </c>
      <c r="J542" t="str">
        <f>IF('Bittrex Data'!B542="","",IF('Bittrex Data'!B542="","",IF(Bittrex!H542=Bittrex!E542,D542,Bittrex!E542)))</f>
        <v/>
      </c>
      <c r="K542" t="str">
        <f>IF('Bittrex Data'!B542="","",IF(Bittrex!I542=Bittrex!G542,Bittrex!F542,Bittrex!G542))</f>
        <v/>
      </c>
    </row>
    <row r="543" spans="3:11" x14ac:dyDescent="0.2">
      <c r="C543" t="str">
        <f>IF('Bittrex Data'!A543="","",IF(AND('Bittrex Data'!C543="LIMIT_SELL",Bittrex!D543="USD"),"Sale",IF(AND('Bittrex Data'!C543="LIMIT_BUY",Bittrex!D543="USD"),"Buy","Trade")))</f>
        <v/>
      </c>
      <c r="D543" t="str">
        <f>IF('Bittrex Data'!B543="","",LEFT(LEFT('Bittrex Data'!B543,SEARCH("-",'Bittrex Data'!B543,1)),LEN(LEFT('Bittrex Data'!B543,SEARCH("-",'Bittrex Data'!B543,1)))-1))</f>
        <v/>
      </c>
      <c r="E543" t="str">
        <f>IF('Bittrex Data'!B543="","",RIGHT(RIGHT('Bittrex Data'!B543,LEN('Bittrex Data'!B543)-SEARCH("-",'Bittrex Data'!B543,1)+1),LEN(RIGHT('Bittrex Data'!B543,LEN('Bittrex Data'!B543)-SEARCH("-",'Bittrex Data'!B543,1)+1))-1))</f>
        <v/>
      </c>
      <c r="F543" t="str">
        <f>IF('Bittrex Data'!C543="","",IF('Bittrex Data'!C543="Limit_Sell",'Bittrex Data'!G543-'Bittrex Data'!F543,IF('Bittrex Data'!C543="Limit_Buy",'Bittrex Data'!G543+'Bittrex Data'!F543,"")))</f>
        <v/>
      </c>
      <c r="G543" t="str">
        <f>IF('Bittrex Data'!B543="","",'Bittrex Data'!D543)</f>
        <v/>
      </c>
      <c r="H543" t="str">
        <f>IF('Bittrex Data'!C543="","",IF(Bittrex!C543="Buy",Bittrex!D543,IF(Bittrex!C543="Sale",Bittrex!E543,IF(AND(Bittrex!C543="Trade",'Bittrex Data'!C543="Limit_Sell"),Bittrex!E543,IF(AND(Bittrex!C543="Trade",'Bittrex Data'!C543="Limit_Buy"),Bittrex!D543,"")))))</f>
        <v/>
      </c>
      <c r="I543" t="str">
        <f>IF('Bittrex Data'!C543="","",IF(Bittrex!C543="Buy",F543,IF(C543="Sale",Bittrex!G543,IF(AND(C543="Trade",'Bittrex Data'!C543="Limit_Sell"),Bittrex!G543,IF(AND(Bittrex!C543="Trade",'Bittrex Data'!C543="Limit_Buy"),F543,"")))))</f>
        <v/>
      </c>
      <c r="J543" t="str">
        <f>IF('Bittrex Data'!B543="","",IF('Bittrex Data'!B543="","",IF(Bittrex!H543=Bittrex!E543,D543,Bittrex!E543)))</f>
        <v/>
      </c>
      <c r="K543" t="str">
        <f>IF('Bittrex Data'!B543="","",IF(Bittrex!I543=Bittrex!G543,Bittrex!F543,Bittrex!G543))</f>
        <v/>
      </c>
    </row>
    <row r="544" spans="3:11" x14ac:dyDescent="0.2">
      <c r="C544" t="str">
        <f>IF('Bittrex Data'!A544="","",IF(AND('Bittrex Data'!C544="LIMIT_SELL",Bittrex!D544="USD"),"Sale",IF(AND('Bittrex Data'!C544="LIMIT_BUY",Bittrex!D544="USD"),"Buy","Trade")))</f>
        <v/>
      </c>
      <c r="D544" t="str">
        <f>IF('Bittrex Data'!B544="","",LEFT(LEFT('Bittrex Data'!B544,SEARCH("-",'Bittrex Data'!B544,1)),LEN(LEFT('Bittrex Data'!B544,SEARCH("-",'Bittrex Data'!B544,1)))-1))</f>
        <v/>
      </c>
      <c r="E544" t="str">
        <f>IF('Bittrex Data'!B544="","",RIGHT(RIGHT('Bittrex Data'!B544,LEN('Bittrex Data'!B544)-SEARCH("-",'Bittrex Data'!B544,1)+1),LEN(RIGHT('Bittrex Data'!B544,LEN('Bittrex Data'!B544)-SEARCH("-",'Bittrex Data'!B544,1)+1))-1))</f>
        <v/>
      </c>
      <c r="F544" t="str">
        <f>IF('Bittrex Data'!C544="","",IF('Bittrex Data'!C544="Limit_Sell",'Bittrex Data'!G544-'Bittrex Data'!F544,IF('Bittrex Data'!C544="Limit_Buy",'Bittrex Data'!G544+'Bittrex Data'!F544,"")))</f>
        <v/>
      </c>
      <c r="G544" t="str">
        <f>IF('Bittrex Data'!B544="","",'Bittrex Data'!D544)</f>
        <v/>
      </c>
      <c r="H544" t="str">
        <f>IF('Bittrex Data'!C544="","",IF(Bittrex!C544="Buy",Bittrex!D544,IF(Bittrex!C544="Sale",Bittrex!E544,IF(AND(Bittrex!C544="Trade",'Bittrex Data'!C544="Limit_Sell"),Bittrex!E544,IF(AND(Bittrex!C544="Trade",'Bittrex Data'!C544="Limit_Buy"),Bittrex!D544,"")))))</f>
        <v/>
      </c>
      <c r="I544" t="str">
        <f>IF('Bittrex Data'!C544="","",IF(Bittrex!C544="Buy",F544,IF(C544="Sale",Bittrex!G544,IF(AND(C544="Trade",'Bittrex Data'!C544="Limit_Sell"),Bittrex!G544,IF(AND(Bittrex!C544="Trade",'Bittrex Data'!C544="Limit_Buy"),F544,"")))))</f>
        <v/>
      </c>
      <c r="J544" t="str">
        <f>IF('Bittrex Data'!B544="","",IF('Bittrex Data'!B544="","",IF(Bittrex!H544=Bittrex!E544,D544,Bittrex!E544)))</f>
        <v/>
      </c>
      <c r="K544" t="str">
        <f>IF('Bittrex Data'!B544="","",IF(Bittrex!I544=Bittrex!G544,Bittrex!F544,Bittrex!G544))</f>
        <v/>
      </c>
    </row>
    <row r="545" spans="3:11" x14ac:dyDescent="0.2">
      <c r="C545" t="str">
        <f>IF('Bittrex Data'!A545="","",IF(AND('Bittrex Data'!C545="LIMIT_SELL",Bittrex!D545="USD"),"Sale",IF(AND('Bittrex Data'!C545="LIMIT_BUY",Bittrex!D545="USD"),"Buy","Trade")))</f>
        <v/>
      </c>
      <c r="D545" t="str">
        <f>IF('Bittrex Data'!B545="","",LEFT(LEFT('Bittrex Data'!B545,SEARCH("-",'Bittrex Data'!B545,1)),LEN(LEFT('Bittrex Data'!B545,SEARCH("-",'Bittrex Data'!B545,1)))-1))</f>
        <v/>
      </c>
      <c r="E545" t="str">
        <f>IF('Bittrex Data'!B545="","",RIGHT(RIGHT('Bittrex Data'!B545,LEN('Bittrex Data'!B545)-SEARCH("-",'Bittrex Data'!B545,1)+1),LEN(RIGHT('Bittrex Data'!B545,LEN('Bittrex Data'!B545)-SEARCH("-",'Bittrex Data'!B545,1)+1))-1))</f>
        <v/>
      </c>
      <c r="F545" t="str">
        <f>IF('Bittrex Data'!C545="","",IF('Bittrex Data'!C545="Limit_Sell",'Bittrex Data'!G545-'Bittrex Data'!F545,IF('Bittrex Data'!C545="Limit_Buy",'Bittrex Data'!G545+'Bittrex Data'!F545,"")))</f>
        <v/>
      </c>
      <c r="G545" t="str">
        <f>IF('Bittrex Data'!B545="","",'Bittrex Data'!D545)</f>
        <v/>
      </c>
      <c r="H545" t="str">
        <f>IF('Bittrex Data'!C545="","",IF(Bittrex!C545="Buy",Bittrex!D545,IF(Bittrex!C545="Sale",Bittrex!E545,IF(AND(Bittrex!C545="Trade",'Bittrex Data'!C545="Limit_Sell"),Bittrex!E545,IF(AND(Bittrex!C545="Trade",'Bittrex Data'!C545="Limit_Buy"),Bittrex!D545,"")))))</f>
        <v/>
      </c>
      <c r="I545" t="str">
        <f>IF('Bittrex Data'!C545="","",IF(Bittrex!C545="Buy",F545,IF(C545="Sale",Bittrex!G545,IF(AND(C545="Trade",'Bittrex Data'!C545="Limit_Sell"),Bittrex!G545,IF(AND(Bittrex!C545="Trade",'Bittrex Data'!C545="Limit_Buy"),F545,"")))))</f>
        <v/>
      </c>
      <c r="J545" t="str">
        <f>IF('Bittrex Data'!B545="","",IF('Bittrex Data'!B545="","",IF(Bittrex!H545=Bittrex!E545,D545,Bittrex!E545)))</f>
        <v/>
      </c>
      <c r="K545" t="str">
        <f>IF('Bittrex Data'!B545="","",IF(Bittrex!I545=Bittrex!G545,Bittrex!F545,Bittrex!G545))</f>
        <v/>
      </c>
    </row>
    <row r="546" spans="3:11" x14ac:dyDescent="0.2">
      <c r="C546" t="str">
        <f>IF('Bittrex Data'!A546="","",IF(AND('Bittrex Data'!C546="LIMIT_SELL",Bittrex!D546="USD"),"Sale",IF(AND('Bittrex Data'!C546="LIMIT_BUY",Bittrex!D546="USD"),"Buy","Trade")))</f>
        <v/>
      </c>
      <c r="D546" t="str">
        <f>IF('Bittrex Data'!B546="","",LEFT(LEFT('Bittrex Data'!B546,SEARCH("-",'Bittrex Data'!B546,1)),LEN(LEFT('Bittrex Data'!B546,SEARCH("-",'Bittrex Data'!B546,1)))-1))</f>
        <v/>
      </c>
      <c r="E546" t="str">
        <f>IF('Bittrex Data'!B546="","",RIGHT(RIGHT('Bittrex Data'!B546,LEN('Bittrex Data'!B546)-SEARCH("-",'Bittrex Data'!B546,1)+1),LEN(RIGHT('Bittrex Data'!B546,LEN('Bittrex Data'!B546)-SEARCH("-",'Bittrex Data'!B546,1)+1))-1))</f>
        <v/>
      </c>
      <c r="F546" t="str">
        <f>IF('Bittrex Data'!C546="","",IF('Bittrex Data'!C546="Limit_Sell",'Bittrex Data'!G546-'Bittrex Data'!F546,IF('Bittrex Data'!C546="Limit_Buy",'Bittrex Data'!G546+'Bittrex Data'!F546,"")))</f>
        <v/>
      </c>
      <c r="G546" t="str">
        <f>IF('Bittrex Data'!B546="","",'Bittrex Data'!D546)</f>
        <v/>
      </c>
      <c r="H546" t="str">
        <f>IF('Bittrex Data'!C546="","",IF(Bittrex!C546="Buy",Bittrex!D546,IF(Bittrex!C546="Sale",Bittrex!E546,IF(AND(Bittrex!C546="Trade",'Bittrex Data'!C546="Limit_Sell"),Bittrex!E546,IF(AND(Bittrex!C546="Trade",'Bittrex Data'!C546="Limit_Buy"),Bittrex!D546,"")))))</f>
        <v/>
      </c>
      <c r="I546" t="str">
        <f>IF('Bittrex Data'!C546="","",IF(Bittrex!C546="Buy",F546,IF(C546="Sale",Bittrex!G546,IF(AND(C546="Trade",'Bittrex Data'!C546="Limit_Sell"),Bittrex!G546,IF(AND(Bittrex!C546="Trade",'Bittrex Data'!C546="Limit_Buy"),F546,"")))))</f>
        <v/>
      </c>
      <c r="J546" t="str">
        <f>IF('Bittrex Data'!B546="","",IF('Bittrex Data'!B546="","",IF(Bittrex!H546=Bittrex!E546,D546,Bittrex!E546)))</f>
        <v/>
      </c>
      <c r="K546" t="str">
        <f>IF('Bittrex Data'!B546="","",IF(Bittrex!I546=Bittrex!G546,Bittrex!F546,Bittrex!G546))</f>
        <v/>
      </c>
    </row>
    <row r="547" spans="3:11" x14ac:dyDescent="0.2">
      <c r="C547" t="str">
        <f>IF('Bittrex Data'!A547="","",IF(AND('Bittrex Data'!C547="LIMIT_SELL",Bittrex!D547="USD"),"Sale",IF(AND('Bittrex Data'!C547="LIMIT_BUY",Bittrex!D547="USD"),"Buy","Trade")))</f>
        <v/>
      </c>
      <c r="D547" t="str">
        <f>IF('Bittrex Data'!B547="","",LEFT(LEFT('Bittrex Data'!B547,SEARCH("-",'Bittrex Data'!B547,1)),LEN(LEFT('Bittrex Data'!B547,SEARCH("-",'Bittrex Data'!B547,1)))-1))</f>
        <v/>
      </c>
      <c r="E547" t="str">
        <f>IF('Bittrex Data'!B547="","",RIGHT(RIGHT('Bittrex Data'!B547,LEN('Bittrex Data'!B547)-SEARCH("-",'Bittrex Data'!B547,1)+1),LEN(RIGHT('Bittrex Data'!B547,LEN('Bittrex Data'!B547)-SEARCH("-",'Bittrex Data'!B547,1)+1))-1))</f>
        <v/>
      </c>
      <c r="F547" t="str">
        <f>IF('Bittrex Data'!C547="","",IF('Bittrex Data'!C547="Limit_Sell",'Bittrex Data'!G547-'Bittrex Data'!F547,IF('Bittrex Data'!C547="Limit_Buy",'Bittrex Data'!G547+'Bittrex Data'!F547,"")))</f>
        <v/>
      </c>
      <c r="G547" t="str">
        <f>IF('Bittrex Data'!B547="","",'Bittrex Data'!D547)</f>
        <v/>
      </c>
      <c r="H547" t="str">
        <f>IF('Bittrex Data'!C547="","",IF(Bittrex!C547="Buy",Bittrex!D547,IF(Bittrex!C547="Sale",Bittrex!E547,IF(AND(Bittrex!C547="Trade",'Bittrex Data'!C547="Limit_Sell"),Bittrex!E547,IF(AND(Bittrex!C547="Trade",'Bittrex Data'!C547="Limit_Buy"),Bittrex!D547,"")))))</f>
        <v/>
      </c>
      <c r="I547" t="str">
        <f>IF('Bittrex Data'!C547="","",IF(Bittrex!C547="Buy",F547,IF(C547="Sale",Bittrex!G547,IF(AND(C547="Trade",'Bittrex Data'!C547="Limit_Sell"),Bittrex!G547,IF(AND(Bittrex!C547="Trade",'Bittrex Data'!C547="Limit_Buy"),F547,"")))))</f>
        <v/>
      </c>
      <c r="J547" t="str">
        <f>IF('Bittrex Data'!B547="","",IF('Bittrex Data'!B547="","",IF(Bittrex!H547=Bittrex!E547,D547,Bittrex!E547)))</f>
        <v/>
      </c>
      <c r="K547" t="str">
        <f>IF('Bittrex Data'!B547="","",IF(Bittrex!I547=Bittrex!G547,Bittrex!F547,Bittrex!G547))</f>
        <v/>
      </c>
    </row>
    <row r="548" spans="3:11" x14ac:dyDescent="0.2">
      <c r="C548" t="str">
        <f>IF('Bittrex Data'!A548="","",IF(AND('Bittrex Data'!C548="LIMIT_SELL",Bittrex!D548="USD"),"Sale",IF(AND('Bittrex Data'!C548="LIMIT_BUY",Bittrex!D548="USD"),"Buy","Trade")))</f>
        <v/>
      </c>
      <c r="D548" t="str">
        <f>IF('Bittrex Data'!B548="","",LEFT(LEFT('Bittrex Data'!B548,SEARCH("-",'Bittrex Data'!B548,1)),LEN(LEFT('Bittrex Data'!B548,SEARCH("-",'Bittrex Data'!B548,1)))-1))</f>
        <v/>
      </c>
      <c r="E548" t="str">
        <f>IF('Bittrex Data'!B548="","",RIGHT(RIGHT('Bittrex Data'!B548,LEN('Bittrex Data'!B548)-SEARCH("-",'Bittrex Data'!B548,1)+1),LEN(RIGHT('Bittrex Data'!B548,LEN('Bittrex Data'!B548)-SEARCH("-",'Bittrex Data'!B548,1)+1))-1))</f>
        <v/>
      </c>
      <c r="F548" t="str">
        <f>IF('Bittrex Data'!C548="","",IF('Bittrex Data'!C548="Limit_Sell",'Bittrex Data'!G548-'Bittrex Data'!F548,IF('Bittrex Data'!C548="Limit_Buy",'Bittrex Data'!G548+'Bittrex Data'!F548,"")))</f>
        <v/>
      </c>
      <c r="G548" t="str">
        <f>IF('Bittrex Data'!B548="","",'Bittrex Data'!D548)</f>
        <v/>
      </c>
      <c r="H548" t="str">
        <f>IF('Bittrex Data'!C548="","",IF(Bittrex!C548="Buy",Bittrex!D548,IF(Bittrex!C548="Sale",Bittrex!E548,IF(AND(Bittrex!C548="Trade",'Bittrex Data'!C548="Limit_Sell"),Bittrex!E548,IF(AND(Bittrex!C548="Trade",'Bittrex Data'!C548="Limit_Buy"),Bittrex!D548,"")))))</f>
        <v/>
      </c>
      <c r="I548" t="str">
        <f>IF('Bittrex Data'!C548="","",IF(Bittrex!C548="Buy",F548,IF(C548="Sale",Bittrex!G548,IF(AND(C548="Trade",'Bittrex Data'!C548="Limit_Sell"),Bittrex!G548,IF(AND(Bittrex!C548="Trade",'Bittrex Data'!C548="Limit_Buy"),F548,"")))))</f>
        <v/>
      </c>
      <c r="J548" t="str">
        <f>IF('Bittrex Data'!B548="","",IF('Bittrex Data'!B548="","",IF(Bittrex!H548=Bittrex!E548,D548,Bittrex!E548)))</f>
        <v/>
      </c>
      <c r="K548" t="str">
        <f>IF('Bittrex Data'!B548="","",IF(Bittrex!I548=Bittrex!G548,Bittrex!F548,Bittrex!G548))</f>
        <v/>
      </c>
    </row>
    <row r="549" spans="3:11" x14ac:dyDescent="0.2">
      <c r="C549" t="str">
        <f>IF('Bittrex Data'!A549="","",IF(AND('Bittrex Data'!C549="LIMIT_SELL",Bittrex!D549="USD"),"Sale",IF(AND('Bittrex Data'!C549="LIMIT_BUY",Bittrex!D549="USD"),"Buy","Trade")))</f>
        <v/>
      </c>
      <c r="D549" t="str">
        <f>IF('Bittrex Data'!B549="","",LEFT(LEFT('Bittrex Data'!B549,SEARCH("-",'Bittrex Data'!B549,1)),LEN(LEFT('Bittrex Data'!B549,SEARCH("-",'Bittrex Data'!B549,1)))-1))</f>
        <v/>
      </c>
      <c r="E549" t="str">
        <f>IF('Bittrex Data'!B549="","",RIGHT(RIGHT('Bittrex Data'!B549,LEN('Bittrex Data'!B549)-SEARCH("-",'Bittrex Data'!B549,1)+1),LEN(RIGHT('Bittrex Data'!B549,LEN('Bittrex Data'!B549)-SEARCH("-",'Bittrex Data'!B549,1)+1))-1))</f>
        <v/>
      </c>
      <c r="F549" t="str">
        <f>IF('Bittrex Data'!C549="","",IF('Bittrex Data'!C549="Limit_Sell",'Bittrex Data'!G549-'Bittrex Data'!F549,IF('Bittrex Data'!C549="Limit_Buy",'Bittrex Data'!G549+'Bittrex Data'!F549,"")))</f>
        <v/>
      </c>
      <c r="G549" t="str">
        <f>IF('Bittrex Data'!B549="","",'Bittrex Data'!D549)</f>
        <v/>
      </c>
      <c r="H549" t="str">
        <f>IF('Bittrex Data'!C549="","",IF(Bittrex!C549="Buy",Bittrex!D549,IF(Bittrex!C549="Sale",Bittrex!E549,IF(AND(Bittrex!C549="Trade",'Bittrex Data'!C549="Limit_Sell"),Bittrex!E549,IF(AND(Bittrex!C549="Trade",'Bittrex Data'!C549="Limit_Buy"),Bittrex!D549,"")))))</f>
        <v/>
      </c>
      <c r="I549" t="str">
        <f>IF('Bittrex Data'!C549="","",IF(Bittrex!C549="Buy",F549,IF(C549="Sale",Bittrex!G549,IF(AND(C549="Trade",'Bittrex Data'!C549="Limit_Sell"),Bittrex!G549,IF(AND(Bittrex!C549="Trade",'Bittrex Data'!C549="Limit_Buy"),F549,"")))))</f>
        <v/>
      </c>
      <c r="J549" t="str">
        <f>IF('Bittrex Data'!B549="","",IF('Bittrex Data'!B549="","",IF(Bittrex!H549=Bittrex!E549,D549,Bittrex!E549)))</f>
        <v/>
      </c>
      <c r="K549" t="str">
        <f>IF('Bittrex Data'!B549="","",IF(Bittrex!I549=Bittrex!G549,Bittrex!F549,Bittrex!G549))</f>
        <v/>
      </c>
    </row>
    <row r="550" spans="3:11" x14ac:dyDescent="0.2">
      <c r="C550" t="str">
        <f>IF('Bittrex Data'!A550="","",IF(AND('Bittrex Data'!C550="LIMIT_SELL",Bittrex!D550="USD"),"Sale",IF(AND('Bittrex Data'!C550="LIMIT_BUY",Bittrex!D550="USD"),"Buy","Trade")))</f>
        <v/>
      </c>
      <c r="D550" t="str">
        <f>IF('Bittrex Data'!B550="","",LEFT(LEFT('Bittrex Data'!B550,SEARCH("-",'Bittrex Data'!B550,1)),LEN(LEFT('Bittrex Data'!B550,SEARCH("-",'Bittrex Data'!B550,1)))-1))</f>
        <v/>
      </c>
      <c r="E550" t="str">
        <f>IF('Bittrex Data'!B550="","",RIGHT(RIGHT('Bittrex Data'!B550,LEN('Bittrex Data'!B550)-SEARCH("-",'Bittrex Data'!B550,1)+1),LEN(RIGHT('Bittrex Data'!B550,LEN('Bittrex Data'!B550)-SEARCH("-",'Bittrex Data'!B550,1)+1))-1))</f>
        <v/>
      </c>
      <c r="F550" t="str">
        <f>IF('Bittrex Data'!C550="","",IF('Bittrex Data'!C550="Limit_Sell",'Bittrex Data'!G550-'Bittrex Data'!F550,IF('Bittrex Data'!C550="Limit_Buy",'Bittrex Data'!G550+'Bittrex Data'!F550,"")))</f>
        <v/>
      </c>
      <c r="G550" t="str">
        <f>IF('Bittrex Data'!B550="","",'Bittrex Data'!D550)</f>
        <v/>
      </c>
      <c r="H550" t="str">
        <f>IF('Bittrex Data'!C550="","",IF(Bittrex!C550="Buy",Bittrex!D550,IF(Bittrex!C550="Sale",Bittrex!E550,IF(AND(Bittrex!C550="Trade",'Bittrex Data'!C550="Limit_Sell"),Bittrex!E550,IF(AND(Bittrex!C550="Trade",'Bittrex Data'!C550="Limit_Buy"),Bittrex!D550,"")))))</f>
        <v/>
      </c>
      <c r="I550" t="str">
        <f>IF('Bittrex Data'!C550="","",IF(Bittrex!C550="Buy",F550,IF(C550="Sale",Bittrex!G550,IF(AND(C550="Trade",'Bittrex Data'!C550="Limit_Sell"),Bittrex!G550,IF(AND(Bittrex!C550="Trade",'Bittrex Data'!C550="Limit_Buy"),F550,"")))))</f>
        <v/>
      </c>
      <c r="J550" t="str">
        <f>IF('Bittrex Data'!B550="","",IF('Bittrex Data'!B550="","",IF(Bittrex!H550=Bittrex!E550,D550,Bittrex!E550)))</f>
        <v/>
      </c>
      <c r="K550" t="str">
        <f>IF('Bittrex Data'!B550="","",IF(Bittrex!I550=Bittrex!G550,Bittrex!F550,Bittrex!G550))</f>
        <v/>
      </c>
    </row>
    <row r="551" spans="3:11" x14ac:dyDescent="0.2">
      <c r="C551" t="str">
        <f>IF('Bittrex Data'!A551="","",IF(AND('Bittrex Data'!C551="LIMIT_SELL",Bittrex!D551="USD"),"Sale",IF(AND('Bittrex Data'!C551="LIMIT_BUY",Bittrex!D551="USD"),"Buy","Trade")))</f>
        <v/>
      </c>
      <c r="D551" t="str">
        <f>IF('Bittrex Data'!B551="","",LEFT(LEFT('Bittrex Data'!B551,SEARCH("-",'Bittrex Data'!B551,1)),LEN(LEFT('Bittrex Data'!B551,SEARCH("-",'Bittrex Data'!B551,1)))-1))</f>
        <v/>
      </c>
      <c r="E551" t="str">
        <f>IF('Bittrex Data'!B551="","",RIGHT(RIGHT('Bittrex Data'!B551,LEN('Bittrex Data'!B551)-SEARCH("-",'Bittrex Data'!B551,1)+1),LEN(RIGHT('Bittrex Data'!B551,LEN('Bittrex Data'!B551)-SEARCH("-",'Bittrex Data'!B551,1)+1))-1))</f>
        <v/>
      </c>
      <c r="F551" t="str">
        <f>IF('Bittrex Data'!C551="","",IF('Bittrex Data'!C551="Limit_Sell",'Bittrex Data'!G551-'Bittrex Data'!F551,IF('Bittrex Data'!C551="Limit_Buy",'Bittrex Data'!G551+'Bittrex Data'!F551,"")))</f>
        <v/>
      </c>
      <c r="G551" t="str">
        <f>IF('Bittrex Data'!B551="","",'Bittrex Data'!D551)</f>
        <v/>
      </c>
      <c r="H551" t="str">
        <f>IF('Bittrex Data'!C551="","",IF(Bittrex!C551="Buy",Bittrex!D551,IF(Bittrex!C551="Sale",Bittrex!E551,IF(AND(Bittrex!C551="Trade",'Bittrex Data'!C551="Limit_Sell"),Bittrex!E551,IF(AND(Bittrex!C551="Trade",'Bittrex Data'!C551="Limit_Buy"),Bittrex!D551,"")))))</f>
        <v/>
      </c>
      <c r="I551" t="str">
        <f>IF('Bittrex Data'!C551="","",IF(Bittrex!C551="Buy",F551,IF(C551="Sale",Bittrex!G551,IF(AND(C551="Trade",'Bittrex Data'!C551="Limit_Sell"),Bittrex!G551,IF(AND(Bittrex!C551="Trade",'Bittrex Data'!C551="Limit_Buy"),F551,"")))))</f>
        <v/>
      </c>
      <c r="J551" t="str">
        <f>IF('Bittrex Data'!B551="","",IF('Bittrex Data'!B551="","",IF(Bittrex!H551=Bittrex!E551,D551,Bittrex!E551)))</f>
        <v/>
      </c>
      <c r="K551" t="str">
        <f>IF('Bittrex Data'!B551="","",IF(Bittrex!I551=Bittrex!G551,Bittrex!F551,Bittrex!G551))</f>
        <v/>
      </c>
    </row>
    <row r="552" spans="3:11" x14ac:dyDescent="0.2">
      <c r="C552" t="str">
        <f>IF('Bittrex Data'!A552="","",IF(AND('Bittrex Data'!C552="LIMIT_SELL",Bittrex!D552="USD"),"Sale",IF(AND('Bittrex Data'!C552="LIMIT_BUY",Bittrex!D552="USD"),"Buy","Trade")))</f>
        <v/>
      </c>
      <c r="D552" t="str">
        <f>IF('Bittrex Data'!B552="","",LEFT(LEFT('Bittrex Data'!B552,SEARCH("-",'Bittrex Data'!B552,1)),LEN(LEFT('Bittrex Data'!B552,SEARCH("-",'Bittrex Data'!B552,1)))-1))</f>
        <v/>
      </c>
      <c r="E552" t="str">
        <f>IF('Bittrex Data'!B552="","",RIGHT(RIGHT('Bittrex Data'!B552,LEN('Bittrex Data'!B552)-SEARCH("-",'Bittrex Data'!B552,1)+1),LEN(RIGHT('Bittrex Data'!B552,LEN('Bittrex Data'!B552)-SEARCH("-",'Bittrex Data'!B552,1)+1))-1))</f>
        <v/>
      </c>
      <c r="F552" t="str">
        <f>IF('Bittrex Data'!C552="","",IF('Bittrex Data'!C552="Limit_Sell",'Bittrex Data'!G552-'Bittrex Data'!F552,IF('Bittrex Data'!C552="Limit_Buy",'Bittrex Data'!G552+'Bittrex Data'!F552,"")))</f>
        <v/>
      </c>
      <c r="G552" t="str">
        <f>IF('Bittrex Data'!B552="","",'Bittrex Data'!D552)</f>
        <v/>
      </c>
      <c r="H552" t="str">
        <f>IF('Bittrex Data'!C552="","",IF(Bittrex!C552="Buy",Bittrex!D552,IF(Bittrex!C552="Sale",Bittrex!E552,IF(AND(Bittrex!C552="Trade",'Bittrex Data'!C552="Limit_Sell"),Bittrex!E552,IF(AND(Bittrex!C552="Trade",'Bittrex Data'!C552="Limit_Buy"),Bittrex!D552,"")))))</f>
        <v/>
      </c>
      <c r="I552" t="str">
        <f>IF('Bittrex Data'!C552="","",IF(Bittrex!C552="Buy",F552,IF(C552="Sale",Bittrex!G552,IF(AND(C552="Trade",'Bittrex Data'!C552="Limit_Sell"),Bittrex!G552,IF(AND(Bittrex!C552="Trade",'Bittrex Data'!C552="Limit_Buy"),F552,"")))))</f>
        <v/>
      </c>
      <c r="J552" t="str">
        <f>IF('Bittrex Data'!B552="","",IF('Bittrex Data'!B552="","",IF(Bittrex!H552=Bittrex!E552,D552,Bittrex!E552)))</f>
        <v/>
      </c>
      <c r="K552" t="str">
        <f>IF('Bittrex Data'!B552="","",IF(Bittrex!I552=Bittrex!G552,Bittrex!F552,Bittrex!G552))</f>
        <v/>
      </c>
    </row>
    <row r="553" spans="3:11" x14ac:dyDescent="0.2">
      <c r="C553" t="str">
        <f>IF('Bittrex Data'!A553="","",IF(AND('Bittrex Data'!C553="LIMIT_SELL",Bittrex!D553="USD"),"Sale",IF(AND('Bittrex Data'!C553="LIMIT_BUY",Bittrex!D553="USD"),"Buy","Trade")))</f>
        <v/>
      </c>
      <c r="D553" t="str">
        <f>IF('Bittrex Data'!B553="","",LEFT(LEFT('Bittrex Data'!B553,SEARCH("-",'Bittrex Data'!B553,1)),LEN(LEFT('Bittrex Data'!B553,SEARCH("-",'Bittrex Data'!B553,1)))-1))</f>
        <v/>
      </c>
      <c r="E553" t="str">
        <f>IF('Bittrex Data'!B553="","",RIGHT(RIGHT('Bittrex Data'!B553,LEN('Bittrex Data'!B553)-SEARCH("-",'Bittrex Data'!B553,1)+1),LEN(RIGHT('Bittrex Data'!B553,LEN('Bittrex Data'!B553)-SEARCH("-",'Bittrex Data'!B553,1)+1))-1))</f>
        <v/>
      </c>
      <c r="F553" t="str">
        <f>IF('Bittrex Data'!C553="","",IF('Bittrex Data'!C553="Limit_Sell",'Bittrex Data'!G553-'Bittrex Data'!F553,IF('Bittrex Data'!C553="Limit_Buy",'Bittrex Data'!G553+'Bittrex Data'!F553,"")))</f>
        <v/>
      </c>
      <c r="G553" t="str">
        <f>IF('Bittrex Data'!B553="","",'Bittrex Data'!D553)</f>
        <v/>
      </c>
      <c r="H553" t="str">
        <f>IF('Bittrex Data'!C553="","",IF(Bittrex!C553="Buy",Bittrex!D553,IF(Bittrex!C553="Sale",Bittrex!E553,IF(AND(Bittrex!C553="Trade",'Bittrex Data'!C553="Limit_Sell"),Bittrex!E553,IF(AND(Bittrex!C553="Trade",'Bittrex Data'!C553="Limit_Buy"),Bittrex!D553,"")))))</f>
        <v/>
      </c>
      <c r="I553" t="str">
        <f>IF('Bittrex Data'!C553="","",IF(Bittrex!C553="Buy",F553,IF(C553="Sale",Bittrex!G553,IF(AND(C553="Trade",'Bittrex Data'!C553="Limit_Sell"),Bittrex!G553,IF(AND(Bittrex!C553="Trade",'Bittrex Data'!C553="Limit_Buy"),F553,"")))))</f>
        <v/>
      </c>
      <c r="J553" t="str">
        <f>IF('Bittrex Data'!B553="","",IF('Bittrex Data'!B553="","",IF(Bittrex!H553=Bittrex!E553,D553,Bittrex!E553)))</f>
        <v/>
      </c>
      <c r="K553" t="str">
        <f>IF('Bittrex Data'!B553="","",IF(Bittrex!I553=Bittrex!G553,Bittrex!F553,Bittrex!G553))</f>
        <v/>
      </c>
    </row>
    <row r="554" spans="3:11" x14ac:dyDescent="0.2">
      <c r="C554" t="str">
        <f>IF('Bittrex Data'!A554="","",IF(AND('Bittrex Data'!C554="LIMIT_SELL",Bittrex!D554="USD"),"Sale",IF(AND('Bittrex Data'!C554="LIMIT_BUY",Bittrex!D554="USD"),"Buy","Trade")))</f>
        <v/>
      </c>
      <c r="D554" t="str">
        <f>IF('Bittrex Data'!B554="","",LEFT(LEFT('Bittrex Data'!B554,SEARCH("-",'Bittrex Data'!B554,1)),LEN(LEFT('Bittrex Data'!B554,SEARCH("-",'Bittrex Data'!B554,1)))-1))</f>
        <v/>
      </c>
      <c r="E554" t="str">
        <f>IF('Bittrex Data'!B554="","",RIGHT(RIGHT('Bittrex Data'!B554,LEN('Bittrex Data'!B554)-SEARCH("-",'Bittrex Data'!B554,1)+1),LEN(RIGHT('Bittrex Data'!B554,LEN('Bittrex Data'!B554)-SEARCH("-",'Bittrex Data'!B554,1)+1))-1))</f>
        <v/>
      </c>
      <c r="F554" t="str">
        <f>IF('Bittrex Data'!C554="","",IF('Bittrex Data'!C554="Limit_Sell",'Bittrex Data'!G554-'Bittrex Data'!F554,IF('Bittrex Data'!C554="Limit_Buy",'Bittrex Data'!G554+'Bittrex Data'!F554,"")))</f>
        <v/>
      </c>
      <c r="G554" t="str">
        <f>IF('Bittrex Data'!B554="","",'Bittrex Data'!D554)</f>
        <v/>
      </c>
      <c r="H554" t="str">
        <f>IF('Bittrex Data'!C554="","",IF(Bittrex!C554="Buy",Bittrex!D554,IF(Bittrex!C554="Sale",Bittrex!E554,IF(AND(Bittrex!C554="Trade",'Bittrex Data'!C554="Limit_Sell"),Bittrex!E554,IF(AND(Bittrex!C554="Trade",'Bittrex Data'!C554="Limit_Buy"),Bittrex!D554,"")))))</f>
        <v/>
      </c>
      <c r="I554" t="str">
        <f>IF('Bittrex Data'!C554="","",IF(Bittrex!C554="Buy",F554,IF(C554="Sale",Bittrex!G554,IF(AND(C554="Trade",'Bittrex Data'!C554="Limit_Sell"),Bittrex!G554,IF(AND(Bittrex!C554="Trade",'Bittrex Data'!C554="Limit_Buy"),F554,"")))))</f>
        <v/>
      </c>
      <c r="J554" t="str">
        <f>IF('Bittrex Data'!B554="","",IF('Bittrex Data'!B554="","",IF(Bittrex!H554=Bittrex!E554,D554,Bittrex!E554)))</f>
        <v/>
      </c>
      <c r="K554" t="str">
        <f>IF('Bittrex Data'!B554="","",IF(Bittrex!I554=Bittrex!G554,Bittrex!F554,Bittrex!G554))</f>
        <v/>
      </c>
    </row>
    <row r="555" spans="3:11" x14ac:dyDescent="0.2">
      <c r="C555" t="str">
        <f>IF('Bittrex Data'!A555="","",IF(AND('Bittrex Data'!C555="LIMIT_SELL",Bittrex!D555="USD"),"Sale",IF(AND('Bittrex Data'!C555="LIMIT_BUY",Bittrex!D555="USD"),"Buy","Trade")))</f>
        <v/>
      </c>
      <c r="D555" t="str">
        <f>IF('Bittrex Data'!B555="","",LEFT(LEFT('Bittrex Data'!B555,SEARCH("-",'Bittrex Data'!B555,1)),LEN(LEFT('Bittrex Data'!B555,SEARCH("-",'Bittrex Data'!B555,1)))-1))</f>
        <v/>
      </c>
      <c r="E555" t="str">
        <f>IF('Bittrex Data'!B555="","",RIGHT(RIGHT('Bittrex Data'!B555,LEN('Bittrex Data'!B555)-SEARCH("-",'Bittrex Data'!B555,1)+1),LEN(RIGHT('Bittrex Data'!B555,LEN('Bittrex Data'!B555)-SEARCH("-",'Bittrex Data'!B555,1)+1))-1))</f>
        <v/>
      </c>
      <c r="F555" t="str">
        <f>IF('Bittrex Data'!C555="","",IF('Bittrex Data'!C555="Limit_Sell",'Bittrex Data'!G555-'Bittrex Data'!F555,IF('Bittrex Data'!C555="Limit_Buy",'Bittrex Data'!G555+'Bittrex Data'!F555,"")))</f>
        <v/>
      </c>
      <c r="G555" t="str">
        <f>IF('Bittrex Data'!B555="","",'Bittrex Data'!D555)</f>
        <v/>
      </c>
      <c r="H555" t="str">
        <f>IF('Bittrex Data'!C555="","",IF(Bittrex!C555="Buy",Bittrex!D555,IF(Bittrex!C555="Sale",Bittrex!E555,IF(AND(Bittrex!C555="Trade",'Bittrex Data'!C555="Limit_Sell"),Bittrex!E555,IF(AND(Bittrex!C555="Trade",'Bittrex Data'!C555="Limit_Buy"),Bittrex!D555,"")))))</f>
        <v/>
      </c>
      <c r="I555" t="str">
        <f>IF('Bittrex Data'!C555="","",IF(Bittrex!C555="Buy",F555,IF(C555="Sale",Bittrex!G555,IF(AND(C555="Trade",'Bittrex Data'!C555="Limit_Sell"),Bittrex!G555,IF(AND(Bittrex!C555="Trade",'Bittrex Data'!C555="Limit_Buy"),F555,"")))))</f>
        <v/>
      </c>
      <c r="J555" t="str">
        <f>IF('Bittrex Data'!B555="","",IF('Bittrex Data'!B555="","",IF(Bittrex!H555=Bittrex!E555,D555,Bittrex!E555)))</f>
        <v/>
      </c>
      <c r="K555" t="str">
        <f>IF('Bittrex Data'!B555="","",IF(Bittrex!I555=Bittrex!G555,Bittrex!F555,Bittrex!G555))</f>
        <v/>
      </c>
    </row>
    <row r="556" spans="3:11" x14ac:dyDescent="0.2">
      <c r="C556" t="str">
        <f>IF('Bittrex Data'!A556="","",IF(AND('Bittrex Data'!C556="LIMIT_SELL",Bittrex!D556="USD"),"Sale",IF(AND('Bittrex Data'!C556="LIMIT_BUY",Bittrex!D556="USD"),"Buy","Trade")))</f>
        <v/>
      </c>
      <c r="D556" t="str">
        <f>IF('Bittrex Data'!B556="","",LEFT(LEFT('Bittrex Data'!B556,SEARCH("-",'Bittrex Data'!B556,1)),LEN(LEFT('Bittrex Data'!B556,SEARCH("-",'Bittrex Data'!B556,1)))-1))</f>
        <v/>
      </c>
      <c r="E556" t="str">
        <f>IF('Bittrex Data'!B556="","",RIGHT(RIGHT('Bittrex Data'!B556,LEN('Bittrex Data'!B556)-SEARCH("-",'Bittrex Data'!B556,1)+1),LEN(RIGHT('Bittrex Data'!B556,LEN('Bittrex Data'!B556)-SEARCH("-",'Bittrex Data'!B556,1)+1))-1))</f>
        <v/>
      </c>
      <c r="F556" t="str">
        <f>IF('Bittrex Data'!C556="","",IF('Bittrex Data'!C556="Limit_Sell",'Bittrex Data'!G556-'Bittrex Data'!F556,IF('Bittrex Data'!C556="Limit_Buy",'Bittrex Data'!G556+'Bittrex Data'!F556,"")))</f>
        <v/>
      </c>
      <c r="G556" t="str">
        <f>IF('Bittrex Data'!B556="","",'Bittrex Data'!D556)</f>
        <v/>
      </c>
      <c r="H556" t="str">
        <f>IF('Bittrex Data'!C556="","",IF(Bittrex!C556="Buy",Bittrex!D556,IF(Bittrex!C556="Sale",Bittrex!E556,IF(AND(Bittrex!C556="Trade",'Bittrex Data'!C556="Limit_Sell"),Bittrex!E556,IF(AND(Bittrex!C556="Trade",'Bittrex Data'!C556="Limit_Buy"),Bittrex!D556,"")))))</f>
        <v/>
      </c>
      <c r="I556" t="str">
        <f>IF('Bittrex Data'!C556="","",IF(Bittrex!C556="Buy",F556,IF(C556="Sale",Bittrex!G556,IF(AND(C556="Trade",'Bittrex Data'!C556="Limit_Sell"),Bittrex!G556,IF(AND(Bittrex!C556="Trade",'Bittrex Data'!C556="Limit_Buy"),F556,"")))))</f>
        <v/>
      </c>
      <c r="J556" t="str">
        <f>IF('Bittrex Data'!B556="","",IF('Bittrex Data'!B556="","",IF(Bittrex!H556=Bittrex!E556,D556,Bittrex!E556)))</f>
        <v/>
      </c>
      <c r="K556" t="str">
        <f>IF('Bittrex Data'!B556="","",IF(Bittrex!I556=Bittrex!G556,Bittrex!F556,Bittrex!G556))</f>
        <v/>
      </c>
    </row>
    <row r="557" spans="3:11" x14ac:dyDescent="0.2">
      <c r="C557" t="str">
        <f>IF('Bittrex Data'!A557="","",IF(AND('Bittrex Data'!C557="LIMIT_SELL",Bittrex!D557="USD"),"Sale",IF(AND('Bittrex Data'!C557="LIMIT_BUY",Bittrex!D557="USD"),"Buy","Trade")))</f>
        <v/>
      </c>
      <c r="D557" t="str">
        <f>IF('Bittrex Data'!B557="","",LEFT(LEFT('Bittrex Data'!B557,SEARCH("-",'Bittrex Data'!B557,1)),LEN(LEFT('Bittrex Data'!B557,SEARCH("-",'Bittrex Data'!B557,1)))-1))</f>
        <v/>
      </c>
      <c r="E557" t="str">
        <f>IF('Bittrex Data'!B557="","",RIGHT(RIGHT('Bittrex Data'!B557,LEN('Bittrex Data'!B557)-SEARCH("-",'Bittrex Data'!B557,1)+1),LEN(RIGHT('Bittrex Data'!B557,LEN('Bittrex Data'!B557)-SEARCH("-",'Bittrex Data'!B557,1)+1))-1))</f>
        <v/>
      </c>
      <c r="F557" t="str">
        <f>IF('Bittrex Data'!C557="","",IF('Bittrex Data'!C557="Limit_Sell",'Bittrex Data'!G557-'Bittrex Data'!F557,IF('Bittrex Data'!C557="Limit_Buy",'Bittrex Data'!G557+'Bittrex Data'!F557,"")))</f>
        <v/>
      </c>
      <c r="G557" t="str">
        <f>IF('Bittrex Data'!B557="","",'Bittrex Data'!D557)</f>
        <v/>
      </c>
      <c r="H557" t="str">
        <f>IF('Bittrex Data'!C557="","",IF(Bittrex!C557="Buy",Bittrex!D557,IF(Bittrex!C557="Sale",Bittrex!E557,IF(AND(Bittrex!C557="Trade",'Bittrex Data'!C557="Limit_Sell"),Bittrex!E557,IF(AND(Bittrex!C557="Trade",'Bittrex Data'!C557="Limit_Buy"),Bittrex!D557,"")))))</f>
        <v/>
      </c>
      <c r="I557" t="str">
        <f>IF('Bittrex Data'!C557="","",IF(Bittrex!C557="Buy",F557,IF(C557="Sale",Bittrex!G557,IF(AND(C557="Trade",'Bittrex Data'!C557="Limit_Sell"),Bittrex!G557,IF(AND(Bittrex!C557="Trade",'Bittrex Data'!C557="Limit_Buy"),F557,"")))))</f>
        <v/>
      </c>
      <c r="J557" t="str">
        <f>IF('Bittrex Data'!B557="","",IF('Bittrex Data'!B557="","",IF(Bittrex!H557=Bittrex!E557,D557,Bittrex!E557)))</f>
        <v/>
      </c>
      <c r="K557" t="str">
        <f>IF('Bittrex Data'!B557="","",IF(Bittrex!I557=Bittrex!G557,Bittrex!F557,Bittrex!G557))</f>
        <v/>
      </c>
    </row>
    <row r="558" spans="3:11" x14ac:dyDescent="0.2">
      <c r="C558" t="str">
        <f>IF('Bittrex Data'!A558="","",IF(AND('Bittrex Data'!C558="LIMIT_SELL",Bittrex!D558="USD"),"Sale",IF(AND('Bittrex Data'!C558="LIMIT_BUY",Bittrex!D558="USD"),"Buy","Trade")))</f>
        <v/>
      </c>
      <c r="D558" t="str">
        <f>IF('Bittrex Data'!B558="","",LEFT(LEFT('Bittrex Data'!B558,SEARCH("-",'Bittrex Data'!B558,1)),LEN(LEFT('Bittrex Data'!B558,SEARCH("-",'Bittrex Data'!B558,1)))-1))</f>
        <v/>
      </c>
      <c r="E558" t="str">
        <f>IF('Bittrex Data'!B558="","",RIGHT(RIGHT('Bittrex Data'!B558,LEN('Bittrex Data'!B558)-SEARCH("-",'Bittrex Data'!B558,1)+1),LEN(RIGHT('Bittrex Data'!B558,LEN('Bittrex Data'!B558)-SEARCH("-",'Bittrex Data'!B558,1)+1))-1))</f>
        <v/>
      </c>
      <c r="F558" t="str">
        <f>IF('Bittrex Data'!C558="","",IF('Bittrex Data'!C558="Limit_Sell",'Bittrex Data'!G558-'Bittrex Data'!F558,IF('Bittrex Data'!C558="Limit_Buy",'Bittrex Data'!G558+'Bittrex Data'!F558,"")))</f>
        <v/>
      </c>
      <c r="G558" t="str">
        <f>IF('Bittrex Data'!B558="","",'Bittrex Data'!D558)</f>
        <v/>
      </c>
      <c r="H558" t="str">
        <f>IF('Bittrex Data'!C558="","",IF(Bittrex!C558="Buy",Bittrex!D558,IF(Bittrex!C558="Sale",Bittrex!E558,IF(AND(Bittrex!C558="Trade",'Bittrex Data'!C558="Limit_Sell"),Bittrex!E558,IF(AND(Bittrex!C558="Trade",'Bittrex Data'!C558="Limit_Buy"),Bittrex!D558,"")))))</f>
        <v/>
      </c>
      <c r="I558" t="str">
        <f>IF('Bittrex Data'!C558="","",IF(Bittrex!C558="Buy",F558,IF(C558="Sale",Bittrex!G558,IF(AND(C558="Trade",'Bittrex Data'!C558="Limit_Sell"),Bittrex!G558,IF(AND(Bittrex!C558="Trade",'Bittrex Data'!C558="Limit_Buy"),F558,"")))))</f>
        <v/>
      </c>
      <c r="J558" t="str">
        <f>IF('Bittrex Data'!B558="","",IF('Bittrex Data'!B558="","",IF(Bittrex!H558=Bittrex!E558,D558,Bittrex!E558)))</f>
        <v/>
      </c>
      <c r="K558" t="str">
        <f>IF('Bittrex Data'!B558="","",IF(Bittrex!I558=Bittrex!G558,Bittrex!F558,Bittrex!G558))</f>
        <v/>
      </c>
    </row>
    <row r="559" spans="3:11" x14ac:dyDescent="0.2">
      <c r="C559" t="str">
        <f>IF('Bittrex Data'!A559="","",IF(AND('Bittrex Data'!C559="LIMIT_SELL",Bittrex!D559="USD"),"Sale",IF(AND('Bittrex Data'!C559="LIMIT_BUY",Bittrex!D559="USD"),"Buy","Trade")))</f>
        <v/>
      </c>
      <c r="D559" t="str">
        <f>IF('Bittrex Data'!B559="","",LEFT(LEFT('Bittrex Data'!B559,SEARCH("-",'Bittrex Data'!B559,1)),LEN(LEFT('Bittrex Data'!B559,SEARCH("-",'Bittrex Data'!B559,1)))-1))</f>
        <v/>
      </c>
      <c r="E559" t="str">
        <f>IF('Bittrex Data'!B559="","",RIGHT(RIGHT('Bittrex Data'!B559,LEN('Bittrex Data'!B559)-SEARCH("-",'Bittrex Data'!B559,1)+1),LEN(RIGHT('Bittrex Data'!B559,LEN('Bittrex Data'!B559)-SEARCH("-",'Bittrex Data'!B559,1)+1))-1))</f>
        <v/>
      </c>
      <c r="F559" t="str">
        <f>IF('Bittrex Data'!C559="","",IF('Bittrex Data'!C559="Limit_Sell",'Bittrex Data'!G559-'Bittrex Data'!F559,IF('Bittrex Data'!C559="Limit_Buy",'Bittrex Data'!G559+'Bittrex Data'!F559,"")))</f>
        <v/>
      </c>
      <c r="G559" t="str">
        <f>IF('Bittrex Data'!B559="","",'Bittrex Data'!D559)</f>
        <v/>
      </c>
      <c r="H559" t="str">
        <f>IF('Bittrex Data'!C559="","",IF(Bittrex!C559="Buy",Bittrex!D559,IF(Bittrex!C559="Sale",Bittrex!E559,IF(AND(Bittrex!C559="Trade",'Bittrex Data'!C559="Limit_Sell"),Bittrex!E559,IF(AND(Bittrex!C559="Trade",'Bittrex Data'!C559="Limit_Buy"),Bittrex!D559,"")))))</f>
        <v/>
      </c>
      <c r="I559" t="str">
        <f>IF('Bittrex Data'!C559="","",IF(Bittrex!C559="Buy",F559,IF(C559="Sale",Bittrex!G559,IF(AND(C559="Trade",'Bittrex Data'!C559="Limit_Sell"),Bittrex!G559,IF(AND(Bittrex!C559="Trade",'Bittrex Data'!C559="Limit_Buy"),F559,"")))))</f>
        <v/>
      </c>
      <c r="J559" t="str">
        <f>IF('Bittrex Data'!B559="","",IF('Bittrex Data'!B559="","",IF(Bittrex!H559=Bittrex!E559,D559,Bittrex!E559)))</f>
        <v/>
      </c>
      <c r="K559" t="str">
        <f>IF('Bittrex Data'!B559="","",IF(Bittrex!I559=Bittrex!G559,Bittrex!F559,Bittrex!G559))</f>
        <v/>
      </c>
    </row>
    <row r="560" spans="3:11" x14ac:dyDescent="0.2">
      <c r="C560" t="str">
        <f>IF('Bittrex Data'!A560="","",IF(AND('Bittrex Data'!C560="LIMIT_SELL",Bittrex!D560="USD"),"Sale",IF(AND('Bittrex Data'!C560="LIMIT_BUY",Bittrex!D560="USD"),"Buy","Trade")))</f>
        <v/>
      </c>
      <c r="D560" t="str">
        <f>IF('Bittrex Data'!B560="","",LEFT(LEFT('Bittrex Data'!B560,SEARCH("-",'Bittrex Data'!B560,1)),LEN(LEFT('Bittrex Data'!B560,SEARCH("-",'Bittrex Data'!B560,1)))-1))</f>
        <v/>
      </c>
      <c r="E560" t="str">
        <f>IF('Bittrex Data'!B560="","",RIGHT(RIGHT('Bittrex Data'!B560,LEN('Bittrex Data'!B560)-SEARCH("-",'Bittrex Data'!B560,1)+1),LEN(RIGHT('Bittrex Data'!B560,LEN('Bittrex Data'!B560)-SEARCH("-",'Bittrex Data'!B560,1)+1))-1))</f>
        <v/>
      </c>
      <c r="F560" t="str">
        <f>IF('Bittrex Data'!C560="","",IF('Bittrex Data'!C560="Limit_Sell",'Bittrex Data'!G560-'Bittrex Data'!F560,IF('Bittrex Data'!C560="Limit_Buy",'Bittrex Data'!G560+'Bittrex Data'!F560,"")))</f>
        <v/>
      </c>
      <c r="G560" t="str">
        <f>IF('Bittrex Data'!B560="","",'Bittrex Data'!D560)</f>
        <v/>
      </c>
      <c r="H560" t="str">
        <f>IF('Bittrex Data'!C560="","",IF(Bittrex!C560="Buy",Bittrex!D560,IF(Bittrex!C560="Sale",Bittrex!E560,IF(AND(Bittrex!C560="Trade",'Bittrex Data'!C560="Limit_Sell"),Bittrex!E560,IF(AND(Bittrex!C560="Trade",'Bittrex Data'!C560="Limit_Buy"),Bittrex!D560,"")))))</f>
        <v/>
      </c>
      <c r="I560" t="str">
        <f>IF('Bittrex Data'!C560="","",IF(Bittrex!C560="Buy",F560,IF(C560="Sale",Bittrex!G560,IF(AND(C560="Trade",'Bittrex Data'!C560="Limit_Sell"),Bittrex!G560,IF(AND(Bittrex!C560="Trade",'Bittrex Data'!C560="Limit_Buy"),F560,"")))))</f>
        <v/>
      </c>
      <c r="J560" t="str">
        <f>IF('Bittrex Data'!B560="","",IF('Bittrex Data'!B560="","",IF(Bittrex!H560=Bittrex!E560,D560,Bittrex!E560)))</f>
        <v/>
      </c>
      <c r="K560" t="str">
        <f>IF('Bittrex Data'!B560="","",IF(Bittrex!I560=Bittrex!G560,Bittrex!F560,Bittrex!G560))</f>
        <v/>
      </c>
    </row>
    <row r="561" spans="3:11" x14ac:dyDescent="0.2">
      <c r="C561" t="str">
        <f>IF('Bittrex Data'!A561="","",IF(AND('Bittrex Data'!C561="LIMIT_SELL",Bittrex!D561="USD"),"Sale",IF(AND('Bittrex Data'!C561="LIMIT_BUY",Bittrex!D561="USD"),"Buy","Trade")))</f>
        <v/>
      </c>
      <c r="D561" t="str">
        <f>IF('Bittrex Data'!B561="","",LEFT(LEFT('Bittrex Data'!B561,SEARCH("-",'Bittrex Data'!B561,1)),LEN(LEFT('Bittrex Data'!B561,SEARCH("-",'Bittrex Data'!B561,1)))-1))</f>
        <v/>
      </c>
      <c r="E561" t="str">
        <f>IF('Bittrex Data'!B561="","",RIGHT(RIGHT('Bittrex Data'!B561,LEN('Bittrex Data'!B561)-SEARCH("-",'Bittrex Data'!B561,1)+1),LEN(RIGHT('Bittrex Data'!B561,LEN('Bittrex Data'!B561)-SEARCH("-",'Bittrex Data'!B561,1)+1))-1))</f>
        <v/>
      </c>
      <c r="F561" t="str">
        <f>IF('Bittrex Data'!C561="","",IF('Bittrex Data'!C561="Limit_Sell",'Bittrex Data'!G561-'Bittrex Data'!F561,IF('Bittrex Data'!C561="Limit_Buy",'Bittrex Data'!G561+'Bittrex Data'!F561,"")))</f>
        <v/>
      </c>
      <c r="G561" t="str">
        <f>IF('Bittrex Data'!B561="","",'Bittrex Data'!D561)</f>
        <v/>
      </c>
      <c r="H561" t="str">
        <f>IF('Bittrex Data'!C561="","",IF(Bittrex!C561="Buy",Bittrex!D561,IF(Bittrex!C561="Sale",Bittrex!E561,IF(AND(Bittrex!C561="Trade",'Bittrex Data'!C561="Limit_Sell"),Bittrex!E561,IF(AND(Bittrex!C561="Trade",'Bittrex Data'!C561="Limit_Buy"),Bittrex!D561,"")))))</f>
        <v/>
      </c>
      <c r="I561" t="str">
        <f>IF('Bittrex Data'!C561="","",IF(Bittrex!C561="Buy",F561,IF(C561="Sale",Bittrex!G561,IF(AND(C561="Trade",'Bittrex Data'!C561="Limit_Sell"),Bittrex!G561,IF(AND(Bittrex!C561="Trade",'Bittrex Data'!C561="Limit_Buy"),F561,"")))))</f>
        <v/>
      </c>
      <c r="J561" t="str">
        <f>IF('Bittrex Data'!B561="","",IF('Bittrex Data'!B561="","",IF(Bittrex!H561=Bittrex!E561,D561,Bittrex!E561)))</f>
        <v/>
      </c>
      <c r="K561" t="str">
        <f>IF('Bittrex Data'!B561="","",IF(Bittrex!I561=Bittrex!G561,Bittrex!F561,Bittrex!G561))</f>
        <v/>
      </c>
    </row>
    <row r="562" spans="3:11" x14ac:dyDescent="0.2">
      <c r="C562" t="str">
        <f>IF('Bittrex Data'!A562="","",IF(AND('Bittrex Data'!C562="LIMIT_SELL",Bittrex!D562="USD"),"Sale",IF(AND('Bittrex Data'!C562="LIMIT_BUY",Bittrex!D562="USD"),"Buy","Trade")))</f>
        <v/>
      </c>
      <c r="D562" t="str">
        <f>IF('Bittrex Data'!B562="","",LEFT(LEFT('Bittrex Data'!B562,SEARCH("-",'Bittrex Data'!B562,1)),LEN(LEFT('Bittrex Data'!B562,SEARCH("-",'Bittrex Data'!B562,1)))-1))</f>
        <v/>
      </c>
      <c r="E562" t="str">
        <f>IF('Bittrex Data'!B562="","",RIGHT(RIGHT('Bittrex Data'!B562,LEN('Bittrex Data'!B562)-SEARCH("-",'Bittrex Data'!B562,1)+1),LEN(RIGHT('Bittrex Data'!B562,LEN('Bittrex Data'!B562)-SEARCH("-",'Bittrex Data'!B562,1)+1))-1))</f>
        <v/>
      </c>
      <c r="F562" t="str">
        <f>IF('Bittrex Data'!C562="","",IF('Bittrex Data'!C562="Limit_Sell",'Bittrex Data'!G562-'Bittrex Data'!F562,IF('Bittrex Data'!C562="Limit_Buy",'Bittrex Data'!G562+'Bittrex Data'!F562,"")))</f>
        <v/>
      </c>
      <c r="G562" t="str">
        <f>IF('Bittrex Data'!B562="","",'Bittrex Data'!D562)</f>
        <v/>
      </c>
      <c r="H562" t="str">
        <f>IF('Bittrex Data'!C562="","",IF(Bittrex!C562="Buy",Bittrex!D562,IF(Bittrex!C562="Sale",Bittrex!E562,IF(AND(Bittrex!C562="Trade",'Bittrex Data'!C562="Limit_Sell"),Bittrex!E562,IF(AND(Bittrex!C562="Trade",'Bittrex Data'!C562="Limit_Buy"),Bittrex!D562,"")))))</f>
        <v/>
      </c>
      <c r="I562" t="str">
        <f>IF('Bittrex Data'!C562="","",IF(Bittrex!C562="Buy",F562,IF(C562="Sale",Bittrex!G562,IF(AND(C562="Trade",'Bittrex Data'!C562="Limit_Sell"),Bittrex!G562,IF(AND(Bittrex!C562="Trade",'Bittrex Data'!C562="Limit_Buy"),F562,"")))))</f>
        <v/>
      </c>
      <c r="J562" t="str">
        <f>IF('Bittrex Data'!B562="","",IF('Bittrex Data'!B562="","",IF(Bittrex!H562=Bittrex!E562,D562,Bittrex!E562)))</f>
        <v/>
      </c>
      <c r="K562" t="str">
        <f>IF('Bittrex Data'!B562="","",IF(Bittrex!I562=Bittrex!G562,Bittrex!F562,Bittrex!G562))</f>
        <v/>
      </c>
    </row>
    <row r="563" spans="3:11" x14ac:dyDescent="0.2">
      <c r="C563" t="str">
        <f>IF('Bittrex Data'!A563="","",IF(AND('Bittrex Data'!C563="LIMIT_SELL",Bittrex!D563="USD"),"Sale",IF(AND('Bittrex Data'!C563="LIMIT_BUY",Bittrex!D563="USD"),"Buy","Trade")))</f>
        <v/>
      </c>
      <c r="D563" t="str">
        <f>IF('Bittrex Data'!B563="","",LEFT(LEFT('Bittrex Data'!B563,SEARCH("-",'Bittrex Data'!B563,1)),LEN(LEFT('Bittrex Data'!B563,SEARCH("-",'Bittrex Data'!B563,1)))-1))</f>
        <v/>
      </c>
      <c r="E563" t="str">
        <f>IF('Bittrex Data'!B563="","",RIGHT(RIGHT('Bittrex Data'!B563,LEN('Bittrex Data'!B563)-SEARCH("-",'Bittrex Data'!B563,1)+1),LEN(RIGHT('Bittrex Data'!B563,LEN('Bittrex Data'!B563)-SEARCH("-",'Bittrex Data'!B563,1)+1))-1))</f>
        <v/>
      </c>
      <c r="F563" t="str">
        <f>IF('Bittrex Data'!C563="","",IF('Bittrex Data'!C563="Limit_Sell",'Bittrex Data'!G563-'Bittrex Data'!F563,IF('Bittrex Data'!C563="Limit_Buy",'Bittrex Data'!G563+'Bittrex Data'!F563,"")))</f>
        <v/>
      </c>
      <c r="G563" t="str">
        <f>IF('Bittrex Data'!B563="","",'Bittrex Data'!D563)</f>
        <v/>
      </c>
      <c r="H563" t="str">
        <f>IF('Bittrex Data'!C563="","",IF(Bittrex!C563="Buy",Bittrex!D563,IF(Bittrex!C563="Sale",Bittrex!E563,IF(AND(Bittrex!C563="Trade",'Bittrex Data'!C563="Limit_Sell"),Bittrex!E563,IF(AND(Bittrex!C563="Trade",'Bittrex Data'!C563="Limit_Buy"),Bittrex!D563,"")))))</f>
        <v/>
      </c>
      <c r="I563" t="str">
        <f>IF('Bittrex Data'!C563="","",IF(Bittrex!C563="Buy",F563,IF(C563="Sale",Bittrex!G563,IF(AND(C563="Trade",'Bittrex Data'!C563="Limit_Sell"),Bittrex!G563,IF(AND(Bittrex!C563="Trade",'Bittrex Data'!C563="Limit_Buy"),F563,"")))))</f>
        <v/>
      </c>
      <c r="J563" t="str">
        <f>IF('Bittrex Data'!B563="","",IF('Bittrex Data'!B563="","",IF(Bittrex!H563=Bittrex!E563,D563,Bittrex!E563)))</f>
        <v/>
      </c>
      <c r="K563" t="str">
        <f>IF('Bittrex Data'!B563="","",IF(Bittrex!I563=Bittrex!G563,Bittrex!F563,Bittrex!G563))</f>
        <v/>
      </c>
    </row>
    <row r="564" spans="3:11" x14ac:dyDescent="0.2">
      <c r="C564" t="str">
        <f>IF('Bittrex Data'!A564="","",IF(AND('Bittrex Data'!C564="LIMIT_SELL",Bittrex!D564="USD"),"Sale",IF(AND('Bittrex Data'!C564="LIMIT_BUY",Bittrex!D564="USD"),"Buy","Trade")))</f>
        <v/>
      </c>
      <c r="D564" t="str">
        <f>IF('Bittrex Data'!B564="","",LEFT(LEFT('Bittrex Data'!B564,SEARCH("-",'Bittrex Data'!B564,1)),LEN(LEFT('Bittrex Data'!B564,SEARCH("-",'Bittrex Data'!B564,1)))-1))</f>
        <v/>
      </c>
      <c r="E564" t="str">
        <f>IF('Bittrex Data'!B564="","",RIGHT(RIGHT('Bittrex Data'!B564,LEN('Bittrex Data'!B564)-SEARCH("-",'Bittrex Data'!B564,1)+1),LEN(RIGHT('Bittrex Data'!B564,LEN('Bittrex Data'!B564)-SEARCH("-",'Bittrex Data'!B564,1)+1))-1))</f>
        <v/>
      </c>
      <c r="F564" t="str">
        <f>IF('Bittrex Data'!C564="","",IF('Bittrex Data'!C564="Limit_Sell",'Bittrex Data'!G564-'Bittrex Data'!F564,IF('Bittrex Data'!C564="Limit_Buy",'Bittrex Data'!G564+'Bittrex Data'!F564,"")))</f>
        <v/>
      </c>
      <c r="G564" t="str">
        <f>IF('Bittrex Data'!B564="","",'Bittrex Data'!D564)</f>
        <v/>
      </c>
      <c r="H564" t="str">
        <f>IF('Bittrex Data'!C564="","",IF(Bittrex!C564="Buy",Bittrex!D564,IF(Bittrex!C564="Sale",Bittrex!E564,IF(AND(Bittrex!C564="Trade",'Bittrex Data'!C564="Limit_Sell"),Bittrex!E564,IF(AND(Bittrex!C564="Trade",'Bittrex Data'!C564="Limit_Buy"),Bittrex!D564,"")))))</f>
        <v/>
      </c>
      <c r="I564" t="str">
        <f>IF('Bittrex Data'!C564="","",IF(Bittrex!C564="Buy",F564,IF(C564="Sale",Bittrex!G564,IF(AND(C564="Trade",'Bittrex Data'!C564="Limit_Sell"),Bittrex!G564,IF(AND(Bittrex!C564="Trade",'Bittrex Data'!C564="Limit_Buy"),F564,"")))))</f>
        <v/>
      </c>
      <c r="J564" t="str">
        <f>IF('Bittrex Data'!B564="","",IF('Bittrex Data'!B564="","",IF(Bittrex!H564=Bittrex!E564,D564,Bittrex!E564)))</f>
        <v/>
      </c>
      <c r="K564" t="str">
        <f>IF('Bittrex Data'!B564="","",IF(Bittrex!I564=Bittrex!G564,Bittrex!F564,Bittrex!G564))</f>
        <v/>
      </c>
    </row>
    <row r="565" spans="3:11" x14ac:dyDescent="0.2">
      <c r="C565" t="str">
        <f>IF('Bittrex Data'!A565="","",IF(AND('Bittrex Data'!C565="LIMIT_SELL",Bittrex!D565="USD"),"Sale",IF(AND('Bittrex Data'!C565="LIMIT_BUY",Bittrex!D565="USD"),"Buy","Trade")))</f>
        <v/>
      </c>
      <c r="D565" t="str">
        <f>IF('Bittrex Data'!B565="","",LEFT(LEFT('Bittrex Data'!B565,SEARCH("-",'Bittrex Data'!B565,1)),LEN(LEFT('Bittrex Data'!B565,SEARCH("-",'Bittrex Data'!B565,1)))-1))</f>
        <v/>
      </c>
      <c r="E565" t="str">
        <f>IF('Bittrex Data'!B565="","",RIGHT(RIGHT('Bittrex Data'!B565,LEN('Bittrex Data'!B565)-SEARCH("-",'Bittrex Data'!B565,1)+1),LEN(RIGHT('Bittrex Data'!B565,LEN('Bittrex Data'!B565)-SEARCH("-",'Bittrex Data'!B565,1)+1))-1))</f>
        <v/>
      </c>
      <c r="F565" t="str">
        <f>IF('Bittrex Data'!C565="","",IF('Bittrex Data'!C565="Limit_Sell",'Bittrex Data'!G565-'Bittrex Data'!F565,IF('Bittrex Data'!C565="Limit_Buy",'Bittrex Data'!G565+'Bittrex Data'!F565,"")))</f>
        <v/>
      </c>
      <c r="G565" t="str">
        <f>IF('Bittrex Data'!B565="","",'Bittrex Data'!D565)</f>
        <v/>
      </c>
      <c r="H565" t="str">
        <f>IF('Bittrex Data'!C565="","",IF(Bittrex!C565="Buy",Bittrex!D565,IF(Bittrex!C565="Sale",Bittrex!E565,IF(AND(Bittrex!C565="Trade",'Bittrex Data'!C565="Limit_Sell"),Bittrex!E565,IF(AND(Bittrex!C565="Trade",'Bittrex Data'!C565="Limit_Buy"),Bittrex!D565,"")))))</f>
        <v/>
      </c>
      <c r="I565" t="str">
        <f>IF('Bittrex Data'!C565="","",IF(Bittrex!C565="Buy",F565,IF(C565="Sale",Bittrex!G565,IF(AND(C565="Trade",'Bittrex Data'!C565="Limit_Sell"),Bittrex!G565,IF(AND(Bittrex!C565="Trade",'Bittrex Data'!C565="Limit_Buy"),F565,"")))))</f>
        <v/>
      </c>
      <c r="J565" t="str">
        <f>IF('Bittrex Data'!B565="","",IF('Bittrex Data'!B565="","",IF(Bittrex!H565=Bittrex!E565,D565,Bittrex!E565)))</f>
        <v/>
      </c>
      <c r="K565" t="str">
        <f>IF('Bittrex Data'!B565="","",IF(Bittrex!I565=Bittrex!G565,Bittrex!F565,Bittrex!G565))</f>
        <v/>
      </c>
    </row>
    <row r="566" spans="3:11" x14ac:dyDescent="0.2">
      <c r="C566" t="str">
        <f>IF('Bittrex Data'!A566="","",IF(AND('Bittrex Data'!C566="LIMIT_SELL",Bittrex!D566="USD"),"Sale",IF(AND('Bittrex Data'!C566="LIMIT_BUY",Bittrex!D566="USD"),"Buy","Trade")))</f>
        <v/>
      </c>
      <c r="D566" t="str">
        <f>IF('Bittrex Data'!B566="","",LEFT(LEFT('Bittrex Data'!B566,SEARCH("-",'Bittrex Data'!B566,1)),LEN(LEFT('Bittrex Data'!B566,SEARCH("-",'Bittrex Data'!B566,1)))-1))</f>
        <v/>
      </c>
      <c r="E566" t="str">
        <f>IF('Bittrex Data'!B566="","",RIGHT(RIGHT('Bittrex Data'!B566,LEN('Bittrex Data'!B566)-SEARCH("-",'Bittrex Data'!B566,1)+1),LEN(RIGHT('Bittrex Data'!B566,LEN('Bittrex Data'!B566)-SEARCH("-",'Bittrex Data'!B566,1)+1))-1))</f>
        <v/>
      </c>
      <c r="F566" t="str">
        <f>IF('Bittrex Data'!C566="","",IF('Bittrex Data'!C566="Limit_Sell",'Bittrex Data'!G566-'Bittrex Data'!F566,IF('Bittrex Data'!C566="Limit_Buy",'Bittrex Data'!G566+'Bittrex Data'!F566,"")))</f>
        <v/>
      </c>
      <c r="G566" t="str">
        <f>IF('Bittrex Data'!B566="","",'Bittrex Data'!D566)</f>
        <v/>
      </c>
      <c r="H566" t="str">
        <f>IF('Bittrex Data'!C566="","",IF(Bittrex!C566="Buy",Bittrex!D566,IF(Bittrex!C566="Sale",Bittrex!E566,IF(AND(Bittrex!C566="Trade",'Bittrex Data'!C566="Limit_Sell"),Bittrex!E566,IF(AND(Bittrex!C566="Trade",'Bittrex Data'!C566="Limit_Buy"),Bittrex!D566,"")))))</f>
        <v/>
      </c>
      <c r="I566" t="str">
        <f>IF('Bittrex Data'!C566="","",IF(Bittrex!C566="Buy",F566,IF(C566="Sale",Bittrex!G566,IF(AND(C566="Trade",'Bittrex Data'!C566="Limit_Sell"),Bittrex!G566,IF(AND(Bittrex!C566="Trade",'Bittrex Data'!C566="Limit_Buy"),F566,"")))))</f>
        <v/>
      </c>
      <c r="J566" t="str">
        <f>IF('Bittrex Data'!B566="","",IF('Bittrex Data'!B566="","",IF(Bittrex!H566=Bittrex!E566,D566,Bittrex!E566)))</f>
        <v/>
      </c>
      <c r="K566" t="str">
        <f>IF('Bittrex Data'!B566="","",IF(Bittrex!I566=Bittrex!G566,Bittrex!F566,Bittrex!G566))</f>
        <v/>
      </c>
    </row>
    <row r="567" spans="3:11" x14ac:dyDescent="0.2">
      <c r="C567" t="str">
        <f>IF('Bittrex Data'!A567="","",IF(AND('Bittrex Data'!C567="LIMIT_SELL",Bittrex!D567="USD"),"Sale",IF(AND('Bittrex Data'!C567="LIMIT_BUY",Bittrex!D567="USD"),"Buy","Trade")))</f>
        <v/>
      </c>
      <c r="D567" t="str">
        <f>IF('Bittrex Data'!B567="","",LEFT(LEFT('Bittrex Data'!B567,SEARCH("-",'Bittrex Data'!B567,1)),LEN(LEFT('Bittrex Data'!B567,SEARCH("-",'Bittrex Data'!B567,1)))-1))</f>
        <v/>
      </c>
      <c r="E567" t="str">
        <f>IF('Bittrex Data'!B567="","",RIGHT(RIGHT('Bittrex Data'!B567,LEN('Bittrex Data'!B567)-SEARCH("-",'Bittrex Data'!B567,1)+1),LEN(RIGHT('Bittrex Data'!B567,LEN('Bittrex Data'!B567)-SEARCH("-",'Bittrex Data'!B567,1)+1))-1))</f>
        <v/>
      </c>
      <c r="F567" t="str">
        <f>IF('Bittrex Data'!C567="","",IF('Bittrex Data'!C567="Limit_Sell",'Bittrex Data'!G567-'Bittrex Data'!F567,IF('Bittrex Data'!C567="Limit_Buy",'Bittrex Data'!G567+'Bittrex Data'!F567,"")))</f>
        <v/>
      </c>
      <c r="G567" t="str">
        <f>IF('Bittrex Data'!B567="","",'Bittrex Data'!D567)</f>
        <v/>
      </c>
      <c r="H567" t="str">
        <f>IF('Bittrex Data'!C567="","",IF(Bittrex!C567="Buy",Bittrex!D567,IF(Bittrex!C567="Sale",Bittrex!E567,IF(AND(Bittrex!C567="Trade",'Bittrex Data'!C567="Limit_Sell"),Bittrex!E567,IF(AND(Bittrex!C567="Trade",'Bittrex Data'!C567="Limit_Buy"),Bittrex!D567,"")))))</f>
        <v/>
      </c>
      <c r="I567" t="str">
        <f>IF('Bittrex Data'!C567="","",IF(Bittrex!C567="Buy",F567,IF(C567="Sale",Bittrex!G567,IF(AND(C567="Trade",'Bittrex Data'!C567="Limit_Sell"),Bittrex!G567,IF(AND(Bittrex!C567="Trade",'Bittrex Data'!C567="Limit_Buy"),F567,"")))))</f>
        <v/>
      </c>
      <c r="J567" t="str">
        <f>IF('Bittrex Data'!B567="","",IF('Bittrex Data'!B567="","",IF(Bittrex!H567=Bittrex!E567,D567,Bittrex!E567)))</f>
        <v/>
      </c>
      <c r="K567" t="str">
        <f>IF('Bittrex Data'!B567="","",IF(Bittrex!I567=Bittrex!G567,Bittrex!F567,Bittrex!G567))</f>
        <v/>
      </c>
    </row>
    <row r="568" spans="3:11" x14ac:dyDescent="0.2">
      <c r="C568" t="str">
        <f>IF('Bittrex Data'!A568="","",IF(AND('Bittrex Data'!C568="LIMIT_SELL",Bittrex!D568="USD"),"Sale",IF(AND('Bittrex Data'!C568="LIMIT_BUY",Bittrex!D568="USD"),"Buy","Trade")))</f>
        <v/>
      </c>
      <c r="D568" t="str">
        <f>IF('Bittrex Data'!B568="","",LEFT(LEFT('Bittrex Data'!B568,SEARCH("-",'Bittrex Data'!B568,1)),LEN(LEFT('Bittrex Data'!B568,SEARCH("-",'Bittrex Data'!B568,1)))-1))</f>
        <v/>
      </c>
      <c r="E568" t="str">
        <f>IF('Bittrex Data'!B568="","",RIGHT(RIGHT('Bittrex Data'!B568,LEN('Bittrex Data'!B568)-SEARCH("-",'Bittrex Data'!B568,1)+1),LEN(RIGHT('Bittrex Data'!B568,LEN('Bittrex Data'!B568)-SEARCH("-",'Bittrex Data'!B568,1)+1))-1))</f>
        <v/>
      </c>
      <c r="F568" t="str">
        <f>IF('Bittrex Data'!C568="","",IF('Bittrex Data'!C568="Limit_Sell",'Bittrex Data'!G568-'Bittrex Data'!F568,IF('Bittrex Data'!C568="Limit_Buy",'Bittrex Data'!G568+'Bittrex Data'!F568,"")))</f>
        <v/>
      </c>
      <c r="G568" t="str">
        <f>IF('Bittrex Data'!B568="","",'Bittrex Data'!D568)</f>
        <v/>
      </c>
      <c r="H568" t="str">
        <f>IF('Bittrex Data'!C568="","",IF(Bittrex!C568="Buy",Bittrex!D568,IF(Bittrex!C568="Sale",Bittrex!E568,IF(AND(Bittrex!C568="Trade",'Bittrex Data'!C568="Limit_Sell"),Bittrex!E568,IF(AND(Bittrex!C568="Trade",'Bittrex Data'!C568="Limit_Buy"),Bittrex!D568,"")))))</f>
        <v/>
      </c>
      <c r="I568" t="str">
        <f>IF('Bittrex Data'!C568="","",IF(Bittrex!C568="Buy",F568,IF(C568="Sale",Bittrex!G568,IF(AND(C568="Trade",'Bittrex Data'!C568="Limit_Sell"),Bittrex!G568,IF(AND(Bittrex!C568="Trade",'Bittrex Data'!C568="Limit_Buy"),F568,"")))))</f>
        <v/>
      </c>
      <c r="J568" t="str">
        <f>IF('Bittrex Data'!B568="","",IF('Bittrex Data'!B568="","",IF(Bittrex!H568=Bittrex!E568,D568,Bittrex!E568)))</f>
        <v/>
      </c>
      <c r="K568" t="str">
        <f>IF('Bittrex Data'!B568="","",IF(Bittrex!I568=Bittrex!G568,Bittrex!F568,Bittrex!G568))</f>
        <v/>
      </c>
    </row>
    <row r="569" spans="3:11" x14ac:dyDescent="0.2">
      <c r="C569" t="str">
        <f>IF('Bittrex Data'!A569="","",IF(AND('Bittrex Data'!C569="LIMIT_SELL",Bittrex!D569="USD"),"Sale",IF(AND('Bittrex Data'!C569="LIMIT_BUY",Bittrex!D569="USD"),"Buy","Trade")))</f>
        <v/>
      </c>
      <c r="D569" t="str">
        <f>IF('Bittrex Data'!B569="","",LEFT(LEFT('Bittrex Data'!B569,SEARCH("-",'Bittrex Data'!B569,1)),LEN(LEFT('Bittrex Data'!B569,SEARCH("-",'Bittrex Data'!B569,1)))-1))</f>
        <v/>
      </c>
      <c r="E569" t="str">
        <f>IF('Bittrex Data'!B569="","",RIGHT(RIGHT('Bittrex Data'!B569,LEN('Bittrex Data'!B569)-SEARCH("-",'Bittrex Data'!B569,1)+1),LEN(RIGHT('Bittrex Data'!B569,LEN('Bittrex Data'!B569)-SEARCH("-",'Bittrex Data'!B569,1)+1))-1))</f>
        <v/>
      </c>
      <c r="F569" t="str">
        <f>IF('Bittrex Data'!C569="","",IF('Bittrex Data'!C569="Limit_Sell",'Bittrex Data'!G569-'Bittrex Data'!F569,IF('Bittrex Data'!C569="Limit_Buy",'Bittrex Data'!G569+'Bittrex Data'!F569,"")))</f>
        <v/>
      </c>
      <c r="G569" t="str">
        <f>IF('Bittrex Data'!B569="","",'Bittrex Data'!D569)</f>
        <v/>
      </c>
      <c r="H569" t="str">
        <f>IF('Bittrex Data'!C569="","",IF(Bittrex!C569="Buy",Bittrex!D569,IF(Bittrex!C569="Sale",Bittrex!E569,IF(AND(Bittrex!C569="Trade",'Bittrex Data'!C569="Limit_Sell"),Bittrex!E569,IF(AND(Bittrex!C569="Trade",'Bittrex Data'!C569="Limit_Buy"),Bittrex!D569,"")))))</f>
        <v/>
      </c>
      <c r="I569" t="str">
        <f>IF('Bittrex Data'!C569="","",IF(Bittrex!C569="Buy",F569,IF(C569="Sale",Bittrex!G569,IF(AND(C569="Trade",'Bittrex Data'!C569="Limit_Sell"),Bittrex!G569,IF(AND(Bittrex!C569="Trade",'Bittrex Data'!C569="Limit_Buy"),F569,"")))))</f>
        <v/>
      </c>
      <c r="J569" t="str">
        <f>IF('Bittrex Data'!B569="","",IF('Bittrex Data'!B569="","",IF(Bittrex!H569=Bittrex!E569,D569,Bittrex!E569)))</f>
        <v/>
      </c>
      <c r="K569" t="str">
        <f>IF('Bittrex Data'!B569="","",IF(Bittrex!I569=Bittrex!G569,Bittrex!F569,Bittrex!G569))</f>
        <v/>
      </c>
    </row>
    <row r="570" spans="3:11" x14ac:dyDescent="0.2">
      <c r="C570" t="str">
        <f>IF('Bittrex Data'!A570="","",IF(AND('Bittrex Data'!C570="LIMIT_SELL",Bittrex!D570="USD"),"Sale",IF(AND('Bittrex Data'!C570="LIMIT_BUY",Bittrex!D570="USD"),"Buy","Trade")))</f>
        <v/>
      </c>
      <c r="D570" t="str">
        <f>IF('Bittrex Data'!B570="","",LEFT(LEFT('Bittrex Data'!B570,SEARCH("-",'Bittrex Data'!B570,1)),LEN(LEFT('Bittrex Data'!B570,SEARCH("-",'Bittrex Data'!B570,1)))-1))</f>
        <v/>
      </c>
      <c r="E570" t="str">
        <f>IF('Bittrex Data'!B570="","",RIGHT(RIGHT('Bittrex Data'!B570,LEN('Bittrex Data'!B570)-SEARCH("-",'Bittrex Data'!B570,1)+1),LEN(RIGHT('Bittrex Data'!B570,LEN('Bittrex Data'!B570)-SEARCH("-",'Bittrex Data'!B570,1)+1))-1))</f>
        <v/>
      </c>
      <c r="F570" t="str">
        <f>IF('Bittrex Data'!C570="","",IF('Bittrex Data'!C570="Limit_Sell",'Bittrex Data'!G570-'Bittrex Data'!F570,IF('Bittrex Data'!C570="Limit_Buy",'Bittrex Data'!G570+'Bittrex Data'!F570,"")))</f>
        <v/>
      </c>
      <c r="G570" t="str">
        <f>IF('Bittrex Data'!B570="","",'Bittrex Data'!D570)</f>
        <v/>
      </c>
      <c r="H570" t="str">
        <f>IF('Bittrex Data'!C570="","",IF(Bittrex!C570="Buy",Bittrex!D570,IF(Bittrex!C570="Sale",Bittrex!E570,IF(AND(Bittrex!C570="Trade",'Bittrex Data'!C570="Limit_Sell"),Bittrex!E570,IF(AND(Bittrex!C570="Trade",'Bittrex Data'!C570="Limit_Buy"),Bittrex!D570,"")))))</f>
        <v/>
      </c>
      <c r="I570" t="str">
        <f>IF('Bittrex Data'!C570="","",IF(Bittrex!C570="Buy",F570,IF(C570="Sale",Bittrex!G570,IF(AND(C570="Trade",'Bittrex Data'!C570="Limit_Sell"),Bittrex!G570,IF(AND(Bittrex!C570="Trade",'Bittrex Data'!C570="Limit_Buy"),F570,"")))))</f>
        <v/>
      </c>
      <c r="J570" t="str">
        <f>IF('Bittrex Data'!B570="","",IF('Bittrex Data'!B570="","",IF(Bittrex!H570=Bittrex!E570,D570,Bittrex!E570)))</f>
        <v/>
      </c>
      <c r="K570" t="str">
        <f>IF('Bittrex Data'!B570="","",IF(Bittrex!I570=Bittrex!G570,Bittrex!F570,Bittrex!G570))</f>
        <v/>
      </c>
    </row>
    <row r="571" spans="3:11" x14ac:dyDescent="0.2">
      <c r="C571" t="str">
        <f>IF('Bittrex Data'!A571="","",IF(AND('Bittrex Data'!C571="LIMIT_SELL",Bittrex!D571="USD"),"Sale",IF(AND('Bittrex Data'!C571="LIMIT_BUY",Bittrex!D571="USD"),"Buy","Trade")))</f>
        <v/>
      </c>
      <c r="D571" t="str">
        <f>IF('Bittrex Data'!B571="","",LEFT(LEFT('Bittrex Data'!B571,SEARCH("-",'Bittrex Data'!B571,1)),LEN(LEFT('Bittrex Data'!B571,SEARCH("-",'Bittrex Data'!B571,1)))-1))</f>
        <v/>
      </c>
      <c r="E571" t="str">
        <f>IF('Bittrex Data'!B571="","",RIGHT(RIGHT('Bittrex Data'!B571,LEN('Bittrex Data'!B571)-SEARCH("-",'Bittrex Data'!B571,1)+1),LEN(RIGHT('Bittrex Data'!B571,LEN('Bittrex Data'!B571)-SEARCH("-",'Bittrex Data'!B571,1)+1))-1))</f>
        <v/>
      </c>
      <c r="F571" t="str">
        <f>IF('Bittrex Data'!C571="","",IF('Bittrex Data'!C571="Limit_Sell",'Bittrex Data'!G571-'Bittrex Data'!F571,IF('Bittrex Data'!C571="Limit_Buy",'Bittrex Data'!G571+'Bittrex Data'!F571,"")))</f>
        <v/>
      </c>
      <c r="G571" t="str">
        <f>IF('Bittrex Data'!B571="","",'Bittrex Data'!D571)</f>
        <v/>
      </c>
      <c r="H571" t="str">
        <f>IF('Bittrex Data'!C571="","",IF(Bittrex!C571="Buy",Bittrex!D571,IF(Bittrex!C571="Sale",Bittrex!E571,IF(AND(Bittrex!C571="Trade",'Bittrex Data'!C571="Limit_Sell"),Bittrex!E571,IF(AND(Bittrex!C571="Trade",'Bittrex Data'!C571="Limit_Buy"),Bittrex!D571,"")))))</f>
        <v/>
      </c>
      <c r="I571" t="str">
        <f>IF('Bittrex Data'!C571="","",IF(Bittrex!C571="Buy",F571,IF(C571="Sale",Bittrex!G571,IF(AND(C571="Trade",'Bittrex Data'!C571="Limit_Sell"),Bittrex!G571,IF(AND(Bittrex!C571="Trade",'Bittrex Data'!C571="Limit_Buy"),F571,"")))))</f>
        <v/>
      </c>
      <c r="J571" t="str">
        <f>IF('Bittrex Data'!B571="","",IF('Bittrex Data'!B571="","",IF(Bittrex!H571=Bittrex!E571,D571,Bittrex!E571)))</f>
        <v/>
      </c>
      <c r="K571" t="str">
        <f>IF('Bittrex Data'!B571="","",IF(Bittrex!I571=Bittrex!G571,Bittrex!F571,Bittrex!G571))</f>
        <v/>
      </c>
    </row>
    <row r="572" spans="3:11" x14ac:dyDescent="0.2">
      <c r="C572" t="str">
        <f>IF('Bittrex Data'!A572="","",IF(AND('Bittrex Data'!C572="LIMIT_SELL",Bittrex!D572="USD"),"Sale",IF(AND('Bittrex Data'!C572="LIMIT_BUY",Bittrex!D572="USD"),"Buy","Trade")))</f>
        <v/>
      </c>
      <c r="D572" t="str">
        <f>IF('Bittrex Data'!B572="","",LEFT(LEFT('Bittrex Data'!B572,SEARCH("-",'Bittrex Data'!B572,1)),LEN(LEFT('Bittrex Data'!B572,SEARCH("-",'Bittrex Data'!B572,1)))-1))</f>
        <v/>
      </c>
      <c r="E572" t="str">
        <f>IF('Bittrex Data'!B572="","",RIGHT(RIGHT('Bittrex Data'!B572,LEN('Bittrex Data'!B572)-SEARCH("-",'Bittrex Data'!B572,1)+1),LEN(RIGHT('Bittrex Data'!B572,LEN('Bittrex Data'!B572)-SEARCH("-",'Bittrex Data'!B572,1)+1))-1))</f>
        <v/>
      </c>
      <c r="F572" t="str">
        <f>IF('Bittrex Data'!C572="","",IF('Bittrex Data'!C572="Limit_Sell",'Bittrex Data'!G572-'Bittrex Data'!F572,IF('Bittrex Data'!C572="Limit_Buy",'Bittrex Data'!G572+'Bittrex Data'!F572,"")))</f>
        <v/>
      </c>
      <c r="G572" t="str">
        <f>IF('Bittrex Data'!B572="","",'Bittrex Data'!D572)</f>
        <v/>
      </c>
      <c r="H572" t="str">
        <f>IF('Bittrex Data'!C572="","",IF(Bittrex!C572="Buy",Bittrex!D572,IF(Bittrex!C572="Sale",Bittrex!E572,IF(AND(Bittrex!C572="Trade",'Bittrex Data'!C572="Limit_Sell"),Bittrex!E572,IF(AND(Bittrex!C572="Trade",'Bittrex Data'!C572="Limit_Buy"),Bittrex!D572,"")))))</f>
        <v/>
      </c>
      <c r="I572" t="str">
        <f>IF('Bittrex Data'!C572="","",IF(Bittrex!C572="Buy",F572,IF(C572="Sale",Bittrex!G572,IF(AND(C572="Trade",'Bittrex Data'!C572="Limit_Sell"),Bittrex!G572,IF(AND(Bittrex!C572="Trade",'Bittrex Data'!C572="Limit_Buy"),F572,"")))))</f>
        <v/>
      </c>
      <c r="J572" t="str">
        <f>IF('Bittrex Data'!B572="","",IF('Bittrex Data'!B572="","",IF(Bittrex!H572=Bittrex!E572,D572,Bittrex!E572)))</f>
        <v/>
      </c>
      <c r="K572" t="str">
        <f>IF('Bittrex Data'!B572="","",IF(Bittrex!I572=Bittrex!G572,Bittrex!F572,Bittrex!G572))</f>
        <v/>
      </c>
    </row>
    <row r="573" spans="3:11" x14ac:dyDescent="0.2">
      <c r="C573" t="str">
        <f>IF('Bittrex Data'!A573="","",IF(AND('Bittrex Data'!C573="LIMIT_SELL",Bittrex!D573="USD"),"Sale",IF(AND('Bittrex Data'!C573="LIMIT_BUY",Bittrex!D573="USD"),"Buy","Trade")))</f>
        <v/>
      </c>
      <c r="D573" t="str">
        <f>IF('Bittrex Data'!B573="","",LEFT(LEFT('Bittrex Data'!B573,SEARCH("-",'Bittrex Data'!B573,1)),LEN(LEFT('Bittrex Data'!B573,SEARCH("-",'Bittrex Data'!B573,1)))-1))</f>
        <v/>
      </c>
      <c r="E573" t="str">
        <f>IF('Bittrex Data'!B573="","",RIGHT(RIGHT('Bittrex Data'!B573,LEN('Bittrex Data'!B573)-SEARCH("-",'Bittrex Data'!B573,1)+1),LEN(RIGHT('Bittrex Data'!B573,LEN('Bittrex Data'!B573)-SEARCH("-",'Bittrex Data'!B573,1)+1))-1))</f>
        <v/>
      </c>
      <c r="F573" t="str">
        <f>IF('Bittrex Data'!C573="","",IF('Bittrex Data'!C573="Limit_Sell",'Bittrex Data'!G573-'Bittrex Data'!F573,IF('Bittrex Data'!C573="Limit_Buy",'Bittrex Data'!G573+'Bittrex Data'!F573,"")))</f>
        <v/>
      </c>
      <c r="G573" t="str">
        <f>IF('Bittrex Data'!B573="","",'Bittrex Data'!D573)</f>
        <v/>
      </c>
      <c r="H573" t="str">
        <f>IF('Bittrex Data'!C573="","",IF(Bittrex!C573="Buy",Bittrex!D573,IF(Bittrex!C573="Sale",Bittrex!E573,IF(AND(Bittrex!C573="Trade",'Bittrex Data'!C573="Limit_Sell"),Bittrex!E573,IF(AND(Bittrex!C573="Trade",'Bittrex Data'!C573="Limit_Buy"),Bittrex!D573,"")))))</f>
        <v/>
      </c>
      <c r="I573" t="str">
        <f>IF('Bittrex Data'!C573="","",IF(Bittrex!C573="Buy",F573,IF(C573="Sale",Bittrex!G573,IF(AND(C573="Trade",'Bittrex Data'!C573="Limit_Sell"),Bittrex!G573,IF(AND(Bittrex!C573="Trade",'Bittrex Data'!C573="Limit_Buy"),F573,"")))))</f>
        <v/>
      </c>
      <c r="J573" t="str">
        <f>IF('Bittrex Data'!B573="","",IF('Bittrex Data'!B573="","",IF(Bittrex!H573=Bittrex!E573,D573,Bittrex!E573)))</f>
        <v/>
      </c>
      <c r="K573" t="str">
        <f>IF('Bittrex Data'!B573="","",IF(Bittrex!I573=Bittrex!G573,Bittrex!F573,Bittrex!G573))</f>
        <v/>
      </c>
    </row>
    <row r="574" spans="3:11" x14ac:dyDescent="0.2">
      <c r="C574" t="str">
        <f>IF('Bittrex Data'!A574="","",IF(AND('Bittrex Data'!C574="LIMIT_SELL",Bittrex!D574="USD"),"Sale",IF(AND('Bittrex Data'!C574="LIMIT_BUY",Bittrex!D574="USD"),"Buy","Trade")))</f>
        <v/>
      </c>
      <c r="D574" t="str">
        <f>IF('Bittrex Data'!B574="","",LEFT(LEFT('Bittrex Data'!B574,SEARCH("-",'Bittrex Data'!B574,1)),LEN(LEFT('Bittrex Data'!B574,SEARCH("-",'Bittrex Data'!B574,1)))-1))</f>
        <v/>
      </c>
      <c r="E574" t="str">
        <f>IF('Bittrex Data'!B574="","",RIGHT(RIGHT('Bittrex Data'!B574,LEN('Bittrex Data'!B574)-SEARCH("-",'Bittrex Data'!B574,1)+1),LEN(RIGHT('Bittrex Data'!B574,LEN('Bittrex Data'!B574)-SEARCH("-",'Bittrex Data'!B574,1)+1))-1))</f>
        <v/>
      </c>
      <c r="F574" t="str">
        <f>IF('Bittrex Data'!C574="","",IF('Bittrex Data'!C574="Limit_Sell",'Bittrex Data'!G574-'Bittrex Data'!F574,IF('Bittrex Data'!C574="Limit_Buy",'Bittrex Data'!G574+'Bittrex Data'!F574,"")))</f>
        <v/>
      </c>
      <c r="G574" t="str">
        <f>IF('Bittrex Data'!B574="","",'Bittrex Data'!D574)</f>
        <v/>
      </c>
      <c r="H574" t="str">
        <f>IF('Bittrex Data'!C574="","",IF(Bittrex!C574="Buy",Bittrex!D574,IF(Bittrex!C574="Sale",Bittrex!E574,IF(AND(Bittrex!C574="Trade",'Bittrex Data'!C574="Limit_Sell"),Bittrex!E574,IF(AND(Bittrex!C574="Trade",'Bittrex Data'!C574="Limit_Buy"),Bittrex!D574,"")))))</f>
        <v/>
      </c>
      <c r="I574" t="str">
        <f>IF('Bittrex Data'!C574="","",IF(Bittrex!C574="Buy",F574,IF(C574="Sale",Bittrex!G574,IF(AND(C574="Trade",'Bittrex Data'!C574="Limit_Sell"),Bittrex!G574,IF(AND(Bittrex!C574="Trade",'Bittrex Data'!C574="Limit_Buy"),F574,"")))))</f>
        <v/>
      </c>
      <c r="J574" t="str">
        <f>IF('Bittrex Data'!B574="","",IF('Bittrex Data'!B574="","",IF(Bittrex!H574=Bittrex!E574,D574,Bittrex!E574)))</f>
        <v/>
      </c>
      <c r="K574" t="str">
        <f>IF('Bittrex Data'!B574="","",IF(Bittrex!I574=Bittrex!G574,Bittrex!F574,Bittrex!G574))</f>
        <v/>
      </c>
    </row>
    <row r="575" spans="3:11" x14ac:dyDescent="0.2">
      <c r="C575" t="str">
        <f>IF('Bittrex Data'!A575="","",IF(AND('Bittrex Data'!C575="LIMIT_SELL",Bittrex!D575="USD"),"Sale",IF(AND('Bittrex Data'!C575="LIMIT_BUY",Bittrex!D575="USD"),"Buy","Trade")))</f>
        <v/>
      </c>
      <c r="D575" t="str">
        <f>IF('Bittrex Data'!B575="","",LEFT(LEFT('Bittrex Data'!B575,SEARCH("-",'Bittrex Data'!B575,1)),LEN(LEFT('Bittrex Data'!B575,SEARCH("-",'Bittrex Data'!B575,1)))-1))</f>
        <v/>
      </c>
      <c r="E575" t="str">
        <f>IF('Bittrex Data'!B575="","",RIGHT(RIGHT('Bittrex Data'!B575,LEN('Bittrex Data'!B575)-SEARCH("-",'Bittrex Data'!B575,1)+1),LEN(RIGHT('Bittrex Data'!B575,LEN('Bittrex Data'!B575)-SEARCH("-",'Bittrex Data'!B575,1)+1))-1))</f>
        <v/>
      </c>
      <c r="F575" t="str">
        <f>IF('Bittrex Data'!C575="","",IF('Bittrex Data'!C575="Limit_Sell",'Bittrex Data'!G575-'Bittrex Data'!F575,IF('Bittrex Data'!C575="Limit_Buy",'Bittrex Data'!G575+'Bittrex Data'!F575,"")))</f>
        <v/>
      </c>
      <c r="G575" t="str">
        <f>IF('Bittrex Data'!B575="","",'Bittrex Data'!D575)</f>
        <v/>
      </c>
      <c r="H575" t="str">
        <f>IF('Bittrex Data'!C575="","",IF(Bittrex!C575="Buy",Bittrex!D575,IF(Bittrex!C575="Sale",Bittrex!E575,IF(AND(Bittrex!C575="Trade",'Bittrex Data'!C575="Limit_Sell"),Bittrex!E575,IF(AND(Bittrex!C575="Trade",'Bittrex Data'!C575="Limit_Buy"),Bittrex!D575,"")))))</f>
        <v/>
      </c>
      <c r="I575" t="str">
        <f>IF('Bittrex Data'!C575="","",IF(Bittrex!C575="Buy",F575,IF(C575="Sale",Bittrex!G575,IF(AND(C575="Trade",'Bittrex Data'!C575="Limit_Sell"),Bittrex!G575,IF(AND(Bittrex!C575="Trade",'Bittrex Data'!C575="Limit_Buy"),F575,"")))))</f>
        <v/>
      </c>
      <c r="J575" t="str">
        <f>IF('Bittrex Data'!B575="","",IF('Bittrex Data'!B575="","",IF(Bittrex!H575=Bittrex!E575,D575,Bittrex!E575)))</f>
        <v/>
      </c>
      <c r="K575" t="str">
        <f>IF('Bittrex Data'!B575="","",IF(Bittrex!I575=Bittrex!G575,Bittrex!F575,Bittrex!G575))</f>
        <v/>
      </c>
    </row>
    <row r="576" spans="3:11" x14ac:dyDescent="0.2">
      <c r="C576" t="str">
        <f>IF('Bittrex Data'!A576="","",IF(AND('Bittrex Data'!C576="LIMIT_SELL",Bittrex!D576="USD"),"Sale",IF(AND('Bittrex Data'!C576="LIMIT_BUY",Bittrex!D576="USD"),"Buy","Trade")))</f>
        <v/>
      </c>
      <c r="D576" t="str">
        <f>IF('Bittrex Data'!B576="","",LEFT(LEFT('Bittrex Data'!B576,SEARCH("-",'Bittrex Data'!B576,1)),LEN(LEFT('Bittrex Data'!B576,SEARCH("-",'Bittrex Data'!B576,1)))-1))</f>
        <v/>
      </c>
      <c r="E576" t="str">
        <f>IF('Bittrex Data'!B576="","",RIGHT(RIGHT('Bittrex Data'!B576,LEN('Bittrex Data'!B576)-SEARCH("-",'Bittrex Data'!B576,1)+1),LEN(RIGHT('Bittrex Data'!B576,LEN('Bittrex Data'!B576)-SEARCH("-",'Bittrex Data'!B576,1)+1))-1))</f>
        <v/>
      </c>
      <c r="F576" t="str">
        <f>IF('Bittrex Data'!C576="","",IF('Bittrex Data'!C576="Limit_Sell",'Bittrex Data'!G576-'Bittrex Data'!F576,IF('Bittrex Data'!C576="Limit_Buy",'Bittrex Data'!G576+'Bittrex Data'!F576,"")))</f>
        <v/>
      </c>
      <c r="G576" t="str">
        <f>IF('Bittrex Data'!B576="","",'Bittrex Data'!D576)</f>
        <v/>
      </c>
      <c r="H576" t="str">
        <f>IF('Bittrex Data'!C576="","",IF(Bittrex!C576="Buy",Bittrex!D576,IF(Bittrex!C576="Sale",Bittrex!E576,IF(AND(Bittrex!C576="Trade",'Bittrex Data'!C576="Limit_Sell"),Bittrex!E576,IF(AND(Bittrex!C576="Trade",'Bittrex Data'!C576="Limit_Buy"),Bittrex!D576,"")))))</f>
        <v/>
      </c>
      <c r="I576" t="str">
        <f>IF('Bittrex Data'!C576="","",IF(Bittrex!C576="Buy",F576,IF(C576="Sale",Bittrex!G576,IF(AND(C576="Trade",'Bittrex Data'!C576="Limit_Sell"),Bittrex!G576,IF(AND(Bittrex!C576="Trade",'Bittrex Data'!C576="Limit_Buy"),F576,"")))))</f>
        <v/>
      </c>
      <c r="J576" t="str">
        <f>IF('Bittrex Data'!B576="","",IF('Bittrex Data'!B576="","",IF(Bittrex!H576=Bittrex!E576,D576,Bittrex!E576)))</f>
        <v/>
      </c>
      <c r="K576" t="str">
        <f>IF('Bittrex Data'!B576="","",IF(Bittrex!I576=Bittrex!G576,Bittrex!F576,Bittrex!G576))</f>
        <v/>
      </c>
    </row>
    <row r="577" spans="3:11" x14ac:dyDescent="0.2">
      <c r="C577" t="str">
        <f>IF('Bittrex Data'!A577="","",IF(AND('Bittrex Data'!C577="LIMIT_SELL",Bittrex!D577="USD"),"Sale",IF(AND('Bittrex Data'!C577="LIMIT_BUY",Bittrex!D577="USD"),"Buy","Trade")))</f>
        <v/>
      </c>
      <c r="D577" t="str">
        <f>IF('Bittrex Data'!B577="","",LEFT(LEFT('Bittrex Data'!B577,SEARCH("-",'Bittrex Data'!B577,1)),LEN(LEFT('Bittrex Data'!B577,SEARCH("-",'Bittrex Data'!B577,1)))-1))</f>
        <v/>
      </c>
      <c r="E577" t="str">
        <f>IF('Bittrex Data'!B577="","",RIGHT(RIGHT('Bittrex Data'!B577,LEN('Bittrex Data'!B577)-SEARCH("-",'Bittrex Data'!B577,1)+1),LEN(RIGHT('Bittrex Data'!B577,LEN('Bittrex Data'!B577)-SEARCH("-",'Bittrex Data'!B577,1)+1))-1))</f>
        <v/>
      </c>
      <c r="F577" t="str">
        <f>IF('Bittrex Data'!C577="","",IF('Bittrex Data'!C577="Limit_Sell",'Bittrex Data'!G577-'Bittrex Data'!F577,IF('Bittrex Data'!C577="Limit_Buy",'Bittrex Data'!G577+'Bittrex Data'!F577,"")))</f>
        <v/>
      </c>
      <c r="G577" t="str">
        <f>IF('Bittrex Data'!B577="","",'Bittrex Data'!D577)</f>
        <v/>
      </c>
      <c r="H577" t="str">
        <f>IF('Bittrex Data'!C577="","",IF(Bittrex!C577="Buy",Bittrex!D577,IF(Bittrex!C577="Sale",Bittrex!E577,IF(AND(Bittrex!C577="Trade",'Bittrex Data'!C577="Limit_Sell"),Bittrex!E577,IF(AND(Bittrex!C577="Trade",'Bittrex Data'!C577="Limit_Buy"),Bittrex!D577,"")))))</f>
        <v/>
      </c>
      <c r="I577" t="str">
        <f>IF('Bittrex Data'!C577="","",IF(Bittrex!C577="Buy",F577,IF(C577="Sale",Bittrex!G577,IF(AND(C577="Trade",'Bittrex Data'!C577="Limit_Sell"),Bittrex!G577,IF(AND(Bittrex!C577="Trade",'Bittrex Data'!C577="Limit_Buy"),F577,"")))))</f>
        <v/>
      </c>
      <c r="J577" t="str">
        <f>IF('Bittrex Data'!B577="","",IF('Bittrex Data'!B577="","",IF(Bittrex!H577=Bittrex!E577,D577,Bittrex!E577)))</f>
        <v/>
      </c>
      <c r="K577" t="str">
        <f>IF('Bittrex Data'!B577="","",IF(Bittrex!I577=Bittrex!G577,Bittrex!F577,Bittrex!G577))</f>
        <v/>
      </c>
    </row>
    <row r="578" spans="3:11" x14ac:dyDescent="0.2">
      <c r="C578" t="str">
        <f>IF('Bittrex Data'!A578="","",IF(AND('Bittrex Data'!C578="LIMIT_SELL",Bittrex!D578="USD"),"Sale",IF(AND('Bittrex Data'!C578="LIMIT_BUY",Bittrex!D578="USD"),"Buy","Trade")))</f>
        <v/>
      </c>
      <c r="D578" t="str">
        <f>IF('Bittrex Data'!B578="","",LEFT(LEFT('Bittrex Data'!B578,SEARCH("-",'Bittrex Data'!B578,1)),LEN(LEFT('Bittrex Data'!B578,SEARCH("-",'Bittrex Data'!B578,1)))-1))</f>
        <v/>
      </c>
      <c r="E578" t="str">
        <f>IF('Bittrex Data'!B578="","",RIGHT(RIGHT('Bittrex Data'!B578,LEN('Bittrex Data'!B578)-SEARCH("-",'Bittrex Data'!B578,1)+1),LEN(RIGHT('Bittrex Data'!B578,LEN('Bittrex Data'!B578)-SEARCH("-",'Bittrex Data'!B578,1)+1))-1))</f>
        <v/>
      </c>
      <c r="F578" t="str">
        <f>IF('Bittrex Data'!C578="","",IF('Bittrex Data'!C578="Limit_Sell",'Bittrex Data'!G578-'Bittrex Data'!F578,IF('Bittrex Data'!C578="Limit_Buy",'Bittrex Data'!G578+'Bittrex Data'!F578,"")))</f>
        <v/>
      </c>
      <c r="G578" t="str">
        <f>IF('Bittrex Data'!B578="","",'Bittrex Data'!D578)</f>
        <v/>
      </c>
      <c r="H578" t="str">
        <f>IF('Bittrex Data'!C578="","",IF(Bittrex!C578="Buy",Bittrex!D578,IF(Bittrex!C578="Sale",Bittrex!E578,IF(AND(Bittrex!C578="Trade",'Bittrex Data'!C578="Limit_Sell"),Bittrex!E578,IF(AND(Bittrex!C578="Trade",'Bittrex Data'!C578="Limit_Buy"),Bittrex!D578,"")))))</f>
        <v/>
      </c>
      <c r="I578" t="str">
        <f>IF('Bittrex Data'!C578="","",IF(Bittrex!C578="Buy",F578,IF(C578="Sale",Bittrex!G578,IF(AND(C578="Trade",'Bittrex Data'!C578="Limit_Sell"),Bittrex!G578,IF(AND(Bittrex!C578="Trade",'Bittrex Data'!C578="Limit_Buy"),F578,"")))))</f>
        <v/>
      </c>
      <c r="J578" t="str">
        <f>IF('Bittrex Data'!B578="","",IF('Bittrex Data'!B578="","",IF(Bittrex!H578=Bittrex!E578,D578,Bittrex!E578)))</f>
        <v/>
      </c>
      <c r="K578" t="str">
        <f>IF('Bittrex Data'!B578="","",IF(Bittrex!I578=Bittrex!G578,Bittrex!F578,Bittrex!G578))</f>
        <v/>
      </c>
    </row>
    <row r="579" spans="3:11" x14ac:dyDescent="0.2">
      <c r="C579" t="str">
        <f>IF('Bittrex Data'!A579="","",IF(AND('Bittrex Data'!C579="LIMIT_SELL",Bittrex!D579="USD"),"Sale",IF(AND('Bittrex Data'!C579="LIMIT_BUY",Bittrex!D579="USD"),"Buy","Trade")))</f>
        <v/>
      </c>
      <c r="D579" t="str">
        <f>IF('Bittrex Data'!B579="","",LEFT(LEFT('Bittrex Data'!B579,SEARCH("-",'Bittrex Data'!B579,1)),LEN(LEFT('Bittrex Data'!B579,SEARCH("-",'Bittrex Data'!B579,1)))-1))</f>
        <v/>
      </c>
      <c r="E579" t="str">
        <f>IF('Bittrex Data'!B579="","",RIGHT(RIGHT('Bittrex Data'!B579,LEN('Bittrex Data'!B579)-SEARCH("-",'Bittrex Data'!B579,1)+1),LEN(RIGHT('Bittrex Data'!B579,LEN('Bittrex Data'!B579)-SEARCH("-",'Bittrex Data'!B579,1)+1))-1))</f>
        <v/>
      </c>
      <c r="F579" t="str">
        <f>IF('Bittrex Data'!C579="","",IF('Bittrex Data'!C579="Limit_Sell",'Bittrex Data'!G579-'Bittrex Data'!F579,IF('Bittrex Data'!C579="Limit_Buy",'Bittrex Data'!G579+'Bittrex Data'!F579,"")))</f>
        <v/>
      </c>
      <c r="G579" t="str">
        <f>IF('Bittrex Data'!B579="","",'Bittrex Data'!D579)</f>
        <v/>
      </c>
      <c r="H579" t="str">
        <f>IF('Bittrex Data'!C579="","",IF(Bittrex!C579="Buy",Bittrex!D579,IF(Bittrex!C579="Sale",Bittrex!E579,IF(AND(Bittrex!C579="Trade",'Bittrex Data'!C579="Limit_Sell"),Bittrex!E579,IF(AND(Bittrex!C579="Trade",'Bittrex Data'!C579="Limit_Buy"),Bittrex!D579,"")))))</f>
        <v/>
      </c>
      <c r="I579" t="str">
        <f>IF('Bittrex Data'!C579="","",IF(Bittrex!C579="Buy",F579,IF(C579="Sale",Bittrex!G579,IF(AND(C579="Trade",'Bittrex Data'!C579="Limit_Sell"),Bittrex!G579,IF(AND(Bittrex!C579="Trade",'Bittrex Data'!C579="Limit_Buy"),F579,"")))))</f>
        <v/>
      </c>
      <c r="J579" t="str">
        <f>IF('Bittrex Data'!B579="","",IF('Bittrex Data'!B579="","",IF(Bittrex!H579=Bittrex!E579,D579,Bittrex!E579)))</f>
        <v/>
      </c>
      <c r="K579" t="str">
        <f>IF('Bittrex Data'!B579="","",IF(Bittrex!I579=Bittrex!G579,Bittrex!F579,Bittrex!G579))</f>
        <v/>
      </c>
    </row>
    <row r="580" spans="3:11" x14ac:dyDescent="0.2">
      <c r="C580" t="str">
        <f>IF('Bittrex Data'!A580="","",IF(AND('Bittrex Data'!C580="LIMIT_SELL",Bittrex!D580="USD"),"Sale",IF(AND('Bittrex Data'!C580="LIMIT_BUY",Bittrex!D580="USD"),"Buy","Trade")))</f>
        <v/>
      </c>
      <c r="D580" t="str">
        <f>IF('Bittrex Data'!B580="","",LEFT(LEFT('Bittrex Data'!B580,SEARCH("-",'Bittrex Data'!B580,1)),LEN(LEFT('Bittrex Data'!B580,SEARCH("-",'Bittrex Data'!B580,1)))-1))</f>
        <v/>
      </c>
      <c r="E580" t="str">
        <f>IF('Bittrex Data'!B580="","",RIGHT(RIGHT('Bittrex Data'!B580,LEN('Bittrex Data'!B580)-SEARCH("-",'Bittrex Data'!B580,1)+1),LEN(RIGHT('Bittrex Data'!B580,LEN('Bittrex Data'!B580)-SEARCH("-",'Bittrex Data'!B580,1)+1))-1))</f>
        <v/>
      </c>
      <c r="F580" t="str">
        <f>IF('Bittrex Data'!C580="","",IF('Bittrex Data'!C580="Limit_Sell",'Bittrex Data'!G580-'Bittrex Data'!F580,IF('Bittrex Data'!C580="Limit_Buy",'Bittrex Data'!G580+'Bittrex Data'!F580,"")))</f>
        <v/>
      </c>
      <c r="G580" t="str">
        <f>IF('Bittrex Data'!B580="","",'Bittrex Data'!D580)</f>
        <v/>
      </c>
      <c r="H580" t="str">
        <f>IF('Bittrex Data'!C580="","",IF(Bittrex!C580="Buy",Bittrex!D580,IF(Bittrex!C580="Sale",Bittrex!E580,IF(AND(Bittrex!C580="Trade",'Bittrex Data'!C580="Limit_Sell"),Bittrex!E580,IF(AND(Bittrex!C580="Trade",'Bittrex Data'!C580="Limit_Buy"),Bittrex!D580,"")))))</f>
        <v/>
      </c>
      <c r="I580" t="str">
        <f>IF('Bittrex Data'!C580="","",IF(Bittrex!C580="Buy",F580,IF(C580="Sale",Bittrex!G580,IF(AND(C580="Trade",'Bittrex Data'!C580="Limit_Sell"),Bittrex!G580,IF(AND(Bittrex!C580="Trade",'Bittrex Data'!C580="Limit_Buy"),F580,"")))))</f>
        <v/>
      </c>
      <c r="J580" t="str">
        <f>IF('Bittrex Data'!B580="","",IF('Bittrex Data'!B580="","",IF(Bittrex!H580=Bittrex!E580,D580,Bittrex!E580)))</f>
        <v/>
      </c>
      <c r="K580" t="str">
        <f>IF('Bittrex Data'!B580="","",IF(Bittrex!I580=Bittrex!G580,Bittrex!F580,Bittrex!G580))</f>
        <v/>
      </c>
    </row>
    <row r="581" spans="3:11" x14ac:dyDescent="0.2">
      <c r="C581" t="str">
        <f>IF('Bittrex Data'!A581="","",IF(AND('Bittrex Data'!C581="LIMIT_SELL",Bittrex!D581="USD"),"Sale",IF(AND('Bittrex Data'!C581="LIMIT_BUY",Bittrex!D581="USD"),"Buy","Trade")))</f>
        <v/>
      </c>
      <c r="D581" t="str">
        <f>IF('Bittrex Data'!B581="","",LEFT(LEFT('Bittrex Data'!B581,SEARCH("-",'Bittrex Data'!B581,1)),LEN(LEFT('Bittrex Data'!B581,SEARCH("-",'Bittrex Data'!B581,1)))-1))</f>
        <v/>
      </c>
      <c r="E581" t="str">
        <f>IF('Bittrex Data'!B581="","",RIGHT(RIGHT('Bittrex Data'!B581,LEN('Bittrex Data'!B581)-SEARCH("-",'Bittrex Data'!B581,1)+1),LEN(RIGHT('Bittrex Data'!B581,LEN('Bittrex Data'!B581)-SEARCH("-",'Bittrex Data'!B581,1)+1))-1))</f>
        <v/>
      </c>
      <c r="F581" t="str">
        <f>IF('Bittrex Data'!C581="","",IF('Bittrex Data'!C581="Limit_Sell",'Bittrex Data'!G581-'Bittrex Data'!F581,IF('Bittrex Data'!C581="Limit_Buy",'Bittrex Data'!G581+'Bittrex Data'!F581,"")))</f>
        <v/>
      </c>
      <c r="G581" t="str">
        <f>IF('Bittrex Data'!B581="","",'Bittrex Data'!D581)</f>
        <v/>
      </c>
      <c r="H581" t="str">
        <f>IF('Bittrex Data'!C581="","",IF(Bittrex!C581="Buy",Bittrex!D581,IF(Bittrex!C581="Sale",Bittrex!E581,IF(AND(Bittrex!C581="Trade",'Bittrex Data'!C581="Limit_Sell"),Bittrex!E581,IF(AND(Bittrex!C581="Trade",'Bittrex Data'!C581="Limit_Buy"),Bittrex!D581,"")))))</f>
        <v/>
      </c>
      <c r="I581" t="str">
        <f>IF('Bittrex Data'!C581="","",IF(Bittrex!C581="Buy",F581,IF(C581="Sale",Bittrex!G581,IF(AND(C581="Trade",'Bittrex Data'!C581="Limit_Sell"),Bittrex!G581,IF(AND(Bittrex!C581="Trade",'Bittrex Data'!C581="Limit_Buy"),F581,"")))))</f>
        <v/>
      </c>
      <c r="J581" t="str">
        <f>IF('Bittrex Data'!B581="","",IF('Bittrex Data'!B581="","",IF(Bittrex!H581=Bittrex!E581,D581,Bittrex!E581)))</f>
        <v/>
      </c>
      <c r="K581" t="str">
        <f>IF('Bittrex Data'!B581="","",IF(Bittrex!I581=Bittrex!G581,Bittrex!F581,Bittrex!G581))</f>
        <v/>
      </c>
    </row>
    <row r="582" spans="3:11" x14ac:dyDescent="0.2">
      <c r="C582" t="str">
        <f>IF('Bittrex Data'!A582="","",IF(AND('Bittrex Data'!C582="LIMIT_SELL",Bittrex!D582="USD"),"Sale",IF(AND('Bittrex Data'!C582="LIMIT_BUY",Bittrex!D582="USD"),"Buy","Trade")))</f>
        <v/>
      </c>
      <c r="D582" t="str">
        <f>IF('Bittrex Data'!B582="","",LEFT(LEFT('Bittrex Data'!B582,SEARCH("-",'Bittrex Data'!B582,1)),LEN(LEFT('Bittrex Data'!B582,SEARCH("-",'Bittrex Data'!B582,1)))-1))</f>
        <v/>
      </c>
      <c r="E582" t="str">
        <f>IF('Bittrex Data'!B582="","",RIGHT(RIGHT('Bittrex Data'!B582,LEN('Bittrex Data'!B582)-SEARCH("-",'Bittrex Data'!B582,1)+1),LEN(RIGHT('Bittrex Data'!B582,LEN('Bittrex Data'!B582)-SEARCH("-",'Bittrex Data'!B582,1)+1))-1))</f>
        <v/>
      </c>
      <c r="F582" t="str">
        <f>IF('Bittrex Data'!C582="","",IF('Bittrex Data'!C582="Limit_Sell",'Bittrex Data'!G582-'Bittrex Data'!F582,IF('Bittrex Data'!C582="Limit_Buy",'Bittrex Data'!G582+'Bittrex Data'!F582,"")))</f>
        <v/>
      </c>
      <c r="G582" t="str">
        <f>IF('Bittrex Data'!B582="","",'Bittrex Data'!D582)</f>
        <v/>
      </c>
      <c r="H582" t="str">
        <f>IF('Bittrex Data'!C582="","",IF(Bittrex!C582="Buy",Bittrex!D582,IF(Bittrex!C582="Sale",Bittrex!E582,IF(AND(Bittrex!C582="Trade",'Bittrex Data'!C582="Limit_Sell"),Bittrex!E582,IF(AND(Bittrex!C582="Trade",'Bittrex Data'!C582="Limit_Buy"),Bittrex!D582,"")))))</f>
        <v/>
      </c>
      <c r="I582" t="str">
        <f>IF('Bittrex Data'!C582="","",IF(Bittrex!C582="Buy",F582,IF(C582="Sale",Bittrex!G582,IF(AND(C582="Trade",'Bittrex Data'!C582="Limit_Sell"),Bittrex!G582,IF(AND(Bittrex!C582="Trade",'Bittrex Data'!C582="Limit_Buy"),F582,"")))))</f>
        <v/>
      </c>
      <c r="J582" t="str">
        <f>IF('Bittrex Data'!B582="","",IF('Bittrex Data'!B582="","",IF(Bittrex!H582=Bittrex!E582,D582,Bittrex!E582)))</f>
        <v/>
      </c>
      <c r="K582" t="str">
        <f>IF('Bittrex Data'!B582="","",IF(Bittrex!I582=Bittrex!G582,Bittrex!F582,Bittrex!G582))</f>
        <v/>
      </c>
    </row>
    <row r="583" spans="3:11" x14ac:dyDescent="0.2">
      <c r="C583" t="str">
        <f>IF('Bittrex Data'!A583="","",IF(AND('Bittrex Data'!C583="LIMIT_SELL",Bittrex!D583="USD"),"Sale",IF(AND('Bittrex Data'!C583="LIMIT_BUY",Bittrex!D583="USD"),"Buy","Trade")))</f>
        <v/>
      </c>
      <c r="D583" t="str">
        <f>IF('Bittrex Data'!B583="","",LEFT(LEFT('Bittrex Data'!B583,SEARCH("-",'Bittrex Data'!B583,1)),LEN(LEFT('Bittrex Data'!B583,SEARCH("-",'Bittrex Data'!B583,1)))-1))</f>
        <v/>
      </c>
      <c r="E583" t="str">
        <f>IF('Bittrex Data'!B583="","",RIGHT(RIGHT('Bittrex Data'!B583,LEN('Bittrex Data'!B583)-SEARCH("-",'Bittrex Data'!B583,1)+1),LEN(RIGHT('Bittrex Data'!B583,LEN('Bittrex Data'!B583)-SEARCH("-",'Bittrex Data'!B583,1)+1))-1))</f>
        <v/>
      </c>
      <c r="F583" t="str">
        <f>IF('Bittrex Data'!C583="","",IF('Bittrex Data'!C583="Limit_Sell",'Bittrex Data'!G583-'Bittrex Data'!F583,IF('Bittrex Data'!C583="Limit_Buy",'Bittrex Data'!G583+'Bittrex Data'!F583,"")))</f>
        <v/>
      </c>
      <c r="G583" t="str">
        <f>IF('Bittrex Data'!B583="","",'Bittrex Data'!D583)</f>
        <v/>
      </c>
      <c r="H583" t="str">
        <f>IF('Bittrex Data'!C583="","",IF(Bittrex!C583="Buy",Bittrex!D583,IF(Bittrex!C583="Sale",Bittrex!E583,IF(AND(Bittrex!C583="Trade",'Bittrex Data'!C583="Limit_Sell"),Bittrex!E583,IF(AND(Bittrex!C583="Trade",'Bittrex Data'!C583="Limit_Buy"),Bittrex!D583,"")))))</f>
        <v/>
      </c>
      <c r="I583" t="str">
        <f>IF('Bittrex Data'!C583="","",IF(Bittrex!C583="Buy",F583,IF(C583="Sale",Bittrex!G583,IF(AND(C583="Trade",'Bittrex Data'!C583="Limit_Sell"),Bittrex!G583,IF(AND(Bittrex!C583="Trade",'Bittrex Data'!C583="Limit_Buy"),F583,"")))))</f>
        <v/>
      </c>
      <c r="J583" t="str">
        <f>IF('Bittrex Data'!B583="","",IF('Bittrex Data'!B583="","",IF(Bittrex!H583=Bittrex!E583,D583,Bittrex!E583)))</f>
        <v/>
      </c>
      <c r="K583" t="str">
        <f>IF('Bittrex Data'!B583="","",IF(Bittrex!I583=Bittrex!G583,Bittrex!F583,Bittrex!G583))</f>
        <v/>
      </c>
    </row>
    <row r="584" spans="3:11" x14ac:dyDescent="0.2">
      <c r="C584" t="str">
        <f>IF('Bittrex Data'!A584="","",IF(AND('Bittrex Data'!C584="LIMIT_SELL",Bittrex!D584="USD"),"Sale",IF(AND('Bittrex Data'!C584="LIMIT_BUY",Bittrex!D584="USD"),"Buy","Trade")))</f>
        <v/>
      </c>
      <c r="D584" t="str">
        <f>IF('Bittrex Data'!B584="","",LEFT(LEFT('Bittrex Data'!B584,SEARCH("-",'Bittrex Data'!B584,1)),LEN(LEFT('Bittrex Data'!B584,SEARCH("-",'Bittrex Data'!B584,1)))-1))</f>
        <v/>
      </c>
      <c r="E584" t="str">
        <f>IF('Bittrex Data'!B584="","",RIGHT(RIGHT('Bittrex Data'!B584,LEN('Bittrex Data'!B584)-SEARCH("-",'Bittrex Data'!B584,1)+1),LEN(RIGHT('Bittrex Data'!B584,LEN('Bittrex Data'!B584)-SEARCH("-",'Bittrex Data'!B584,1)+1))-1))</f>
        <v/>
      </c>
      <c r="F584" t="str">
        <f>IF('Bittrex Data'!C584="","",IF('Bittrex Data'!C584="Limit_Sell",'Bittrex Data'!G584-'Bittrex Data'!F584,IF('Bittrex Data'!C584="Limit_Buy",'Bittrex Data'!G584+'Bittrex Data'!F584,"")))</f>
        <v/>
      </c>
      <c r="G584" t="str">
        <f>IF('Bittrex Data'!B584="","",'Bittrex Data'!D584)</f>
        <v/>
      </c>
      <c r="H584" t="str">
        <f>IF('Bittrex Data'!C584="","",IF(Bittrex!C584="Buy",Bittrex!D584,IF(Bittrex!C584="Sale",Bittrex!E584,IF(AND(Bittrex!C584="Trade",'Bittrex Data'!C584="Limit_Sell"),Bittrex!E584,IF(AND(Bittrex!C584="Trade",'Bittrex Data'!C584="Limit_Buy"),Bittrex!D584,"")))))</f>
        <v/>
      </c>
      <c r="I584" t="str">
        <f>IF('Bittrex Data'!C584="","",IF(Bittrex!C584="Buy",F584,IF(C584="Sale",Bittrex!G584,IF(AND(C584="Trade",'Bittrex Data'!C584="Limit_Sell"),Bittrex!G584,IF(AND(Bittrex!C584="Trade",'Bittrex Data'!C584="Limit_Buy"),F584,"")))))</f>
        <v/>
      </c>
      <c r="J584" t="str">
        <f>IF('Bittrex Data'!B584="","",IF('Bittrex Data'!B584="","",IF(Bittrex!H584=Bittrex!E584,D584,Bittrex!E584)))</f>
        <v/>
      </c>
      <c r="K584" t="str">
        <f>IF('Bittrex Data'!B584="","",IF(Bittrex!I584=Bittrex!G584,Bittrex!F584,Bittrex!G584))</f>
        <v/>
      </c>
    </row>
    <row r="585" spans="3:11" x14ac:dyDescent="0.2">
      <c r="C585" t="str">
        <f>IF('Bittrex Data'!A585="","",IF(AND('Bittrex Data'!C585="LIMIT_SELL",Bittrex!D585="USD"),"Sale",IF(AND('Bittrex Data'!C585="LIMIT_BUY",Bittrex!D585="USD"),"Buy","Trade")))</f>
        <v/>
      </c>
      <c r="D585" t="str">
        <f>IF('Bittrex Data'!B585="","",LEFT(LEFT('Bittrex Data'!B585,SEARCH("-",'Bittrex Data'!B585,1)),LEN(LEFT('Bittrex Data'!B585,SEARCH("-",'Bittrex Data'!B585,1)))-1))</f>
        <v/>
      </c>
      <c r="E585" t="str">
        <f>IF('Bittrex Data'!B585="","",RIGHT(RIGHT('Bittrex Data'!B585,LEN('Bittrex Data'!B585)-SEARCH("-",'Bittrex Data'!B585,1)+1),LEN(RIGHT('Bittrex Data'!B585,LEN('Bittrex Data'!B585)-SEARCH("-",'Bittrex Data'!B585,1)+1))-1))</f>
        <v/>
      </c>
      <c r="F585" t="str">
        <f>IF('Bittrex Data'!C585="","",IF('Bittrex Data'!C585="Limit_Sell",'Bittrex Data'!G585-'Bittrex Data'!F585,IF('Bittrex Data'!C585="Limit_Buy",'Bittrex Data'!G585+'Bittrex Data'!F585,"")))</f>
        <v/>
      </c>
      <c r="G585" t="str">
        <f>IF('Bittrex Data'!B585="","",'Bittrex Data'!D585)</f>
        <v/>
      </c>
      <c r="H585" t="str">
        <f>IF('Bittrex Data'!C585="","",IF(Bittrex!C585="Buy",Bittrex!D585,IF(Bittrex!C585="Sale",Bittrex!E585,IF(AND(Bittrex!C585="Trade",'Bittrex Data'!C585="Limit_Sell"),Bittrex!E585,IF(AND(Bittrex!C585="Trade",'Bittrex Data'!C585="Limit_Buy"),Bittrex!D585,"")))))</f>
        <v/>
      </c>
      <c r="I585" t="str">
        <f>IF('Bittrex Data'!C585="","",IF(Bittrex!C585="Buy",F585,IF(C585="Sale",Bittrex!G585,IF(AND(C585="Trade",'Bittrex Data'!C585="Limit_Sell"),Bittrex!G585,IF(AND(Bittrex!C585="Trade",'Bittrex Data'!C585="Limit_Buy"),F585,"")))))</f>
        <v/>
      </c>
      <c r="J585" t="str">
        <f>IF('Bittrex Data'!B585="","",IF('Bittrex Data'!B585="","",IF(Bittrex!H585=Bittrex!E585,D585,Bittrex!E585)))</f>
        <v/>
      </c>
      <c r="K585" t="str">
        <f>IF('Bittrex Data'!B585="","",IF(Bittrex!I585=Bittrex!G585,Bittrex!F585,Bittrex!G585))</f>
        <v/>
      </c>
    </row>
    <row r="586" spans="3:11" x14ac:dyDescent="0.2">
      <c r="C586" t="str">
        <f>IF('Bittrex Data'!A586="","",IF(AND('Bittrex Data'!C586="LIMIT_SELL",Bittrex!D586="USD"),"Sale",IF(AND('Bittrex Data'!C586="LIMIT_BUY",Bittrex!D586="USD"),"Buy","Trade")))</f>
        <v/>
      </c>
      <c r="D586" t="str">
        <f>IF('Bittrex Data'!B586="","",LEFT(LEFT('Bittrex Data'!B586,SEARCH("-",'Bittrex Data'!B586,1)),LEN(LEFT('Bittrex Data'!B586,SEARCH("-",'Bittrex Data'!B586,1)))-1))</f>
        <v/>
      </c>
      <c r="E586" t="str">
        <f>IF('Bittrex Data'!B586="","",RIGHT(RIGHT('Bittrex Data'!B586,LEN('Bittrex Data'!B586)-SEARCH("-",'Bittrex Data'!B586,1)+1),LEN(RIGHT('Bittrex Data'!B586,LEN('Bittrex Data'!B586)-SEARCH("-",'Bittrex Data'!B586,1)+1))-1))</f>
        <v/>
      </c>
      <c r="F586" t="str">
        <f>IF('Bittrex Data'!C586="","",IF('Bittrex Data'!C586="Limit_Sell",'Bittrex Data'!G586-'Bittrex Data'!F586,IF('Bittrex Data'!C586="Limit_Buy",'Bittrex Data'!G586+'Bittrex Data'!F586,"")))</f>
        <v/>
      </c>
      <c r="G586" t="str">
        <f>IF('Bittrex Data'!B586="","",'Bittrex Data'!D586)</f>
        <v/>
      </c>
      <c r="H586" t="str">
        <f>IF('Bittrex Data'!C586="","",IF(Bittrex!C586="Buy",Bittrex!D586,IF(Bittrex!C586="Sale",Bittrex!E586,IF(AND(Bittrex!C586="Trade",'Bittrex Data'!C586="Limit_Sell"),Bittrex!E586,IF(AND(Bittrex!C586="Trade",'Bittrex Data'!C586="Limit_Buy"),Bittrex!D586,"")))))</f>
        <v/>
      </c>
      <c r="I586" t="str">
        <f>IF('Bittrex Data'!C586="","",IF(Bittrex!C586="Buy",F586,IF(C586="Sale",Bittrex!G586,IF(AND(C586="Trade",'Bittrex Data'!C586="Limit_Sell"),Bittrex!G586,IF(AND(Bittrex!C586="Trade",'Bittrex Data'!C586="Limit_Buy"),F586,"")))))</f>
        <v/>
      </c>
      <c r="J586" t="str">
        <f>IF('Bittrex Data'!B586="","",IF('Bittrex Data'!B586="","",IF(Bittrex!H586=Bittrex!E586,D586,Bittrex!E586)))</f>
        <v/>
      </c>
      <c r="K586" t="str">
        <f>IF('Bittrex Data'!B586="","",IF(Bittrex!I586=Bittrex!G586,Bittrex!F586,Bittrex!G586))</f>
        <v/>
      </c>
    </row>
    <row r="587" spans="3:11" x14ac:dyDescent="0.2">
      <c r="C587" t="str">
        <f>IF('Bittrex Data'!A587="","",IF(AND('Bittrex Data'!C587="LIMIT_SELL",Bittrex!D587="USD"),"Sale",IF(AND('Bittrex Data'!C587="LIMIT_BUY",Bittrex!D587="USD"),"Buy","Trade")))</f>
        <v/>
      </c>
      <c r="D587" t="str">
        <f>IF('Bittrex Data'!B587="","",LEFT(LEFT('Bittrex Data'!B587,SEARCH("-",'Bittrex Data'!B587,1)),LEN(LEFT('Bittrex Data'!B587,SEARCH("-",'Bittrex Data'!B587,1)))-1))</f>
        <v/>
      </c>
      <c r="E587" t="str">
        <f>IF('Bittrex Data'!B587="","",RIGHT(RIGHT('Bittrex Data'!B587,LEN('Bittrex Data'!B587)-SEARCH("-",'Bittrex Data'!B587,1)+1),LEN(RIGHT('Bittrex Data'!B587,LEN('Bittrex Data'!B587)-SEARCH("-",'Bittrex Data'!B587,1)+1))-1))</f>
        <v/>
      </c>
      <c r="F587" t="str">
        <f>IF('Bittrex Data'!C587="","",IF('Bittrex Data'!C587="Limit_Sell",'Bittrex Data'!G587-'Bittrex Data'!F587,IF('Bittrex Data'!C587="Limit_Buy",'Bittrex Data'!G587+'Bittrex Data'!F587,"")))</f>
        <v/>
      </c>
      <c r="G587" t="str">
        <f>IF('Bittrex Data'!B587="","",'Bittrex Data'!D587)</f>
        <v/>
      </c>
      <c r="H587" t="str">
        <f>IF('Bittrex Data'!C587="","",IF(Bittrex!C587="Buy",Bittrex!D587,IF(Bittrex!C587="Sale",Bittrex!E587,IF(AND(Bittrex!C587="Trade",'Bittrex Data'!C587="Limit_Sell"),Bittrex!E587,IF(AND(Bittrex!C587="Trade",'Bittrex Data'!C587="Limit_Buy"),Bittrex!D587,"")))))</f>
        <v/>
      </c>
      <c r="I587" t="str">
        <f>IF('Bittrex Data'!C587="","",IF(Bittrex!C587="Buy",F587,IF(C587="Sale",Bittrex!G587,IF(AND(C587="Trade",'Bittrex Data'!C587="Limit_Sell"),Bittrex!G587,IF(AND(Bittrex!C587="Trade",'Bittrex Data'!C587="Limit_Buy"),F587,"")))))</f>
        <v/>
      </c>
      <c r="J587" t="str">
        <f>IF('Bittrex Data'!B587="","",IF('Bittrex Data'!B587="","",IF(Bittrex!H587=Bittrex!E587,D587,Bittrex!E587)))</f>
        <v/>
      </c>
      <c r="K587" t="str">
        <f>IF('Bittrex Data'!B587="","",IF(Bittrex!I587=Bittrex!G587,Bittrex!F587,Bittrex!G587))</f>
        <v/>
      </c>
    </row>
    <row r="588" spans="3:11" x14ac:dyDescent="0.2">
      <c r="C588" t="str">
        <f>IF('Bittrex Data'!A588="","",IF(AND('Bittrex Data'!C588="LIMIT_SELL",Bittrex!D588="USD"),"Sale",IF(AND('Bittrex Data'!C588="LIMIT_BUY",Bittrex!D588="USD"),"Buy","Trade")))</f>
        <v/>
      </c>
      <c r="D588" t="str">
        <f>IF('Bittrex Data'!B588="","",LEFT(LEFT('Bittrex Data'!B588,SEARCH("-",'Bittrex Data'!B588,1)),LEN(LEFT('Bittrex Data'!B588,SEARCH("-",'Bittrex Data'!B588,1)))-1))</f>
        <v/>
      </c>
      <c r="E588" t="str">
        <f>IF('Bittrex Data'!B588="","",RIGHT(RIGHT('Bittrex Data'!B588,LEN('Bittrex Data'!B588)-SEARCH("-",'Bittrex Data'!B588,1)+1),LEN(RIGHT('Bittrex Data'!B588,LEN('Bittrex Data'!B588)-SEARCH("-",'Bittrex Data'!B588,1)+1))-1))</f>
        <v/>
      </c>
      <c r="F588" t="str">
        <f>IF('Bittrex Data'!C588="","",IF('Bittrex Data'!C588="Limit_Sell",'Bittrex Data'!G588-'Bittrex Data'!F588,IF('Bittrex Data'!C588="Limit_Buy",'Bittrex Data'!G588+'Bittrex Data'!F588,"")))</f>
        <v/>
      </c>
      <c r="G588" t="str">
        <f>IF('Bittrex Data'!B588="","",'Bittrex Data'!D588)</f>
        <v/>
      </c>
      <c r="H588" t="str">
        <f>IF('Bittrex Data'!C588="","",IF(Bittrex!C588="Buy",Bittrex!D588,IF(Bittrex!C588="Sale",Bittrex!E588,IF(AND(Bittrex!C588="Trade",'Bittrex Data'!C588="Limit_Sell"),Bittrex!E588,IF(AND(Bittrex!C588="Trade",'Bittrex Data'!C588="Limit_Buy"),Bittrex!D588,"")))))</f>
        <v/>
      </c>
      <c r="I588" t="str">
        <f>IF('Bittrex Data'!C588="","",IF(Bittrex!C588="Buy",F588,IF(C588="Sale",Bittrex!G588,IF(AND(C588="Trade",'Bittrex Data'!C588="Limit_Sell"),Bittrex!G588,IF(AND(Bittrex!C588="Trade",'Bittrex Data'!C588="Limit_Buy"),F588,"")))))</f>
        <v/>
      </c>
      <c r="J588" t="str">
        <f>IF('Bittrex Data'!B588="","",IF('Bittrex Data'!B588="","",IF(Bittrex!H588=Bittrex!E588,D588,Bittrex!E588)))</f>
        <v/>
      </c>
      <c r="K588" t="str">
        <f>IF('Bittrex Data'!B588="","",IF(Bittrex!I588=Bittrex!G588,Bittrex!F588,Bittrex!G588))</f>
        <v/>
      </c>
    </row>
    <row r="589" spans="3:11" x14ac:dyDescent="0.2">
      <c r="C589" t="str">
        <f>IF('Bittrex Data'!A589="","",IF(AND('Bittrex Data'!C589="LIMIT_SELL",Bittrex!D589="USD"),"Sale",IF(AND('Bittrex Data'!C589="LIMIT_BUY",Bittrex!D589="USD"),"Buy","Trade")))</f>
        <v/>
      </c>
      <c r="D589" t="str">
        <f>IF('Bittrex Data'!B589="","",LEFT(LEFT('Bittrex Data'!B589,SEARCH("-",'Bittrex Data'!B589,1)),LEN(LEFT('Bittrex Data'!B589,SEARCH("-",'Bittrex Data'!B589,1)))-1))</f>
        <v/>
      </c>
      <c r="E589" t="str">
        <f>IF('Bittrex Data'!B589="","",RIGHT(RIGHT('Bittrex Data'!B589,LEN('Bittrex Data'!B589)-SEARCH("-",'Bittrex Data'!B589,1)+1),LEN(RIGHT('Bittrex Data'!B589,LEN('Bittrex Data'!B589)-SEARCH("-",'Bittrex Data'!B589,1)+1))-1))</f>
        <v/>
      </c>
      <c r="F589" t="str">
        <f>IF('Bittrex Data'!C589="","",IF('Bittrex Data'!C589="Limit_Sell",'Bittrex Data'!G589-'Bittrex Data'!F589,IF('Bittrex Data'!C589="Limit_Buy",'Bittrex Data'!G589+'Bittrex Data'!F589,"")))</f>
        <v/>
      </c>
      <c r="G589" t="str">
        <f>IF('Bittrex Data'!B589="","",'Bittrex Data'!D589)</f>
        <v/>
      </c>
      <c r="H589" t="str">
        <f>IF('Bittrex Data'!C589="","",IF(Bittrex!C589="Buy",Bittrex!D589,IF(Bittrex!C589="Sale",Bittrex!E589,IF(AND(Bittrex!C589="Trade",'Bittrex Data'!C589="Limit_Sell"),Bittrex!E589,IF(AND(Bittrex!C589="Trade",'Bittrex Data'!C589="Limit_Buy"),Bittrex!D589,"")))))</f>
        <v/>
      </c>
      <c r="I589" t="str">
        <f>IF('Bittrex Data'!C589="","",IF(Bittrex!C589="Buy",F589,IF(C589="Sale",Bittrex!G589,IF(AND(C589="Trade",'Bittrex Data'!C589="Limit_Sell"),Bittrex!G589,IF(AND(Bittrex!C589="Trade",'Bittrex Data'!C589="Limit_Buy"),F589,"")))))</f>
        <v/>
      </c>
      <c r="J589" t="str">
        <f>IF('Bittrex Data'!B589="","",IF('Bittrex Data'!B589="","",IF(Bittrex!H589=Bittrex!E589,D589,Bittrex!E589)))</f>
        <v/>
      </c>
      <c r="K589" t="str">
        <f>IF('Bittrex Data'!B589="","",IF(Bittrex!I589=Bittrex!G589,Bittrex!F589,Bittrex!G589))</f>
        <v/>
      </c>
    </row>
    <row r="590" spans="3:11" x14ac:dyDescent="0.2">
      <c r="C590" t="str">
        <f>IF('Bittrex Data'!A590="","",IF(AND('Bittrex Data'!C590="LIMIT_SELL",Bittrex!D590="USD"),"Sale",IF(AND('Bittrex Data'!C590="LIMIT_BUY",Bittrex!D590="USD"),"Buy","Trade")))</f>
        <v/>
      </c>
      <c r="D590" t="str">
        <f>IF('Bittrex Data'!B590="","",LEFT(LEFT('Bittrex Data'!B590,SEARCH("-",'Bittrex Data'!B590,1)),LEN(LEFT('Bittrex Data'!B590,SEARCH("-",'Bittrex Data'!B590,1)))-1))</f>
        <v/>
      </c>
      <c r="E590" t="str">
        <f>IF('Bittrex Data'!B590="","",RIGHT(RIGHT('Bittrex Data'!B590,LEN('Bittrex Data'!B590)-SEARCH("-",'Bittrex Data'!B590,1)+1),LEN(RIGHT('Bittrex Data'!B590,LEN('Bittrex Data'!B590)-SEARCH("-",'Bittrex Data'!B590,1)+1))-1))</f>
        <v/>
      </c>
      <c r="F590" t="str">
        <f>IF('Bittrex Data'!C590="","",IF('Bittrex Data'!C590="Limit_Sell",'Bittrex Data'!G590-'Bittrex Data'!F590,IF('Bittrex Data'!C590="Limit_Buy",'Bittrex Data'!G590+'Bittrex Data'!F590,"")))</f>
        <v/>
      </c>
      <c r="G590" t="str">
        <f>IF('Bittrex Data'!B590="","",'Bittrex Data'!D590)</f>
        <v/>
      </c>
      <c r="H590" t="str">
        <f>IF('Bittrex Data'!C590="","",IF(Bittrex!C590="Buy",Bittrex!D590,IF(Bittrex!C590="Sale",Bittrex!E590,IF(AND(Bittrex!C590="Trade",'Bittrex Data'!C590="Limit_Sell"),Bittrex!E590,IF(AND(Bittrex!C590="Trade",'Bittrex Data'!C590="Limit_Buy"),Bittrex!D590,"")))))</f>
        <v/>
      </c>
      <c r="I590" t="str">
        <f>IF('Bittrex Data'!C590="","",IF(Bittrex!C590="Buy",F590,IF(C590="Sale",Bittrex!G590,IF(AND(C590="Trade",'Bittrex Data'!C590="Limit_Sell"),Bittrex!G590,IF(AND(Bittrex!C590="Trade",'Bittrex Data'!C590="Limit_Buy"),F590,"")))))</f>
        <v/>
      </c>
      <c r="J590" t="str">
        <f>IF('Bittrex Data'!B590="","",IF('Bittrex Data'!B590="","",IF(Bittrex!H590=Bittrex!E590,D590,Bittrex!E590)))</f>
        <v/>
      </c>
      <c r="K590" t="str">
        <f>IF('Bittrex Data'!B590="","",IF(Bittrex!I590=Bittrex!G590,Bittrex!F590,Bittrex!G590))</f>
        <v/>
      </c>
    </row>
    <row r="591" spans="3:11" x14ac:dyDescent="0.2">
      <c r="C591" t="str">
        <f>IF('Bittrex Data'!A591="","",IF(AND('Bittrex Data'!C591="LIMIT_SELL",Bittrex!D591="USD"),"Sale",IF(AND('Bittrex Data'!C591="LIMIT_BUY",Bittrex!D591="USD"),"Buy","Trade")))</f>
        <v/>
      </c>
      <c r="D591" t="str">
        <f>IF('Bittrex Data'!B591="","",LEFT(LEFT('Bittrex Data'!B591,SEARCH("-",'Bittrex Data'!B591,1)),LEN(LEFT('Bittrex Data'!B591,SEARCH("-",'Bittrex Data'!B591,1)))-1))</f>
        <v/>
      </c>
      <c r="E591" t="str">
        <f>IF('Bittrex Data'!B591="","",RIGHT(RIGHT('Bittrex Data'!B591,LEN('Bittrex Data'!B591)-SEARCH("-",'Bittrex Data'!B591,1)+1),LEN(RIGHT('Bittrex Data'!B591,LEN('Bittrex Data'!B591)-SEARCH("-",'Bittrex Data'!B591,1)+1))-1))</f>
        <v/>
      </c>
      <c r="F591" t="str">
        <f>IF('Bittrex Data'!C591="","",IF('Bittrex Data'!C591="Limit_Sell",'Bittrex Data'!G591-'Bittrex Data'!F591,IF('Bittrex Data'!C591="Limit_Buy",'Bittrex Data'!G591+'Bittrex Data'!F591,"")))</f>
        <v/>
      </c>
      <c r="G591" t="str">
        <f>IF('Bittrex Data'!B591="","",'Bittrex Data'!D591)</f>
        <v/>
      </c>
      <c r="H591" t="str">
        <f>IF('Bittrex Data'!C591="","",IF(Bittrex!C591="Buy",Bittrex!D591,IF(Bittrex!C591="Sale",Bittrex!E591,IF(AND(Bittrex!C591="Trade",'Bittrex Data'!C591="Limit_Sell"),Bittrex!E591,IF(AND(Bittrex!C591="Trade",'Bittrex Data'!C591="Limit_Buy"),Bittrex!D591,"")))))</f>
        <v/>
      </c>
      <c r="I591" t="str">
        <f>IF('Bittrex Data'!C591="","",IF(Bittrex!C591="Buy",F591,IF(C591="Sale",Bittrex!G591,IF(AND(C591="Trade",'Bittrex Data'!C591="Limit_Sell"),Bittrex!G591,IF(AND(Bittrex!C591="Trade",'Bittrex Data'!C591="Limit_Buy"),F591,"")))))</f>
        <v/>
      </c>
      <c r="J591" t="str">
        <f>IF('Bittrex Data'!B591="","",IF('Bittrex Data'!B591="","",IF(Bittrex!H591=Bittrex!E591,D591,Bittrex!E591)))</f>
        <v/>
      </c>
      <c r="K591" t="str">
        <f>IF('Bittrex Data'!B591="","",IF(Bittrex!I591=Bittrex!G591,Bittrex!F591,Bittrex!G591))</f>
        <v/>
      </c>
    </row>
    <row r="592" spans="3:11" x14ac:dyDescent="0.2">
      <c r="C592" t="str">
        <f>IF('Bittrex Data'!A592="","",IF(AND('Bittrex Data'!C592="LIMIT_SELL",Bittrex!D592="USD"),"Sale",IF(AND('Bittrex Data'!C592="LIMIT_BUY",Bittrex!D592="USD"),"Buy","Trade")))</f>
        <v/>
      </c>
      <c r="D592" t="str">
        <f>IF('Bittrex Data'!B592="","",LEFT(LEFT('Bittrex Data'!B592,SEARCH("-",'Bittrex Data'!B592,1)),LEN(LEFT('Bittrex Data'!B592,SEARCH("-",'Bittrex Data'!B592,1)))-1))</f>
        <v/>
      </c>
      <c r="E592" t="str">
        <f>IF('Bittrex Data'!B592="","",RIGHT(RIGHT('Bittrex Data'!B592,LEN('Bittrex Data'!B592)-SEARCH("-",'Bittrex Data'!B592,1)+1),LEN(RIGHT('Bittrex Data'!B592,LEN('Bittrex Data'!B592)-SEARCH("-",'Bittrex Data'!B592,1)+1))-1))</f>
        <v/>
      </c>
      <c r="F592" t="str">
        <f>IF('Bittrex Data'!C592="","",IF('Bittrex Data'!C592="Limit_Sell",'Bittrex Data'!G592-'Bittrex Data'!F592,IF('Bittrex Data'!C592="Limit_Buy",'Bittrex Data'!G592+'Bittrex Data'!F592,"")))</f>
        <v/>
      </c>
      <c r="G592" t="str">
        <f>IF('Bittrex Data'!B592="","",'Bittrex Data'!D592)</f>
        <v/>
      </c>
      <c r="H592" t="str">
        <f>IF('Bittrex Data'!C592="","",IF(Bittrex!C592="Buy",Bittrex!D592,IF(Bittrex!C592="Sale",Bittrex!E592,IF(AND(Bittrex!C592="Trade",'Bittrex Data'!C592="Limit_Sell"),Bittrex!E592,IF(AND(Bittrex!C592="Trade",'Bittrex Data'!C592="Limit_Buy"),Bittrex!D592,"")))))</f>
        <v/>
      </c>
      <c r="I592" t="str">
        <f>IF('Bittrex Data'!C592="","",IF(Bittrex!C592="Buy",F592,IF(C592="Sale",Bittrex!G592,IF(AND(C592="Trade",'Bittrex Data'!C592="Limit_Sell"),Bittrex!G592,IF(AND(Bittrex!C592="Trade",'Bittrex Data'!C592="Limit_Buy"),F592,"")))))</f>
        <v/>
      </c>
      <c r="J592" t="str">
        <f>IF('Bittrex Data'!B592="","",IF('Bittrex Data'!B592="","",IF(Bittrex!H592=Bittrex!E592,D592,Bittrex!E592)))</f>
        <v/>
      </c>
      <c r="K592" t="str">
        <f>IF('Bittrex Data'!B592="","",IF(Bittrex!I592=Bittrex!G592,Bittrex!F592,Bittrex!G592))</f>
        <v/>
      </c>
    </row>
    <row r="593" spans="3:11" x14ac:dyDescent="0.2">
      <c r="C593" t="str">
        <f>IF('Bittrex Data'!A593="","",IF(AND('Bittrex Data'!C593="LIMIT_SELL",Bittrex!D593="USD"),"Sale",IF(AND('Bittrex Data'!C593="LIMIT_BUY",Bittrex!D593="USD"),"Buy","Trade")))</f>
        <v/>
      </c>
      <c r="D593" t="str">
        <f>IF('Bittrex Data'!B593="","",LEFT(LEFT('Bittrex Data'!B593,SEARCH("-",'Bittrex Data'!B593,1)),LEN(LEFT('Bittrex Data'!B593,SEARCH("-",'Bittrex Data'!B593,1)))-1))</f>
        <v/>
      </c>
      <c r="E593" t="str">
        <f>IF('Bittrex Data'!B593="","",RIGHT(RIGHT('Bittrex Data'!B593,LEN('Bittrex Data'!B593)-SEARCH("-",'Bittrex Data'!B593,1)+1),LEN(RIGHT('Bittrex Data'!B593,LEN('Bittrex Data'!B593)-SEARCH("-",'Bittrex Data'!B593,1)+1))-1))</f>
        <v/>
      </c>
      <c r="F593" t="str">
        <f>IF('Bittrex Data'!C593="","",IF('Bittrex Data'!C593="Limit_Sell",'Bittrex Data'!G593-'Bittrex Data'!F593,IF('Bittrex Data'!C593="Limit_Buy",'Bittrex Data'!G593+'Bittrex Data'!F593,"")))</f>
        <v/>
      </c>
      <c r="G593" t="str">
        <f>IF('Bittrex Data'!B593="","",'Bittrex Data'!D593)</f>
        <v/>
      </c>
      <c r="H593" t="str">
        <f>IF('Bittrex Data'!C593="","",IF(Bittrex!C593="Buy",Bittrex!D593,IF(Bittrex!C593="Sale",Bittrex!E593,IF(AND(Bittrex!C593="Trade",'Bittrex Data'!C593="Limit_Sell"),Bittrex!E593,IF(AND(Bittrex!C593="Trade",'Bittrex Data'!C593="Limit_Buy"),Bittrex!D593,"")))))</f>
        <v/>
      </c>
      <c r="I593" t="str">
        <f>IF('Bittrex Data'!C593="","",IF(Bittrex!C593="Buy",F593,IF(C593="Sale",Bittrex!G593,IF(AND(C593="Trade",'Bittrex Data'!C593="Limit_Sell"),Bittrex!G593,IF(AND(Bittrex!C593="Trade",'Bittrex Data'!C593="Limit_Buy"),F593,"")))))</f>
        <v/>
      </c>
      <c r="J593" t="str">
        <f>IF('Bittrex Data'!B593="","",IF('Bittrex Data'!B593="","",IF(Bittrex!H593=Bittrex!E593,D593,Bittrex!E593)))</f>
        <v/>
      </c>
      <c r="K593" t="str">
        <f>IF('Bittrex Data'!B593="","",IF(Bittrex!I593=Bittrex!G593,Bittrex!F593,Bittrex!G593))</f>
        <v/>
      </c>
    </row>
    <row r="594" spans="3:11" x14ac:dyDescent="0.2">
      <c r="C594" t="str">
        <f>IF('Bittrex Data'!A594="","",IF(AND('Bittrex Data'!C594="LIMIT_SELL",Bittrex!D594="USD"),"Sale",IF(AND('Bittrex Data'!C594="LIMIT_BUY",Bittrex!D594="USD"),"Buy","Trade")))</f>
        <v/>
      </c>
      <c r="D594" t="str">
        <f>IF('Bittrex Data'!B594="","",LEFT(LEFT('Bittrex Data'!B594,SEARCH("-",'Bittrex Data'!B594,1)),LEN(LEFT('Bittrex Data'!B594,SEARCH("-",'Bittrex Data'!B594,1)))-1))</f>
        <v/>
      </c>
      <c r="E594" t="str">
        <f>IF('Bittrex Data'!B594="","",RIGHT(RIGHT('Bittrex Data'!B594,LEN('Bittrex Data'!B594)-SEARCH("-",'Bittrex Data'!B594,1)+1),LEN(RIGHT('Bittrex Data'!B594,LEN('Bittrex Data'!B594)-SEARCH("-",'Bittrex Data'!B594,1)+1))-1))</f>
        <v/>
      </c>
      <c r="F594" t="str">
        <f>IF('Bittrex Data'!C594="","",IF('Bittrex Data'!C594="Limit_Sell",'Bittrex Data'!G594-'Bittrex Data'!F594,IF('Bittrex Data'!C594="Limit_Buy",'Bittrex Data'!G594+'Bittrex Data'!F594,"")))</f>
        <v/>
      </c>
      <c r="G594" t="str">
        <f>IF('Bittrex Data'!B594="","",'Bittrex Data'!D594)</f>
        <v/>
      </c>
      <c r="H594" t="str">
        <f>IF('Bittrex Data'!C594="","",IF(Bittrex!C594="Buy",Bittrex!D594,IF(Bittrex!C594="Sale",Bittrex!E594,IF(AND(Bittrex!C594="Trade",'Bittrex Data'!C594="Limit_Sell"),Bittrex!E594,IF(AND(Bittrex!C594="Trade",'Bittrex Data'!C594="Limit_Buy"),Bittrex!D594,"")))))</f>
        <v/>
      </c>
      <c r="I594" t="str">
        <f>IF('Bittrex Data'!C594="","",IF(Bittrex!C594="Buy",F594,IF(C594="Sale",Bittrex!G594,IF(AND(C594="Trade",'Bittrex Data'!C594="Limit_Sell"),Bittrex!G594,IF(AND(Bittrex!C594="Trade",'Bittrex Data'!C594="Limit_Buy"),F594,"")))))</f>
        <v/>
      </c>
      <c r="J594" t="str">
        <f>IF('Bittrex Data'!B594="","",IF('Bittrex Data'!B594="","",IF(Bittrex!H594=Bittrex!E594,D594,Bittrex!E594)))</f>
        <v/>
      </c>
      <c r="K594" t="str">
        <f>IF('Bittrex Data'!B594="","",IF(Bittrex!I594=Bittrex!G594,Bittrex!F594,Bittrex!G594))</f>
        <v/>
      </c>
    </row>
    <row r="595" spans="3:11" x14ac:dyDescent="0.2">
      <c r="C595" t="str">
        <f>IF('Bittrex Data'!A595="","",IF(AND('Bittrex Data'!C595="LIMIT_SELL",Bittrex!D595="USD"),"Sale",IF(AND('Bittrex Data'!C595="LIMIT_BUY",Bittrex!D595="USD"),"Buy","Trade")))</f>
        <v/>
      </c>
      <c r="D595" t="str">
        <f>IF('Bittrex Data'!B595="","",LEFT(LEFT('Bittrex Data'!B595,SEARCH("-",'Bittrex Data'!B595,1)),LEN(LEFT('Bittrex Data'!B595,SEARCH("-",'Bittrex Data'!B595,1)))-1))</f>
        <v/>
      </c>
      <c r="E595" t="str">
        <f>IF('Bittrex Data'!B595="","",RIGHT(RIGHT('Bittrex Data'!B595,LEN('Bittrex Data'!B595)-SEARCH("-",'Bittrex Data'!B595,1)+1),LEN(RIGHT('Bittrex Data'!B595,LEN('Bittrex Data'!B595)-SEARCH("-",'Bittrex Data'!B595,1)+1))-1))</f>
        <v/>
      </c>
      <c r="F595" t="str">
        <f>IF('Bittrex Data'!C595="","",IF('Bittrex Data'!C595="Limit_Sell",'Bittrex Data'!G595-'Bittrex Data'!F595,IF('Bittrex Data'!C595="Limit_Buy",'Bittrex Data'!G595+'Bittrex Data'!F595,"")))</f>
        <v/>
      </c>
      <c r="G595" t="str">
        <f>IF('Bittrex Data'!B595="","",'Bittrex Data'!D595)</f>
        <v/>
      </c>
      <c r="H595" t="str">
        <f>IF('Bittrex Data'!C595="","",IF(Bittrex!C595="Buy",Bittrex!D595,IF(Bittrex!C595="Sale",Bittrex!E595,IF(AND(Bittrex!C595="Trade",'Bittrex Data'!C595="Limit_Sell"),Bittrex!E595,IF(AND(Bittrex!C595="Trade",'Bittrex Data'!C595="Limit_Buy"),Bittrex!D595,"")))))</f>
        <v/>
      </c>
      <c r="I595" t="str">
        <f>IF('Bittrex Data'!C595="","",IF(Bittrex!C595="Buy",F595,IF(C595="Sale",Bittrex!G595,IF(AND(C595="Trade",'Bittrex Data'!C595="Limit_Sell"),Bittrex!G595,IF(AND(Bittrex!C595="Trade",'Bittrex Data'!C595="Limit_Buy"),F595,"")))))</f>
        <v/>
      </c>
      <c r="J595" t="str">
        <f>IF('Bittrex Data'!B595="","",IF('Bittrex Data'!B595="","",IF(Bittrex!H595=Bittrex!E595,D595,Bittrex!E595)))</f>
        <v/>
      </c>
      <c r="K595" t="str">
        <f>IF('Bittrex Data'!B595="","",IF(Bittrex!I595=Bittrex!G595,Bittrex!F595,Bittrex!G595))</f>
        <v/>
      </c>
    </row>
    <row r="596" spans="3:11" x14ac:dyDescent="0.2">
      <c r="C596" t="str">
        <f>IF('Bittrex Data'!A596="","",IF(AND('Bittrex Data'!C596="LIMIT_SELL",Bittrex!D596="USD"),"Sale",IF(AND('Bittrex Data'!C596="LIMIT_BUY",Bittrex!D596="USD"),"Buy","Trade")))</f>
        <v/>
      </c>
      <c r="D596" t="str">
        <f>IF('Bittrex Data'!B596="","",LEFT(LEFT('Bittrex Data'!B596,SEARCH("-",'Bittrex Data'!B596,1)),LEN(LEFT('Bittrex Data'!B596,SEARCH("-",'Bittrex Data'!B596,1)))-1))</f>
        <v/>
      </c>
      <c r="E596" t="str">
        <f>IF('Bittrex Data'!B596="","",RIGHT(RIGHT('Bittrex Data'!B596,LEN('Bittrex Data'!B596)-SEARCH("-",'Bittrex Data'!B596,1)+1),LEN(RIGHT('Bittrex Data'!B596,LEN('Bittrex Data'!B596)-SEARCH("-",'Bittrex Data'!B596,1)+1))-1))</f>
        <v/>
      </c>
      <c r="F596" t="str">
        <f>IF('Bittrex Data'!C596="","",IF('Bittrex Data'!C596="Limit_Sell",'Bittrex Data'!G596-'Bittrex Data'!F596,IF('Bittrex Data'!C596="Limit_Buy",'Bittrex Data'!G596+'Bittrex Data'!F596,"")))</f>
        <v/>
      </c>
      <c r="G596" t="str">
        <f>IF('Bittrex Data'!B596="","",'Bittrex Data'!D596)</f>
        <v/>
      </c>
      <c r="H596" t="str">
        <f>IF('Bittrex Data'!C596="","",IF(Bittrex!C596="Buy",Bittrex!D596,IF(Bittrex!C596="Sale",Bittrex!E596,IF(AND(Bittrex!C596="Trade",'Bittrex Data'!C596="Limit_Sell"),Bittrex!E596,IF(AND(Bittrex!C596="Trade",'Bittrex Data'!C596="Limit_Buy"),Bittrex!D596,"")))))</f>
        <v/>
      </c>
      <c r="I596" t="str">
        <f>IF('Bittrex Data'!C596="","",IF(Bittrex!C596="Buy",F596,IF(C596="Sale",Bittrex!G596,IF(AND(C596="Trade",'Bittrex Data'!C596="Limit_Sell"),Bittrex!G596,IF(AND(Bittrex!C596="Trade",'Bittrex Data'!C596="Limit_Buy"),F596,"")))))</f>
        <v/>
      </c>
      <c r="J596" t="str">
        <f>IF('Bittrex Data'!B596="","",IF('Bittrex Data'!B596="","",IF(Bittrex!H596=Bittrex!E596,D596,Bittrex!E596)))</f>
        <v/>
      </c>
      <c r="K596" t="str">
        <f>IF('Bittrex Data'!B596="","",IF(Bittrex!I596=Bittrex!G596,Bittrex!F596,Bittrex!G596))</f>
        <v/>
      </c>
    </row>
    <row r="597" spans="3:11" x14ac:dyDescent="0.2">
      <c r="C597" t="str">
        <f>IF('Bittrex Data'!A597="","",IF(AND('Bittrex Data'!C597="LIMIT_SELL",Bittrex!D597="USD"),"Sale",IF(AND('Bittrex Data'!C597="LIMIT_BUY",Bittrex!D597="USD"),"Buy","Trade")))</f>
        <v/>
      </c>
      <c r="D597" t="str">
        <f>IF('Bittrex Data'!B597="","",LEFT(LEFT('Bittrex Data'!B597,SEARCH("-",'Bittrex Data'!B597,1)),LEN(LEFT('Bittrex Data'!B597,SEARCH("-",'Bittrex Data'!B597,1)))-1))</f>
        <v/>
      </c>
      <c r="E597" t="str">
        <f>IF('Bittrex Data'!B597="","",RIGHT(RIGHT('Bittrex Data'!B597,LEN('Bittrex Data'!B597)-SEARCH("-",'Bittrex Data'!B597,1)+1),LEN(RIGHT('Bittrex Data'!B597,LEN('Bittrex Data'!B597)-SEARCH("-",'Bittrex Data'!B597,1)+1))-1))</f>
        <v/>
      </c>
      <c r="F597" t="str">
        <f>IF('Bittrex Data'!C597="","",IF('Bittrex Data'!C597="Limit_Sell",'Bittrex Data'!G597-'Bittrex Data'!F597,IF('Bittrex Data'!C597="Limit_Buy",'Bittrex Data'!G597+'Bittrex Data'!F597,"")))</f>
        <v/>
      </c>
      <c r="G597" t="str">
        <f>IF('Bittrex Data'!B597="","",'Bittrex Data'!D597)</f>
        <v/>
      </c>
      <c r="H597" t="str">
        <f>IF('Bittrex Data'!C597="","",IF(Bittrex!C597="Buy",Bittrex!D597,IF(Bittrex!C597="Sale",Bittrex!E597,IF(AND(Bittrex!C597="Trade",'Bittrex Data'!C597="Limit_Sell"),Bittrex!E597,IF(AND(Bittrex!C597="Trade",'Bittrex Data'!C597="Limit_Buy"),Bittrex!D597,"")))))</f>
        <v/>
      </c>
      <c r="I597" t="str">
        <f>IF('Bittrex Data'!C597="","",IF(Bittrex!C597="Buy",F597,IF(C597="Sale",Bittrex!G597,IF(AND(C597="Trade",'Bittrex Data'!C597="Limit_Sell"),Bittrex!G597,IF(AND(Bittrex!C597="Trade",'Bittrex Data'!C597="Limit_Buy"),F597,"")))))</f>
        <v/>
      </c>
      <c r="J597" t="str">
        <f>IF('Bittrex Data'!B597="","",IF('Bittrex Data'!B597="","",IF(Bittrex!H597=Bittrex!E597,D597,Bittrex!E597)))</f>
        <v/>
      </c>
      <c r="K597" t="str">
        <f>IF('Bittrex Data'!B597="","",IF(Bittrex!I597=Bittrex!G597,Bittrex!F597,Bittrex!G597))</f>
        <v/>
      </c>
    </row>
    <row r="598" spans="3:11" x14ac:dyDescent="0.2">
      <c r="C598" t="str">
        <f>IF('Bittrex Data'!A598="","",IF(AND('Bittrex Data'!C598="LIMIT_SELL",Bittrex!D598="USD"),"Sale",IF(AND('Bittrex Data'!C598="LIMIT_BUY",Bittrex!D598="USD"),"Buy","Trade")))</f>
        <v/>
      </c>
      <c r="D598" t="str">
        <f>IF('Bittrex Data'!B598="","",LEFT(LEFT('Bittrex Data'!B598,SEARCH("-",'Bittrex Data'!B598,1)),LEN(LEFT('Bittrex Data'!B598,SEARCH("-",'Bittrex Data'!B598,1)))-1))</f>
        <v/>
      </c>
      <c r="E598" t="str">
        <f>IF('Bittrex Data'!B598="","",RIGHT(RIGHT('Bittrex Data'!B598,LEN('Bittrex Data'!B598)-SEARCH("-",'Bittrex Data'!B598,1)+1),LEN(RIGHT('Bittrex Data'!B598,LEN('Bittrex Data'!B598)-SEARCH("-",'Bittrex Data'!B598,1)+1))-1))</f>
        <v/>
      </c>
      <c r="F598" t="str">
        <f>IF('Bittrex Data'!C598="","",IF('Bittrex Data'!C598="Limit_Sell",'Bittrex Data'!G598-'Bittrex Data'!F598,IF('Bittrex Data'!C598="Limit_Buy",'Bittrex Data'!G598+'Bittrex Data'!F598,"")))</f>
        <v/>
      </c>
      <c r="G598" t="str">
        <f>IF('Bittrex Data'!B598="","",'Bittrex Data'!D598)</f>
        <v/>
      </c>
      <c r="H598" t="str">
        <f>IF('Bittrex Data'!C598="","",IF(Bittrex!C598="Buy",Bittrex!D598,IF(Bittrex!C598="Sale",Bittrex!E598,IF(AND(Bittrex!C598="Trade",'Bittrex Data'!C598="Limit_Sell"),Bittrex!E598,IF(AND(Bittrex!C598="Trade",'Bittrex Data'!C598="Limit_Buy"),Bittrex!D598,"")))))</f>
        <v/>
      </c>
      <c r="I598" t="str">
        <f>IF('Bittrex Data'!C598="","",IF(Bittrex!C598="Buy",F598,IF(C598="Sale",Bittrex!G598,IF(AND(C598="Trade",'Bittrex Data'!C598="Limit_Sell"),Bittrex!G598,IF(AND(Bittrex!C598="Trade",'Bittrex Data'!C598="Limit_Buy"),F598,"")))))</f>
        <v/>
      </c>
      <c r="J598" t="str">
        <f>IF('Bittrex Data'!B598="","",IF('Bittrex Data'!B598="","",IF(Bittrex!H598=Bittrex!E598,D598,Bittrex!E598)))</f>
        <v/>
      </c>
      <c r="K598" t="str">
        <f>IF('Bittrex Data'!B598="","",IF(Bittrex!I598=Bittrex!G598,Bittrex!F598,Bittrex!G598))</f>
        <v/>
      </c>
    </row>
    <row r="599" spans="3:11" x14ac:dyDescent="0.2">
      <c r="C599" t="str">
        <f>IF('Bittrex Data'!A599="","",IF(AND('Bittrex Data'!C599="LIMIT_SELL",Bittrex!D599="USD"),"Sale",IF(AND('Bittrex Data'!C599="LIMIT_BUY",Bittrex!D599="USD"),"Buy","Trade")))</f>
        <v/>
      </c>
      <c r="D599" t="str">
        <f>IF('Bittrex Data'!B599="","",LEFT(LEFT('Bittrex Data'!B599,SEARCH("-",'Bittrex Data'!B599,1)),LEN(LEFT('Bittrex Data'!B599,SEARCH("-",'Bittrex Data'!B599,1)))-1))</f>
        <v/>
      </c>
      <c r="E599" t="str">
        <f>IF('Bittrex Data'!B599="","",RIGHT(RIGHT('Bittrex Data'!B599,LEN('Bittrex Data'!B599)-SEARCH("-",'Bittrex Data'!B599,1)+1),LEN(RIGHT('Bittrex Data'!B599,LEN('Bittrex Data'!B599)-SEARCH("-",'Bittrex Data'!B599,1)+1))-1))</f>
        <v/>
      </c>
      <c r="F599" t="str">
        <f>IF('Bittrex Data'!C599="","",IF('Bittrex Data'!C599="Limit_Sell",'Bittrex Data'!G599-'Bittrex Data'!F599,IF('Bittrex Data'!C599="Limit_Buy",'Bittrex Data'!G599+'Bittrex Data'!F599,"")))</f>
        <v/>
      </c>
      <c r="G599" t="str">
        <f>IF('Bittrex Data'!B599="","",'Bittrex Data'!D599)</f>
        <v/>
      </c>
      <c r="H599" t="str">
        <f>IF('Bittrex Data'!C599="","",IF(Bittrex!C599="Buy",Bittrex!D599,IF(Bittrex!C599="Sale",Bittrex!E599,IF(AND(Bittrex!C599="Trade",'Bittrex Data'!C599="Limit_Sell"),Bittrex!E599,IF(AND(Bittrex!C599="Trade",'Bittrex Data'!C599="Limit_Buy"),Bittrex!D599,"")))))</f>
        <v/>
      </c>
      <c r="I599" t="str">
        <f>IF('Bittrex Data'!C599="","",IF(Bittrex!C599="Buy",F599,IF(C599="Sale",Bittrex!G599,IF(AND(C599="Trade",'Bittrex Data'!C599="Limit_Sell"),Bittrex!G599,IF(AND(Bittrex!C599="Trade",'Bittrex Data'!C599="Limit_Buy"),F599,"")))))</f>
        <v/>
      </c>
      <c r="J599" t="str">
        <f>IF('Bittrex Data'!B599="","",IF('Bittrex Data'!B599="","",IF(Bittrex!H599=Bittrex!E599,D599,Bittrex!E599)))</f>
        <v/>
      </c>
      <c r="K599" t="str">
        <f>IF('Bittrex Data'!B599="","",IF(Bittrex!I599=Bittrex!G599,Bittrex!F599,Bittrex!G599))</f>
        <v/>
      </c>
    </row>
    <row r="600" spans="3:11" x14ac:dyDescent="0.2">
      <c r="C600" t="str">
        <f>IF('Bittrex Data'!A600="","",IF(AND('Bittrex Data'!C600="LIMIT_SELL",Bittrex!D600="USD"),"Sale",IF(AND('Bittrex Data'!C600="LIMIT_BUY",Bittrex!D600="USD"),"Buy","Trade")))</f>
        <v/>
      </c>
      <c r="D600" t="str">
        <f>IF('Bittrex Data'!B600="","",LEFT(LEFT('Bittrex Data'!B600,SEARCH("-",'Bittrex Data'!B600,1)),LEN(LEFT('Bittrex Data'!B600,SEARCH("-",'Bittrex Data'!B600,1)))-1))</f>
        <v/>
      </c>
      <c r="E600" t="str">
        <f>IF('Bittrex Data'!B600="","",RIGHT(RIGHT('Bittrex Data'!B600,LEN('Bittrex Data'!B600)-SEARCH("-",'Bittrex Data'!B600,1)+1),LEN(RIGHT('Bittrex Data'!B600,LEN('Bittrex Data'!B600)-SEARCH("-",'Bittrex Data'!B600,1)+1))-1))</f>
        <v/>
      </c>
      <c r="F600" t="str">
        <f>IF('Bittrex Data'!C600="","",IF('Bittrex Data'!C600="Limit_Sell",'Bittrex Data'!G600-'Bittrex Data'!F600,IF('Bittrex Data'!C600="Limit_Buy",'Bittrex Data'!G600+'Bittrex Data'!F600,"")))</f>
        <v/>
      </c>
      <c r="G600" t="str">
        <f>IF('Bittrex Data'!B600="","",'Bittrex Data'!D600)</f>
        <v/>
      </c>
      <c r="H600" t="str">
        <f>IF('Bittrex Data'!C600="","",IF(Bittrex!C600="Buy",Bittrex!D600,IF(Bittrex!C600="Sale",Bittrex!E600,IF(AND(Bittrex!C600="Trade",'Bittrex Data'!C600="Limit_Sell"),Bittrex!E600,IF(AND(Bittrex!C600="Trade",'Bittrex Data'!C600="Limit_Buy"),Bittrex!D600,"")))))</f>
        <v/>
      </c>
      <c r="I600" t="str">
        <f>IF('Bittrex Data'!C600="","",IF(Bittrex!C600="Buy",F600,IF(C600="Sale",Bittrex!G600,IF(AND(C600="Trade",'Bittrex Data'!C600="Limit_Sell"),Bittrex!G600,IF(AND(Bittrex!C600="Trade",'Bittrex Data'!C600="Limit_Buy"),F600,"")))))</f>
        <v/>
      </c>
      <c r="J600" t="str">
        <f>IF('Bittrex Data'!B600="","",IF('Bittrex Data'!B600="","",IF(Bittrex!H600=Bittrex!E600,D600,Bittrex!E600)))</f>
        <v/>
      </c>
      <c r="K600" t="str">
        <f>IF('Bittrex Data'!B600="","",IF(Bittrex!I600=Bittrex!G600,Bittrex!F600,Bittrex!G600))</f>
        <v/>
      </c>
    </row>
    <row r="601" spans="3:11" x14ac:dyDescent="0.2">
      <c r="C601" t="str">
        <f>IF('Bittrex Data'!A601="","",IF(AND('Bittrex Data'!C601="LIMIT_SELL",Bittrex!D601="USD"),"Sale",IF(AND('Bittrex Data'!C601="LIMIT_BUY",Bittrex!D601="USD"),"Buy","Trade")))</f>
        <v/>
      </c>
      <c r="D601" t="str">
        <f>IF('Bittrex Data'!B601="","",LEFT(LEFT('Bittrex Data'!B601,SEARCH("-",'Bittrex Data'!B601,1)),LEN(LEFT('Bittrex Data'!B601,SEARCH("-",'Bittrex Data'!B601,1)))-1))</f>
        <v/>
      </c>
      <c r="E601" t="str">
        <f>IF('Bittrex Data'!B601="","",RIGHT(RIGHT('Bittrex Data'!B601,LEN('Bittrex Data'!B601)-SEARCH("-",'Bittrex Data'!B601,1)+1),LEN(RIGHT('Bittrex Data'!B601,LEN('Bittrex Data'!B601)-SEARCH("-",'Bittrex Data'!B601,1)+1))-1))</f>
        <v/>
      </c>
      <c r="F601" t="str">
        <f>IF('Bittrex Data'!C601="","",IF('Bittrex Data'!C601="Limit_Sell",'Bittrex Data'!G601-'Bittrex Data'!F601,IF('Bittrex Data'!C601="Limit_Buy",'Bittrex Data'!G601+'Bittrex Data'!F601,"")))</f>
        <v/>
      </c>
      <c r="G601" t="str">
        <f>IF('Bittrex Data'!B601="","",'Bittrex Data'!D601)</f>
        <v/>
      </c>
      <c r="H601" t="str">
        <f>IF('Bittrex Data'!C601="","",IF(Bittrex!C601="Buy",Bittrex!D601,IF(Bittrex!C601="Sale",Bittrex!E601,IF(AND(Bittrex!C601="Trade",'Bittrex Data'!C601="Limit_Sell"),Bittrex!E601,IF(AND(Bittrex!C601="Trade",'Bittrex Data'!C601="Limit_Buy"),Bittrex!D601,"")))))</f>
        <v/>
      </c>
      <c r="I601" t="str">
        <f>IF('Bittrex Data'!C601="","",IF(Bittrex!C601="Buy",F601,IF(C601="Sale",Bittrex!G601,IF(AND(C601="Trade",'Bittrex Data'!C601="Limit_Sell"),Bittrex!G601,IF(AND(Bittrex!C601="Trade",'Bittrex Data'!C601="Limit_Buy"),F601,"")))))</f>
        <v/>
      </c>
      <c r="J601" t="str">
        <f>IF('Bittrex Data'!B601="","",IF('Bittrex Data'!B601="","",IF(Bittrex!H601=Bittrex!E601,D601,Bittrex!E601)))</f>
        <v/>
      </c>
      <c r="K601" t="str">
        <f>IF('Bittrex Data'!B601="","",IF(Bittrex!I601=Bittrex!G601,Bittrex!F601,Bittrex!G601))</f>
        <v/>
      </c>
    </row>
    <row r="602" spans="3:11" x14ac:dyDescent="0.2">
      <c r="C602" t="str">
        <f>IF('Bittrex Data'!A602="","",IF(AND('Bittrex Data'!C602="LIMIT_SELL",Bittrex!D602="USD"),"Sale",IF(AND('Bittrex Data'!C602="LIMIT_BUY",Bittrex!D602="USD"),"Buy","Trade")))</f>
        <v/>
      </c>
      <c r="D602" t="str">
        <f>IF('Bittrex Data'!B602="","",LEFT(LEFT('Bittrex Data'!B602,SEARCH("-",'Bittrex Data'!B602,1)),LEN(LEFT('Bittrex Data'!B602,SEARCH("-",'Bittrex Data'!B602,1)))-1))</f>
        <v/>
      </c>
      <c r="E602" t="str">
        <f>IF('Bittrex Data'!B602="","",RIGHT(RIGHT('Bittrex Data'!B602,LEN('Bittrex Data'!B602)-SEARCH("-",'Bittrex Data'!B602,1)+1),LEN(RIGHT('Bittrex Data'!B602,LEN('Bittrex Data'!B602)-SEARCH("-",'Bittrex Data'!B602,1)+1))-1))</f>
        <v/>
      </c>
      <c r="F602" t="str">
        <f>IF('Bittrex Data'!C602="","",IF('Bittrex Data'!C602="Limit_Sell",'Bittrex Data'!G602-'Bittrex Data'!F602,IF('Bittrex Data'!C602="Limit_Buy",'Bittrex Data'!G602+'Bittrex Data'!F602,"")))</f>
        <v/>
      </c>
      <c r="G602" t="str">
        <f>IF('Bittrex Data'!B602="","",'Bittrex Data'!D602)</f>
        <v/>
      </c>
      <c r="H602" t="str">
        <f>IF('Bittrex Data'!C602="","",IF(Bittrex!C602="Buy",Bittrex!D602,IF(Bittrex!C602="Sale",Bittrex!E602,IF(AND(Bittrex!C602="Trade",'Bittrex Data'!C602="Limit_Sell"),Bittrex!E602,IF(AND(Bittrex!C602="Trade",'Bittrex Data'!C602="Limit_Buy"),Bittrex!D602,"")))))</f>
        <v/>
      </c>
      <c r="I602" t="str">
        <f>IF('Bittrex Data'!C602="","",IF(Bittrex!C602="Buy",F602,IF(C602="Sale",Bittrex!G602,IF(AND(C602="Trade",'Bittrex Data'!C602="Limit_Sell"),Bittrex!G602,IF(AND(Bittrex!C602="Trade",'Bittrex Data'!C602="Limit_Buy"),F602,"")))))</f>
        <v/>
      </c>
      <c r="J602" t="str">
        <f>IF('Bittrex Data'!B602="","",IF('Bittrex Data'!B602="","",IF(Bittrex!H602=Bittrex!E602,D602,Bittrex!E602)))</f>
        <v/>
      </c>
      <c r="K602" t="str">
        <f>IF('Bittrex Data'!B602="","",IF(Bittrex!I602=Bittrex!G602,Bittrex!F602,Bittrex!G602))</f>
        <v/>
      </c>
    </row>
    <row r="603" spans="3:11" x14ac:dyDescent="0.2">
      <c r="C603" t="str">
        <f>IF('Bittrex Data'!A603="","",IF(AND('Bittrex Data'!C603="LIMIT_SELL",Bittrex!D603="USD"),"Sale",IF(AND('Bittrex Data'!C603="LIMIT_BUY",Bittrex!D603="USD"),"Buy","Trade")))</f>
        <v/>
      </c>
      <c r="D603" t="str">
        <f>IF('Bittrex Data'!B603="","",LEFT(LEFT('Bittrex Data'!B603,SEARCH("-",'Bittrex Data'!B603,1)),LEN(LEFT('Bittrex Data'!B603,SEARCH("-",'Bittrex Data'!B603,1)))-1))</f>
        <v/>
      </c>
      <c r="E603" t="str">
        <f>IF('Bittrex Data'!B603="","",RIGHT(RIGHT('Bittrex Data'!B603,LEN('Bittrex Data'!B603)-SEARCH("-",'Bittrex Data'!B603,1)+1),LEN(RIGHT('Bittrex Data'!B603,LEN('Bittrex Data'!B603)-SEARCH("-",'Bittrex Data'!B603,1)+1))-1))</f>
        <v/>
      </c>
      <c r="F603" t="str">
        <f>IF('Bittrex Data'!C603="","",IF('Bittrex Data'!C603="Limit_Sell",'Bittrex Data'!G603-'Bittrex Data'!F603,IF('Bittrex Data'!C603="Limit_Buy",'Bittrex Data'!G603+'Bittrex Data'!F603,"")))</f>
        <v/>
      </c>
      <c r="G603" t="str">
        <f>IF('Bittrex Data'!B603="","",'Bittrex Data'!D603)</f>
        <v/>
      </c>
      <c r="H603" t="str">
        <f>IF('Bittrex Data'!C603="","",IF(Bittrex!C603="Buy",Bittrex!D603,IF(Bittrex!C603="Sale",Bittrex!E603,IF(AND(Bittrex!C603="Trade",'Bittrex Data'!C603="Limit_Sell"),Bittrex!E603,IF(AND(Bittrex!C603="Trade",'Bittrex Data'!C603="Limit_Buy"),Bittrex!D603,"")))))</f>
        <v/>
      </c>
      <c r="I603" t="str">
        <f>IF('Bittrex Data'!C603="","",IF(Bittrex!C603="Buy",F603,IF(C603="Sale",Bittrex!G603,IF(AND(C603="Trade",'Bittrex Data'!C603="Limit_Sell"),Bittrex!G603,IF(AND(Bittrex!C603="Trade",'Bittrex Data'!C603="Limit_Buy"),F603,"")))))</f>
        <v/>
      </c>
      <c r="J603" t="str">
        <f>IF('Bittrex Data'!B603="","",IF('Bittrex Data'!B603="","",IF(Bittrex!H603=Bittrex!E603,D603,Bittrex!E603)))</f>
        <v/>
      </c>
      <c r="K603" t="str">
        <f>IF('Bittrex Data'!B603="","",IF(Bittrex!I603=Bittrex!G603,Bittrex!F603,Bittrex!G603))</f>
        <v/>
      </c>
    </row>
    <row r="604" spans="3:11" x14ac:dyDescent="0.2">
      <c r="C604" t="str">
        <f>IF('Bittrex Data'!A604="","",IF(AND('Bittrex Data'!C604="LIMIT_SELL",Bittrex!D604="USD"),"Sale",IF(AND('Bittrex Data'!C604="LIMIT_BUY",Bittrex!D604="USD"),"Buy","Trade")))</f>
        <v/>
      </c>
      <c r="D604" t="str">
        <f>IF('Bittrex Data'!B604="","",LEFT(LEFT('Bittrex Data'!B604,SEARCH("-",'Bittrex Data'!B604,1)),LEN(LEFT('Bittrex Data'!B604,SEARCH("-",'Bittrex Data'!B604,1)))-1))</f>
        <v/>
      </c>
      <c r="E604" t="str">
        <f>IF('Bittrex Data'!B604="","",RIGHT(RIGHT('Bittrex Data'!B604,LEN('Bittrex Data'!B604)-SEARCH("-",'Bittrex Data'!B604,1)+1),LEN(RIGHT('Bittrex Data'!B604,LEN('Bittrex Data'!B604)-SEARCH("-",'Bittrex Data'!B604,1)+1))-1))</f>
        <v/>
      </c>
      <c r="F604" t="str">
        <f>IF('Bittrex Data'!C604="","",IF('Bittrex Data'!C604="Limit_Sell",'Bittrex Data'!G604-'Bittrex Data'!F604,IF('Bittrex Data'!C604="Limit_Buy",'Bittrex Data'!G604+'Bittrex Data'!F604,"")))</f>
        <v/>
      </c>
      <c r="G604" t="str">
        <f>IF('Bittrex Data'!B604="","",'Bittrex Data'!D604)</f>
        <v/>
      </c>
      <c r="H604" t="str">
        <f>IF('Bittrex Data'!C604="","",IF(Bittrex!C604="Buy",Bittrex!D604,IF(Bittrex!C604="Sale",Bittrex!E604,IF(AND(Bittrex!C604="Trade",'Bittrex Data'!C604="Limit_Sell"),Bittrex!E604,IF(AND(Bittrex!C604="Trade",'Bittrex Data'!C604="Limit_Buy"),Bittrex!D604,"")))))</f>
        <v/>
      </c>
      <c r="I604" t="str">
        <f>IF('Bittrex Data'!C604="","",IF(Bittrex!C604="Buy",F604,IF(C604="Sale",Bittrex!G604,IF(AND(C604="Trade",'Bittrex Data'!C604="Limit_Sell"),Bittrex!G604,IF(AND(Bittrex!C604="Trade",'Bittrex Data'!C604="Limit_Buy"),F604,"")))))</f>
        <v/>
      </c>
      <c r="J604" t="str">
        <f>IF('Bittrex Data'!B604="","",IF('Bittrex Data'!B604="","",IF(Bittrex!H604=Bittrex!E604,D604,Bittrex!E604)))</f>
        <v/>
      </c>
      <c r="K604" t="str">
        <f>IF('Bittrex Data'!B604="","",IF(Bittrex!I604=Bittrex!G604,Bittrex!F604,Bittrex!G604))</f>
        <v/>
      </c>
    </row>
    <row r="605" spans="3:11" x14ac:dyDescent="0.2">
      <c r="C605" t="str">
        <f>IF('Bittrex Data'!A605="","",IF(AND('Bittrex Data'!C605="LIMIT_SELL",Bittrex!D605="USD"),"Sale",IF(AND('Bittrex Data'!C605="LIMIT_BUY",Bittrex!D605="USD"),"Buy","Trade")))</f>
        <v/>
      </c>
      <c r="D605" t="str">
        <f>IF('Bittrex Data'!B605="","",LEFT(LEFT('Bittrex Data'!B605,SEARCH("-",'Bittrex Data'!B605,1)),LEN(LEFT('Bittrex Data'!B605,SEARCH("-",'Bittrex Data'!B605,1)))-1))</f>
        <v/>
      </c>
      <c r="E605" t="str">
        <f>IF('Bittrex Data'!B605="","",RIGHT(RIGHT('Bittrex Data'!B605,LEN('Bittrex Data'!B605)-SEARCH("-",'Bittrex Data'!B605,1)+1),LEN(RIGHT('Bittrex Data'!B605,LEN('Bittrex Data'!B605)-SEARCH("-",'Bittrex Data'!B605,1)+1))-1))</f>
        <v/>
      </c>
      <c r="F605" t="str">
        <f>IF('Bittrex Data'!C605="","",IF('Bittrex Data'!C605="Limit_Sell",'Bittrex Data'!G605-'Bittrex Data'!F605,IF('Bittrex Data'!C605="Limit_Buy",'Bittrex Data'!G605+'Bittrex Data'!F605,"")))</f>
        <v/>
      </c>
      <c r="G605" t="str">
        <f>IF('Bittrex Data'!B605="","",'Bittrex Data'!D605)</f>
        <v/>
      </c>
      <c r="H605" t="str">
        <f>IF('Bittrex Data'!C605="","",IF(Bittrex!C605="Buy",Bittrex!D605,IF(Bittrex!C605="Sale",Bittrex!E605,IF(AND(Bittrex!C605="Trade",'Bittrex Data'!C605="Limit_Sell"),Bittrex!E605,IF(AND(Bittrex!C605="Trade",'Bittrex Data'!C605="Limit_Buy"),Bittrex!D605,"")))))</f>
        <v/>
      </c>
      <c r="I605" t="str">
        <f>IF('Bittrex Data'!C605="","",IF(Bittrex!C605="Buy",F605,IF(C605="Sale",Bittrex!G605,IF(AND(C605="Trade",'Bittrex Data'!C605="Limit_Sell"),Bittrex!G605,IF(AND(Bittrex!C605="Trade",'Bittrex Data'!C605="Limit_Buy"),F605,"")))))</f>
        <v/>
      </c>
      <c r="J605" t="str">
        <f>IF('Bittrex Data'!B605="","",IF('Bittrex Data'!B605="","",IF(Bittrex!H605=Bittrex!E605,D605,Bittrex!E605)))</f>
        <v/>
      </c>
      <c r="K605" t="str">
        <f>IF('Bittrex Data'!B605="","",IF(Bittrex!I605=Bittrex!G605,Bittrex!F605,Bittrex!G605))</f>
        <v/>
      </c>
    </row>
    <row r="606" spans="3:11" x14ac:dyDescent="0.2">
      <c r="C606" t="str">
        <f>IF('Bittrex Data'!A606="","",IF(AND('Bittrex Data'!C606="LIMIT_SELL",Bittrex!D606="USD"),"Sale",IF(AND('Bittrex Data'!C606="LIMIT_BUY",Bittrex!D606="USD"),"Buy","Trade")))</f>
        <v/>
      </c>
      <c r="D606" t="str">
        <f>IF('Bittrex Data'!B606="","",LEFT(LEFT('Bittrex Data'!B606,SEARCH("-",'Bittrex Data'!B606,1)),LEN(LEFT('Bittrex Data'!B606,SEARCH("-",'Bittrex Data'!B606,1)))-1))</f>
        <v/>
      </c>
      <c r="E606" t="str">
        <f>IF('Bittrex Data'!B606="","",RIGHT(RIGHT('Bittrex Data'!B606,LEN('Bittrex Data'!B606)-SEARCH("-",'Bittrex Data'!B606,1)+1),LEN(RIGHT('Bittrex Data'!B606,LEN('Bittrex Data'!B606)-SEARCH("-",'Bittrex Data'!B606,1)+1))-1))</f>
        <v/>
      </c>
      <c r="F606" t="str">
        <f>IF('Bittrex Data'!C606="","",IF('Bittrex Data'!C606="Limit_Sell",'Bittrex Data'!G606-'Bittrex Data'!F606,IF('Bittrex Data'!C606="Limit_Buy",'Bittrex Data'!G606+'Bittrex Data'!F606,"")))</f>
        <v/>
      </c>
      <c r="G606" t="str">
        <f>IF('Bittrex Data'!B606="","",'Bittrex Data'!D606)</f>
        <v/>
      </c>
      <c r="H606" t="str">
        <f>IF('Bittrex Data'!C606="","",IF(Bittrex!C606="Buy",Bittrex!D606,IF(Bittrex!C606="Sale",Bittrex!E606,IF(AND(Bittrex!C606="Trade",'Bittrex Data'!C606="Limit_Sell"),Bittrex!E606,IF(AND(Bittrex!C606="Trade",'Bittrex Data'!C606="Limit_Buy"),Bittrex!D606,"")))))</f>
        <v/>
      </c>
      <c r="I606" t="str">
        <f>IF('Bittrex Data'!C606="","",IF(Bittrex!C606="Buy",F606,IF(C606="Sale",Bittrex!G606,IF(AND(C606="Trade",'Bittrex Data'!C606="Limit_Sell"),Bittrex!G606,IF(AND(Bittrex!C606="Trade",'Bittrex Data'!C606="Limit_Buy"),F606,"")))))</f>
        <v/>
      </c>
      <c r="J606" t="str">
        <f>IF('Bittrex Data'!B606="","",IF('Bittrex Data'!B606="","",IF(Bittrex!H606=Bittrex!E606,D606,Bittrex!E606)))</f>
        <v/>
      </c>
      <c r="K606" t="str">
        <f>IF('Bittrex Data'!B606="","",IF(Bittrex!I606=Bittrex!G606,Bittrex!F606,Bittrex!G606))</f>
        <v/>
      </c>
    </row>
    <row r="607" spans="3:11" x14ac:dyDescent="0.2">
      <c r="C607" t="str">
        <f>IF('Bittrex Data'!A607="","",IF(AND('Bittrex Data'!C607="LIMIT_SELL",Bittrex!D607="USD"),"Sale",IF(AND('Bittrex Data'!C607="LIMIT_BUY",Bittrex!D607="USD"),"Buy","Trade")))</f>
        <v/>
      </c>
      <c r="D607" t="str">
        <f>IF('Bittrex Data'!B607="","",LEFT(LEFT('Bittrex Data'!B607,SEARCH("-",'Bittrex Data'!B607,1)),LEN(LEFT('Bittrex Data'!B607,SEARCH("-",'Bittrex Data'!B607,1)))-1))</f>
        <v/>
      </c>
      <c r="E607" t="str">
        <f>IF('Bittrex Data'!B607="","",RIGHT(RIGHT('Bittrex Data'!B607,LEN('Bittrex Data'!B607)-SEARCH("-",'Bittrex Data'!B607,1)+1),LEN(RIGHT('Bittrex Data'!B607,LEN('Bittrex Data'!B607)-SEARCH("-",'Bittrex Data'!B607,1)+1))-1))</f>
        <v/>
      </c>
      <c r="F607" t="str">
        <f>IF('Bittrex Data'!C607="","",IF('Bittrex Data'!C607="Limit_Sell",'Bittrex Data'!G607-'Bittrex Data'!F607,IF('Bittrex Data'!C607="Limit_Buy",'Bittrex Data'!G607+'Bittrex Data'!F607,"")))</f>
        <v/>
      </c>
      <c r="G607" t="str">
        <f>IF('Bittrex Data'!B607="","",'Bittrex Data'!D607)</f>
        <v/>
      </c>
      <c r="H607" t="str">
        <f>IF('Bittrex Data'!C607="","",IF(Bittrex!C607="Buy",Bittrex!D607,IF(Bittrex!C607="Sale",Bittrex!E607,IF(AND(Bittrex!C607="Trade",'Bittrex Data'!C607="Limit_Sell"),Bittrex!E607,IF(AND(Bittrex!C607="Trade",'Bittrex Data'!C607="Limit_Buy"),Bittrex!D607,"")))))</f>
        <v/>
      </c>
      <c r="I607" t="str">
        <f>IF('Bittrex Data'!C607="","",IF(Bittrex!C607="Buy",F607,IF(C607="Sale",Bittrex!G607,IF(AND(C607="Trade",'Bittrex Data'!C607="Limit_Sell"),Bittrex!G607,IF(AND(Bittrex!C607="Trade",'Bittrex Data'!C607="Limit_Buy"),F607,"")))))</f>
        <v/>
      </c>
      <c r="J607" t="str">
        <f>IF('Bittrex Data'!B607="","",IF('Bittrex Data'!B607="","",IF(Bittrex!H607=Bittrex!E607,D607,Bittrex!E607)))</f>
        <v/>
      </c>
      <c r="K607" t="str">
        <f>IF('Bittrex Data'!B607="","",IF(Bittrex!I607=Bittrex!G607,Bittrex!F607,Bittrex!G607))</f>
        <v/>
      </c>
    </row>
    <row r="608" spans="3:11" x14ac:dyDescent="0.2">
      <c r="C608" t="str">
        <f>IF('Bittrex Data'!A608="","",IF(AND('Bittrex Data'!C608="LIMIT_SELL",Bittrex!D608="USD"),"Sale",IF(AND('Bittrex Data'!C608="LIMIT_BUY",Bittrex!D608="USD"),"Buy","Trade")))</f>
        <v/>
      </c>
      <c r="D608" t="str">
        <f>IF('Bittrex Data'!B608="","",LEFT(LEFT('Bittrex Data'!B608,SEARCH("-",'Bittrex Data'!B608,1)),LEN(LEFT('Bittrex Data'!B608,SEARCH("-",'Bittrex Data'!B608,1)))-1))</f>
        <v/>
      </c>
      <c r="E608" t="str">
        <f>IF('Bittrex Data'!B608="","",RIGHT(RIGHT('Bittrex Data'!B608,LEN('Bittrex Data'!B608)-SEARCH("-",'Bittrex Data'!B608,1)+1),LEN(RIGHT('Bittrex Data'!B608,LEN('Bittrex Data'!B608)-SEARCH("-",'Bittrex Data'!B608,1)+1))-1))</f>
        <v/>
      </c>
      <c r="F608" t="str">
        <f>IF('Bittrex Data'!C608="","",IF('Bittrex Data'!C608="Limit_Sell",'Bittrex Data'!G608-'Bittrex Data'!F608,IF('Bittrex Data'!C608="Limit_Buy",'Bittrex Data'!G608+'Bittrex Data'!F608,"")))</f>
        <v/>
      </c>
      <c r="G608" t="str">
        <f>IF('Bittrex Data'!B608="","",'Bittrex Data'!D608)</f>
        <v/>
      </c>
      <c r="H608" t="str">
        <f>IF('Bittrex Data'!C608="","",IF(Bittrex!C608="Buy",Bittrex!D608,IF(Bittrex!C608="Sale",Bittrex!E608,IF(AND(Bittrex!C608="Trade",'Bittrex Data'!C608="Limit_Sell"),Bittrex!E608,IF(AND(Bittrex!C608="Trade",'Bittrex Data'!C608="Limit_Buy"),Bittrex!D608,"")))))</f>
        <v/>
      </c>
      <c r="I608" t="str">
        <f>IF('Bittrex Data'!C608="","",IF(Bittrex!C608="Buy",F608,IF(C608="Sale",Bittrex!G608,IF(AND(C608="Trade",'Bittrex Data'!C608="Limit_Sell"),Bittrex!G608,IF(AND(Bittrex!C608="Trade",'Bittrex Data'!C608="Limit_Buy"),F608,"")))))</f>
        <v/>
      </c>
      <c r="J608" t="str">
        <f>IF('Bittrex Data'!B608="","",IF('Bittrex Data'!B608="","",IF(Bittrex!H608=Bittrex!E608,D608,Bittrex!E608)))</f>
        <v/>
      </c>
      <c r="K608" t="str">
        <f>IF('Bittrex Data'!B608="","",IF(Bittrex!I608=Bittrex!G608,Bittrex!F608,Bittrex!G608))</f>
        <v/>
      </c>
    </row>
    <row r="609" spans="3:11" x14ac:dyDescent="0.2">
      <c r="C609" t="str">
        <f>IF('Bittrex Data'!A609="","",IF(AND('Bittrex Data'!C609="LIMIT_SELL",Bittrex!D609="USD"),"Sale",IF(AND('Bittrex Data'!C609="LIMIT_BUY",Bittrex!D609="USD"),"Buy","Trade")))</f>
        <v/>
      </c>
      <c r="D609" t="str">
        <f>IF('Bittrex Data'!B609="","",LEFT(LEFT('Bittrex Data'!B609,SEARCH("-",'Bittrex Data'!B609,1)),LEN(LEFT('Bittrex Data'!B609,SEARCH("-",'Bittrex Data'!B609,1)))-1))</f>
        <v/>
      </c>
      <c r="E609" t="str">
        <f>IF('Bittrex Data'!B609="","",RIGHT(RIGHT('Bittrex Data'!B609,LEN('Bittrex Data'!B609)-SEARCH("-",'Bittrex Data'!B609,1)+1),LEN(RIGHT('Bittrex Data'!B609,LEN('Bittrex Data'!B609)-SEARCH("-",'Bittrex Data'!B609,1)+1))-1))</f>
        <v/>
      </c>
      <c r="F609" t="str">
        <f>IF('Bittrex Data'!C609="","",IF('Bittrex Data'!C609="Limit_Sell",'Bittrex Data'!G609-'Bittrex Data'!F609,IF('Bittrex Data'!C609="Limit_Buy",'Bittrex Data'!G609+'Bittrex Data'!F609,"")))</f>
        <v/>
      </c>
      <c r="G609" t="str">
        <f>IF('Bittrex Data'!B609="","",'Bittrex Data'!D609)</f>
        <v/>
      </c>
      <c r="H609" t="str">
        <f>IF('Bittrex Data'!C609="","",IF(Bittrex!C609="Buy",Bittrex!D609,IF(Bittrex!C609="Sale",Bittrex!E609,IF(AND(Bittrex!C609="Trade",'Bittrex Data'!C609="Limit_Sell"),Bittrex!E609,IF(AND(Bittrex!C609="Trade",'Bittrex Data'!C609="Limit_Buy"),Bittrex!D609,"")))))</f>
        <v/>
      </c>
      <c r="I609" t="str">
        <f>IF('Bittrex Data'!C609="","",IF(Bittrex!C609="Buy",F609,IF(C609="Sale",Bittrex!G609,IF(AND(C609="Trade",'Bittrex Data'!C609="Limit_Sell"),Bittrex!G609,IF(AND(Bittrex!C609="Trade",'Bittrex Data'!C609="Limit_Buy"),F609,"")))))</f>
        <v/>
      </c>
      <c r="J609" t="str">
        <f>IF('Bittrex Data'!B609="","",IF('Bittrex Data'!B609="","",IF(Bittrex!H609=Bittrex!E609,D609,Bittrex!E609)))</f>
        <v/>
      </c>
      <c r="K609" t="str">
        <f>IF('Bittrex Data'!B609="","",IF(Bittrex!I609=Bittrex!G609,Bittrex!F609,Bittrex!G609))</f>
        <v/>
      </c>
    </row>
    <row r="610" spans="3:11" x14ac:dyDescent="0.2">
      <c r="C610" t="str">
        <f>IF('Bittrex Data'!A610="","",IF(AND('Bittrex Data'!C610="LIMIT_SELL",Bittrex!D610="USD"),"Sale",IF(AND('Bittrex Data'!C610="LIMIT_BUY",Bittrex!D610="USD"),"Buy","Trade")))</f>
        <v/>
      </c>
      <c r="D610" t="str">
        <f>IF('Bittrex Data'!B610="","",LEFT(LEFT('Bittrex Data'!B610,SEARCH("-",'Bittrex Data'!B610,1)),LEN(LEFT('Bittrex Data'!B610,SEARCH("-",'Bittrex Data'!B610,1)))-1))</f>
        <v/>
      </c>
      <c r="E610" t="str">
        <f>IF('Bittrex Data'!B610="","",RIGHT(RIGHT('Bittrex Data'!B610,LEN('Bittrex Data'!B610)-SEARCH("-",'Bittrex Data'!B610,1)+1),LEN(RIGHT('Bittrex Data'!B610,LEN('Bittrex Data'!B610)-SEARCH("-",'Bittrex Data'!B610,1)+1))-1))</f>
        <v/>
      </c>
      <c r="F610" t="str">
        <f>IF('Bittrex Data'!C610="","",IF('Bittrex Data'!C610="Limit_Sell",'Bittrex Data'!G610-'Bittrex Data'!F610,IF('Bittrex Data'!C610="Limit_Buy",'Bittrex Data'!G610+'Bittrex Data'!F610,"")))</f>
        <v/>
      </c>
      <c r="G610" t="str">
        <f>IF('Bittrex Data'!B610="","",'Bittrex Data'!D610)</f>
        <v/>
      </c>
      <c r="H610" t="str">
        <f>IF('Bittrex Data'!C610="","",IF(Bittrex!C610="Buy",Bittrex!D610,IF(Bittrex!C610="Sale",Bittrex!E610,IF(AND(Bittrex!C610="Trade",'Bittrex Data'!C610="Limit_Sell"),Bittrex!E610,IF(AND(Bittrex!C610="Trade",'Bittrex Data'!C610="Limit_Buy"),Bittrex!D610,"")))))</f>
        <v/>
      </c>
      <c r="I610" t="str">
        <f>IF('Bittrex Data'!C610="","",IF(Bittrex!C610="Buy",F610,IF(C610="Sale",Bittrex!G610,IF(AND(C610="Trade",'Bittrex Data'!C610="Limit_Sell"),Bittrex!G610,IF(AND(Bittrex!C610="Trade",'Bittrex Data'!C610="Limit_Buy"),F610,"")))))</f>
        <v/>
      </c>
      <c r="J610" t="str">
        <f>IF('Bittrex Data'!B610="","",IF('Bittrex Data'!B610="","",IF(Bittrex!H610=Bittrex!E610,D610,Bittrex!E610)))</f>
        <v/>
      </c>
      <c r="K610" t="str">
        <f>IF('Bittrex Data'!B610="","",IF(Bittrex!I610=Bittrex!G610,Bittrex!F610,Bittrex!G610))</f>
        <v/>
      </c>
    </row>
    <row r="611" spans="3:11" x14ac:dyDescent="0.2">
      <c r="C611" t="str">
        <f>IF('Bittrex Data'!A611="","",IF(AND('Bittrex Data'!C611="LIMIT_SELL",Bittrex!D611="USD"),"Sale",IF(AND('Bittrex Data'!C611="LIMIT_BUY",Bittrex!D611="USD"),"Buy","Trade")))</f>
        <v/>
      </c>
      <c r="D611" t="str">
        <f>IF('Bittrex Data'!B611="","",LEFT(LEFT('Bittrex Data'!B611,SEARCH("-",'Bittrex Data'!B611,1)),LEN(LEFT('Bittrex Data'!B611,SEARCH("-",'Bittrex Data'!B611,1)))-1))</f>
        <v/>
      </c>
      <c r="E611" t="str">
        <f>IF('Bittrex Data'!B611="","",RIGHT(RIGHT('Bittrex Data'!B611,LEN('Bittrex Data'!B611)-SEARCH("-",'Bittrex Data'!B611,1)+1),LEN(RIGHT('Bittrex Data'!B611,LEN('Bittrex Data'!B611)-SEARCH("-",'Bittrex Data'!B611,1)+1))-1))</f>
        <v/>
      </c>
      <c r="F611" t="str">
        <f>IF('Bittrex Data'!C611="","",IF('Bittrex Data'!C611="Limit_Sell",'Bittrex Data'!G611-'Bittrex Data'!F611,IF('Bittrex Data'!C611="Limit_Buy",'Bittrex Data'!G611+'Bittrex Data'!F611,"")))</f>
        <v/>
      </c>
      <c r="G611" t="str">
        <f>IF('Bittrex Data'!B611="","",'Bittrex Data'!D611)</f>
        <v/>
      </c>
      <c r="H611" t="str">
        <f>IF('Bittrex Data'!C611="","",IF(Bittrex!C611="Buy",Bittrex!D611,IF(Bittrex!C611="Sale",Bittrex!E611,IF(AND(Bittrex!C611="Trade",'Bittrex Data'!C611="Limit_Sell"),Bittrex!E611,IF(AND(Bittrex!C611="Trade",'Bittrex Data'!C611="Limit_Buy"),Bittrex!D611,"")))))</f>
        <v/>
      </c>
      <c r="I611" t="str">
        <f>IF('Bittrex Data'!C611="","",IF(Bittrex!C611="Buy",F611,IF(C611="Sale",Bittrex!G611,IF(AND(C611="Trade",'Bittrex Data'!C611="Limit_Sell"),Bittrex!G611,IF(AND(Bittrex!C611="Trade",'Bittrex Data'!C611="Limit_Buy"),F611,"")))))</f>
        <v/>
      </c>
      <c r="J611" t="str">
        <f>IF('Bittrex Data'!B611="","",IF('Bittrex Data'!B611="","",IF(Bittrex!H611=Bittrex!E611,D611,Bittrex!E611)))</f>
        <v/>
      </c>
      <c r="K611" t="str">
        <f>IF('Bittrex Data'!B611="","",IF(Bittrex!I611=Bittrex!G611,Bittrex!F611,Bittrex!G611))</f>
        <v/>
      </c>
    </row>
    <row r="612" spans="3:11" x14ac:dyDescent="0.2">
      <c r="C612" t="str">
        <f>IF('Bittrex Data'!A612="","",IF(AND('Bittrex Data'!C612="LIMIT_SELL",Bittrex!D612="USD"),"Sale",IF(AND('Bittrex Data'!C612="LIMIT_BUY",Bittrex!D612="USD"),"Buy","Trade")))</f>
        <v/>
      </c>
      <c r="D612" t="str">
        <f>IF('Bittrex Data'!B612="","",LEFT(LEFT('Bittrex Data'!B612,SEARCH("-",'Bittrex Data'!B612,1)),LEN(LEFT('Bittrex Data'!B612,SEARCH("-",'Bittrex Data'!B612,1)))-1))</f>
        <v/>
      </c>
      <c r="E612" t="str">
        <f>IF('Bittrex Data'!B612="","",RIGHT(RIGHT('Bittrex Data'!B612,LEN('Bittrex Data'!B612)-SEARCH("-",'Bittrex Data'!B612,1)+1),LEN(RIGHT('Bittrex Data'!B612,LEN('Bittrex Data'!B612)-SEARCH("-",'Bittrex Data'!B612,1)+1))-1))</f>
        <v/>
      </c>
      <c r="F612" t="str">
        <f>IF('Bittrex Data'!C612="","",IF('Bittrex Data'!C612="Limit_Sell",'Bittrex Data'!G612-'Bittrex Data'!F612,IF('Bittrex Data'!C612="Limit_Buy",'Bittrex Data'!G612+'Bittrex Data'!F612,"")))</f>
        <v/>
      </c>
      <c r="G612" t="str">
        <f>IF('Bittrex Data'!B612="","",'Bittrex Data'!D612)</f>
        <v/>
      </c>
      <c r="H612" t="str">
        <f>IF('Bittrex Data'!C612="","",IF(Bittrex!C612="Buy",Bittrex!D612,IF(Bittrex!C612="Sale",Bittrex!E612,IF(AND(Bittrex!C612="Trade",'Bittrex Data'!C612="Limit_Sell"),Bittrex!E612,IF(AND(Bittrex!C612="Trade",'Bittrex Data'!C612="Limit_Buy"),Bittrex!D612,"")))))</f>
        <v/>
      </c>
      <c r="I612" t="str">
        <f>IF('Bittrex Data'!C612="","",IF(Bittrex!C612="Buy",F612,IF(C612="Sale",Bittrex!G612,IF(AND(C612="Trade",'Bittrex Data'!C612="Limit_Sell"),Bittrex!G612,IF(AND(Bittrex!C612="Trade",'Bittrex Data'!C612="Limit_Buy"),F612,"")))))</f>
        <v/>
      </c>
      <c r="J612" t="str">
        <f>IF('Bittrex Data'!B612="","",IF('Bittrex Data'!B612="","",IF(Bittrex!H612=Bittrex!E612,D612,Bittrex!E612)))</f>
        <v/>
      </c>
      <c r="K612" t="str">
        <f>IF('Bittrex Data'!B612="","",IF(Bittrex!I612=Bittrex!G612,Bittrex!F612,Bittrex!G612))</f>
        <v/>
      </c>
    </row>
    <row r="613" spans="3:11" x14ac:dyDescent="0.2">
      <c r="C613" t="str">
        <f>IF('Bittrex Data'!A613="","",IF(AND('Bittrex Data'!C613="LIMIT_SELL",Bittrex!D613="USD"),"Sale",IF(AND('Bittrex Data'!C613="LIMIT_BUY",Bittrex!D613="USD"),"Buy","Trade")))</f>
        <v/>
      </c>
      <c r="D613" t="str">
        <f>IF('Bittrex Data'!B613="","",LEFT(LEFT('Bittrex Data'!B613,SEARCH("-",'Bittrex Data'!B613,1)),LEN(LEFT('Bittrex Data'!B613,SEARCH("-",'Bittrex Data'!B613,1)))-1))</f>
        <v/>
      </c>
      <c r="E613" t="str">
        <f>IF('Bittrex Data'!B613="","",RIGHT(RIGHT('Bittrex Data'!B613,LEN('Bittrex Data'!B613)-SEARCH("-",'Bittrex Data'!B613,1)+1),LEN(RIGHT('Bittrex Data'!B613,LEN('Bittrex Data'!B613)-SEARCH("-",'Bittrex Data'!B613,1)+1))-1))</f>
        <v/>
      </c>
      <c r="F613" t="str">
        <f>IF('Bittrex Data'!C613="","",IF('Bittrex Data'!C613="Limit_Sell",'Bittrex Data'!G613-'Bittrex Data'!F613,IF('Bittrex Data'!C613="Limit_Buy",'Bittrex Data'!G613+'Bittrex Data'!F613,"")))</f>
        <v/>
      </c>
      <c r="G613" t="str">
        <f>IF('Bittrex Data'!B613="","",'Bittrex Data'!D613)</f>
        <v/>
      </c>
      <c r="H613" t="str">
        <f>IF('Bittrex Data'!C613="","",IF(Bittrex!C613="Buy",Bittrex!D613,IF(Bittrex!C613="Sale",Bittrex!E613,IF(AND(Bittrex!C613="Trade",'Bittrex Data'!C613="Limit_Sell"),Bittrex!E613,IF(AND(Bittrex!C613="Trade",'Bittrex Data'!C613="Limit_Buy"),Bittrex!D613,"")))))</f>
        <v/>
      </c>
      <c r="I613" t="str">
        <f>IF('Bittrex Data'!C613="","",IF(Bittrex!C613="Buy",F613,IF(C613="Sale",Bittrex!G613,IF(AND(C613="Trade",'Bittrex Data'!C613="Limit_Sell"),Bittrex!G613,IF(AND(Bittrex!C613="Trade",'Bittrex Data'!C613="Limit_Buy"),F613,"")))))</f>
        <v/>
      </c>
      <c r="J613" t="str">
        <f>IF('Bittrex Data'!B613="","",IF('Bittrex Data'!B613="","",IF(Bittrex!H613=Bittrex!E613,D613,Bittrex!E613)))</f>
        <v/>
      </c>
      <c r="K613" t="str">
        <f>IF('Bittrex Data'!B613="","",IF(Bittrex!I613=Bittrex!G613,Bittrex!F613,Bittrex!G613))</f>
        <v/>
      </c>
    </row>
    <row r="614" spans="3:11" x14ac:dyDescent="0.2">
      <c r="C614" t="str">
        <f>IF('Bittrex Data'!A614="","",IF(AND('Bittrex Data'!C614="LIMIT_SELL",Bittrex!D614="USD"),"Sale",IF(AND('Bittrex Data'!C614="LIMIT_BUY",Bittrex!D614="USD"),"Buy","Trade")))</f>
        <v/>
      </c>
      <c r="D614" t="str">
        <f>IF('Bittrex Data'!B614="","",LEFT(LEFT('Bittrex Data'!B614,SEARCH("-",'Bittrex Data'!B614,1)),LEN(LEFT('Bittrex Data'!B614,SEARCH("-",'Bittrex Data'!B614,1)))-1))</f>
        <v/>
      </c>
      <c r="E614" t="str">
        <f>IF('Bittrex Data'!B614="","",RIGHT(RIGHT('Bittrex Data'!B614,LEN('Bittrex Data'!B614)-SEARCH("-",'Bittrex Data'!B614,1)+1),LEN(RIGHT('Bittrex Data'!B614,LEN('Bittrex Data'!B614)-SEARCH("-",'Bittrex Data'!B614,1)+1))-1))</f>
        <v/>
      </c>
      <c r="F614" t="str">
        <f>IF('Bittrex Data'!C614="","",IF('Bittrex Data'!C614="Limit_Sell",'Bittrex Data'!G614-'Bittrex Data'!F614,IF('Bittrex Data'!C614="Limit_Buy",'Bittrex Data'!G614+'Bittrex Data'!F614,"")))</f>
        <v/>
      </c>
      <c r="G614" t="str">
        <f>IF('Bittrex Data'!B614="","",'Bittrex Data'!D614)</f>
        <v/>
      </c>
      <c r="H614" t="str">
        <f>IF('Bittrex Data'!C614="","",IF(Bittrex!C614="Buy",Bittrex!D614,IF(Bittrex!C614="Sale",Bittrex!E614,IF(AND(Bittrex!C614="Trade",'Bittrex Data'!C614="Limit_Sell"),Bittrex!E614,IF(AND(Bittrex!C614="Trade",'Bittrex Data'!C614="Limit_Buy"),Bittrex!D614,"")))))</f>
        <v/>
      </c>
      <c r="I614" t="str">
        <f>IF('Bittrex Data'!C614="","",IF(Bittrex!C614="Buy",F614,IF(C614="Sale",Bittrex!G614,IF(AND(C614="Trade",'Bittrex Data'!C614="Limit_Sell"),Bittrex!G614,IF(AND(Bittrex!C614="Trade",'Bittrex Data'!C614="Limit_Buy"),F614,"")))))</f>
        <v/>
      </c>
      <c r="J614" t="str">
        <f>IF('Bittrex Data'!B614="","",IF('Bittrex Data'!B614="","",IF(Bittrex!H614=Bittrex!E614,D614,Bittrex!E614)))</f>
        <v/>
      </c>
      <c r="K614" t="str">
        <f>IF('Bittrex Data'!B614="","",IF(Bittrex!I614=Bittrex!G614,Bittrex!F614,Bittrex!G614))</f>
        <v/>
      </c>
    </row>
    <row r="615" spans="3:11" x14ac:dyDescent="0.2">
      <c r="C615" t="str">
        <f>IF('Bittrex Data'!A615="","",IF(AND('Bittrex Data'!C615="LIMIT_SELL",Bittrex!D615="USD"),"Sale",IF(AND('Bittrex Data'!C615="LIMIT_BUY",Bittrex!D615="USD"),"Buy","Trade")))</f>
        <v/>
      </c>
      <c r="D615" t="str">
        <f>IF('Bittrex Data'!B615="","",LEFT(LEFT('Bittrex Data'!B615,SEARCH("-",'Bittrex Data'!B615,1)),LEN(LEFT('Bittrex Data'!B615,SEARCH("-",'Bittrex Data'!B615,1)))-1))</f>
        <v/>
      </c>
      <c r="E615" t="str">
        <f>IF('Bittrex Data'!B615="","",RIGHT(RIGHT('Bittrex Data'!B615,LEN('Bittrex Data'!B615)-SEARCH("-",'Bittrex Data'!B615,1)+1),LEN(RIGHT('Bittrex Data'!B615,LEN('Bittrex Data'!B615)-SEARCH("-",'Bittrex Data'!B615,1)+1))-1))</f>
        <v/>
      </c>
      <c r="F615" t="str">
        <f>IF('Bittrex Data'!C615="","",IF('Bittrex Data'!C615="Limit_Sell",'Bittrex Data'!G615-'Bittrex Data'!F615,IF('Bittrex Data'!C615="Limit_Buy",'Bittrex Data'!G615+'Bittrex Data'!F615,"")))</f>
        <v/>
      </c>
      <c r="G615" t="str">
        <f>IF('Bittrex Data'!B615="","",'Bittrex Data'!D615)</f>
        <v/>
      </c>
      <c r="H615" t="str">
        <f>IF('Bittrex Data'!C615="","",IF(Bittrex!C615="Buy",Bittrex!D615,IF(Bittrex!C615="Sale",Bittrex!E615,IF(AND(Bittrex!C615="Trade",'Bittrex Data'!C615="Limit_Sell"),Bittrex!E615,IF(AND(Bittrex!C615="Trade",'Bittrex Data'!C615="Limit_Buy"),Bittrex!D615,"")))))</f>
        <v/>
      </c>
      <c r="I615" t="str">
        <f>IF('Bittrex Data'!C615="","",IF(Bittrex!C615="Buy",F615,IF(C615="Sale",Bittrex!G615,IF(AND(C615="Trade",'Bittrex Data'!C615="Limit_Sell"),Bittrex!G615,IF(AND(Bittrex!C615="Trade",'Bittrex Data'!C615="Limit_Buy"),F615,"")))))</f>
        <v/>
      </c>
      <c r="J615" t="str">
        <f>IF('Bittrex Data'!B615="","",IF('Bittrex Data'!B615="","",IF(Bittrex!H615=Bittrex!E615,D615,Bittrex!E615)))</f>
        <v/>
      </c>
      <c r="K615" t="str">
        <f>IF('Bittrex Data'!B615="","",IF(Bittrex!I615=Bittrex!G615,Bittrex!F615,Bittrex!G615))</f>
        <v/>
      </c>
    </row>
    <row r="616" spans="3:11" x14ac:dyDescent="0.2">
      <c r="C616" t="str">
        <f>IF('Bittrex Data'!A616="","",IF(AND('Bittrex Data'!C616="LIMIT_SELL",Bittrex!D616="USD"),"Sale",IF(AND('Bittrex Data'!C616="LIMIT_BUY",Bittrex!D616="USD"),"Buy","Trade")))</f>
        <v/>
      </c>
      <c r="D616" t="str">
        <f>IF('Bittrex Data'!B616="","",LEFT(LEFT('Bittrex Data'!B616,SEARCH("-",'Bittrex Data'!B616,1)),LEN(LEFT('Bittrex Data'!B616,SEARCH("-",'Bittrex Data'!B616,1)))-1))</f>
        <v/>
      </c>
      <c r="E616" t="str">
        <f>IF('Bittrex Data'!B616="","",RIGHT(RIGHT('Bittrex Data'!B616,LEN('Bittrex Data'!B616)-SEARCH("-",'Bittrex Data'!B616,1)+1),LEN(RIGHT('Bittrex Data'!B616,LEN('Bittrex Data'!B616)-SEARCH("-",'Bittrex Data'!B616,1)+1))-1))</f>
        <v/>
      </c>
      <c r="F616" t="str">
        <f>IF('Bittrex Data'!C616="","",IF('Bittrex Data'!C616="Limit_Sell",'Bittrex Data'!G616-'Bittrex Data'!F616,IF('Bittrex Data'!C616="Limit_Buy",'Bittrex Data'!G616+'Bittrex Data'!F616,"")))</f>
        <v/>
      </c>
      <c r="G616" t="str">
        <f>IF('Bittrex Data'!B616="","",'Bittrex Data'!D616)</f>
        <v/>
      </c>
      <c r="H616" t="str">
        <f>IF('Bittrex Data'!C616="","",IF(Bittrex!C616="Buy",Bittrex!D616,IF(Bittrex!C616="Sale",Bittrex!E616,IF(AND(Bittrex!C616="Trade",'Bittrex Data'!C616="Limit_Sell"),Bittrex!E616,IF(AND(Bittrex!C616="Trade",'Bittrex Data'!C616="Limit_Buy"),Bittrex!D616,"")))))</f>
        <v/>
      </c>
      <c r="I616" t="str">
        <f>IF('Bittrex Data'!C616="","",IF(Bittrex!C616="Buy",F616,IF(C616="Sale",Bittrex!G616,IF(AND(C616="Trade",'Bittrex Data'!C616="Limit_Sell"),Bittrex!G616,IF(AND(Bittrex!C616="Trade",'Bittrex Data'!C616="Limit_Buy"),F616,"")))))</f>
        <v/>
      </c>
      <c r="J616" t="str">
        <f>IF('Bittrex Data'!B616="","",IF('Bittrex Data'!B616="","",IF(Bittrex!H616=Bittrex!E616,D616,Bittrex!E616)))</f>
        <v/>
      </c>
      <c r="K616" t="str">
        <f>IF('Bittrex Data'!B616="","",IF(Bittrex!I616=Bittrex!G616,Bittrex!F616,Bittrex!G616))</f>
        <v/>
      </c>
    </row>
    <row r="617" spans="3:11" x14ac:dyDescent="0.2">
      <c r="C617" t="str">
        <f>IF('Bittrex Data'!A617="","",IF(AND('Bittrex Data'!C617="LIMIT_SELL",Bittrex!D617="USD"),"Sale",IF(AND('Bittrex Data'!C617="LIMIT_BUY",Bittrex!D617="USD"),"Buy","Trade")))</f>
        <v/>
      </c>
      <c r="D617" t="str">
        <f>IF('Bittrex Data'!B617="","",LEFT(LEFT('Bittrex Data'!B617,SEARCH("-",'Bittrex Data'!B617,1)),LEN(LEFT('Bittrex Data'!B617,SEARCH("-",'Bittrex Data'!B617,1)))-1))</f>
        <v/>
      </c>
      <c r="E617" t="str">
        <f>IF('Bittrex Data'!B617="","",RIGHT(RIGHT('Bittrex Data'!B617,LEN('Bittrex Data'!B617)-SEARCH("-",'Bittrex Data'!B617,1)+1),LEN(RIGHT('Bittrex Data'!B617,LEN('Bittrex Data'!B617)-SEARCH("-",'Bittrex Data'!B617,1)+1))-1))</f>
        <v/>
      </c>
      <c r="F617" t="str">
        <f>IF('Bittrex Data'!C617="","",IF('Bittrex Data'!C617="Limit_Sell",'Bittrex Data'!G617-'Bittrex Data'!F617,IF('Bittrex Data'!C617="Limit_Buy",'Bittrex Data'!G617+'Bittrex Data'!F617,"")))</f>
        <v/>
      </c>
      <c r="G617" t="str">
        <f>IF('Bittrex Data'!B617="","",'Bittrex Data'!D617)</f>
        <v/>
      </c>
      <c r="H617" t="str">
        <f>IF('Bittrex Data'!C617="","",IF(Bittrex!C617="Buy",Bittrex!D617,IF(Bittrex!C617="Sale",Bittrex!E617,IF(AND(Bittrex!C617="Trade",'Bittrex Data'!C617="Limit_Sell"),Bittrex!E617,IF(AND(Bittrex!C617="Trade",'Bittrex Data'!C617="Limit_Buy"),Bittrex!D617,"")))))</f>
        <v/>
      </c>
      <c r="I617" t="str">
        <f>IF('Bittrex Data'!C617="","",IF(Bittrex!C617="Buy",F617,IF(C617="Sale",Bittrex!G617,IF(AND(C617="Trade",'Bittrex Data'!C617="Limit_Sell"),Bittrex!G617,IF(AND(Bittrex!C617="Trade",'Bittrex Data'!C617="Limit_Buy"),F617,"")))))</f>
        <v/>
      </c>
      <c r="J617" t="str">
        <f>IF('Bittrex Data'!B617="","",IF('Bittrex Data'!B617="","",IF(Bittrex!H617=Bittrex!E617,D617,Bittrex!E617)))</f>
        <v/>
      </c>
      <c r="K617" t="str">
        <f>IF('Bittrex Data'!B617="","",IF(Bittrex!I617=Bittrex!G617,Bittrex!F617,Bittrex!G617))</f>
        <v/>
      </c>
    </row>
    <row r="618" spans="3:11" x14ac:dyDescent="0.2">
      <c r="C618" t="str">
        <f>IF('Bittrex Data'!A618="","",IF(AND('Bittrex Data'!C618="LIMIT_SELL",Bittrex!D618="USD"),"Sale",IF(AND('Bittrex Data'!C618="LIMIT_BUY",Bittrex!D618="USD"),"Buy","Trade")))</f>
        <v/>
      </c>
      <c r="D618" t="str">
        <f>IF('Bittrex Data'!B618="","",LEFT(LEFT('Bittrex Data'!B618,SEARCH("-",'Bittrex Data'!B618,1)),LEN(LEFT('Bittrex Data'!B618,SEARCH("-",'Bittrex Data'!B618,1)))-1))</f>
        <v/>
      </c>
      <c r="E618" t="str">
        <f>IF('Bittrex Data'!B618="","",RIGHT(RIGHT('Bittrex Data'!B618,LEN('Bittrex Data'!B618)-SEARCH("-",'Bittrex Data'!B618,1)+1),LEN(RIGHT('Bittrex Data'!B618,LEN('Bittrex Data'!B618)-SEARCH("-",'Bittrex Data'!B618,1)+1))-1))</f>
        <v/>
      </c>
      <c r="F618" t="str">
        <f>IF('Bittrex Data'!C618="","",IF('Bittrex Data'!C618="Limit_Sell",'Bittrex Data'!G618-'Bittrex Data'!F618,IF('Bittrex Data'!C618="Limit_Buy",'Bittrex Data'!G618+'Bittrex Data'!F618,"")))</f>
        <v/>
      </c>
      <c r="G618" t="str">
        <f>IF('Bittrex Data'!B618="","",'Bittrex Data'!D618)</f>
        <v/>
      </c>
      <c r="H618" t="str">
        <f>IF('Bittrex Data'!C618="","",IF(Bittrex!C618="Buy",Bittrex!D618,IF(Bittrex!C618="Sale",Bittrex!E618,IF(AND(Bittrex!C618="Trade",'Bittrex Data'!C618="Limit_Sell"),Bittrex!E618,IF(AND(Bittrex!C618="Trade",'Bittrex Data'!C618="Limit_Buy"),Bittrex!D618,"")))))</f>
        <v/>
      </c>
      <c r="I618" t="str">
        <f>IF('Bittrex Data'!C618="","",IF(Bittrex!C618="Buy",F618,IF(C618="Sale",Bittrex!G618,IF(AND(C618="Trade",'Bittrex Data'!C618="Limit_Sell"),Bittrex!G618,IF(AND(Bittrex!C618="Trade",'Bittrex Data'!C618="Limit_Buy"),F618,"")))))</f>
        <v/>
      </c>
      <c r="J618" t="str">
        <f>IF('Bittrex Data'!B618="","",IF('Bittrex Data'!B618="","",IF(Bittrex!H618=Bittrex!E618,D618,Bittrex!E618)))</f>
        <v/>
      </c>
      <c r="K618" t="str">
        <f>IF('Bittrex Data'!B618="","",IF(Bittrex!I618=Bittrex!G618,Bittrex!F618,Bittrex!G618))</f>
        <v/>
      </c>
    </row>
    <row r="619" spans="3:11" x14ac:dyDescent="0.2">
      <c r="C619" t="str">
        <f>IF('Bittrex Data'!A619="","",IF(AND('Bittrex Data'!C619="LIMIT_SELL",Bittrex!D619="USD"),"Sale",IF(AND('Bittrex Data'!C619="LIMIT_BUY",Bittrex!D619="USD"),"Buy","Trade")))</f>
        <v/>
      </c>
      <c r="D619" t="str">
        <f>IF('Bittrex Data'!B619="","",LEFT(LEFT('Bittrex Data'!B619,SEARCH("-",'Bittrex Data'!B619,1)),LEN(LEFT('Bittrex Data'!B619,SEARCH("-",'Bittrex Data'!B619,1)))-1))</f>
        <v/>
      </c>
      <c r="E619" t="str">
        <f>IF('Bittrex Data'!B619="","",RIGHT(RIGHT('Bittrex Data'!B619,LEN('Bittrex Data'!B619)-SEARCH("-",'Bittrex Data'!B619,1)+1),LEN(RIGHT('Bittrex Data'!B619,LEN('Bittrex Data'!B619)-SEARCH("-",'Bittrex Data'!B619,1)+1))-1))</f>
        <v/>
      </c>
      <c r="F619" t="str">
        <f>IF('Bittrex Data'!C619="","",IF('Bittrex Data'!C619="Limit_Sell",'Bittrex Data'!G619-'Bittrex Data'!F619,IF('Bittrex Data'!C619="Limit_Buy",'Bittrex Data'!G619+'Bittrex Data'!F619,"")))</f>
        <v/>
      </c>
      <c r="G619" t="str">
        <f>IF('Bittrex Data'!B619="","",'Bittrex Data'!D619)</f>
        <v/>
      </c>
      <c r="H619" t="str">
        <f>IF('Bittrex Data'!C619="","",IF(Bittrex!C619="Buy",Bittrex!D619,IF(Bittrex!C619="Sale",Bittrex!E619,IF(AND(Bittrex!C619="Trade",'Bittrex Data'!C619="Limit_Sell"),Bittrex!E619,IF(AND(Bittrex!C619="Trade",'Bittrex Data'!C619="Limit_Buy"),Bittrex!D619,"")))))</f>
        <v/>
      </c>
      <c r="I619" t="str">
        <f>IF('Bittrex Data'!C619="","",IF(Bittrex!C619="Buy",F619,IF(C619="Sale",Bittrex!G619,IF(AND(C619="Trade",'Bittrex Data'!C619="Limit_Sell"),Bittrex!G619,IF(AND(Bittrex!C619="Trade",'Bittrex Data'!C619="Limit_Buy"),F619,"")))))</f>
        <v/>
      </c>
      <c r="J619" t="str">
        <f>IF('Bittrex Data'!B619="","",IF('Bittrex Data'!B619="","",IF(Bittrex!H619=Bittrex!E619,D619,Bittrex!E619)))</f>
        <v/>
      </c>
      <c r="K619" t="str">
        <f>IF('Bittrex Data'!B619="","",IF(Bittrex!I619=Bittrex!G619,Bittrex!F619,Bittrex!G619))</f>
        <v/>
      </c>
    </row>
    <row r="620" spans="3:11" x14ac:dyDescent="0.2">
      <c r="C620" t="str">
        <f>IF('Bittrex Data'!A620="","",IF(AND('Bittrex Data'!C620="LIMIT_SELL",Bittrex!D620="USD"),"Sale",IF(AND('Bittrex Data'!C620="LIMIT_BUY",Bittrex!D620="USD"),"Buy","Trade")))</f>
        <v/>
      </c>
      <c r="D620" t="str">
        <f>IF('Bittrex Data'!B620="","",LEFT(LEFT('Bittrex Data'!B620,SEARCH("-",'Bittrex Data'!B620,1)),LEN(LEFT('Bittrex Data'!B620,SEARCH("-",'Bittrex Data'!B620,1)))-1))</f>
        <v/>
      </c>
      <c r="E620" t="str">
        <f>IF('Bittrex Data'!B620="","",RIGHT(RIGHT('Bittrex Data'!B620,LEN('Bittrex Data'!B620)-SEARCH("-",'Bittrex Data'!B620,1)+1),LEN(RIGHT('Bittrex Data'!B620,LEN('Bittrex Data'!B620)-SEARCH("-",'Bittrex Data'!B620,1)+1))-1))</f>
        <v/>
      </c>
      <c r="F620" t="str">
        <f>IF('Bittrex Data'!C620="","",IF('Bittrex Data'!C620="Limit_Sell",'Bittrex Data'!G620-'Bittrex Data'!F620,IF('Bittrex Data'!C620="Limit_Buy",'Bittrex Data'!G620+'Bittrex Data'!F620,"")))</f>
        <v/>
      </c>
      <c r="G620" t="str">
        <f>IF('Bittrex Data'!B620="","",'Bittrex Data'!D620)</f>
        <v/>
      </c>
      <c r="H620" t="str">
        <f>IF('Bittrex Data'!C620="","",IF(Bittrex!C620="Buy",Bittrex!D620,IF(Bittrex!C620="Sale",Bittrex!E620,IF(AND(Bittrex!C620="Trade",'Bittrex Data'!C620="Limit_Sell"),Bittrex!E620,IF(AND(Bittrex!C620="Trade",'Bittrex Data'!C620="Limit_Buy"),Bittrex!D620,"")))))</f>
        <v/>
      </c>
      <c r="I620" t="str">
        <f>IF('Bittrex Data'!C620="","",IF(Bittrex!C620="Buy",F620,IF(C620="Sale",Bittrex!G620,IF(AND(C620="Trade",'Bittrex Data'!C620="Limit_Sell"),Bittrex!G620,IF(AND(Bittrex!C620="Trade",'Bittrex Data'!C620="Limit_Buy"),F620,"")))))</f>
        <v/>
      </c>
      <c r="J620" t="str">
        <f>IF('Bittrex Data'!B620="","",IF('Bittrex Data'!B620="","",IF(Bittrex!H620=Bittrex!E620,D620,Bittrex!E620)))</f>
        <v/>
      </c>
      <c r="K620" t="str">
        <f>IF('Bittrex Data'!B620="","",IF(Bittrex!I620=Bittrex!G620,Bittrex!F620,Bittrex!G620))</f>
        <v/>
      </c>
    </row>
    <row r="621" spans="3:11" x14ac:dyDescent="0.2">
      <c r="C621" t="str">
        <f>IF('Bittrex Data'!A621="","",IF(AND('Bittrex Data'!C621="LIMIT_SELL",Bittrex!D621="USD"),"Sale",IF(AND('Bittrex Data'!C621="LIMIT_BUY",Bittrex!D621="USD"),"Buy","Trade")))</f>
        <v/>
      </c>
      <c r="D621" t="str">
        <f>IF('Bittrex Data'!B621="","",LEFT(LEFT('Bittrex Data'!B621,SEARCH("-",'Bittrex Data'!B621,1)),LEN(LEFT('Bittrex Data'!B621,SEARCH("-",'Bittrex Data'!B621,1)))-1))</f>
        <v/>
      </c>
      <c r="E621" t="str">
        <f>IF('Bittrex Data'!B621="","",RIGHT(RIGHT('Bittrex Data'!B621,LEN('Bittrex Data'!B621)-SEARCH("-",'Bittrex Data'!B621,1)+1),LEN(RIGHT('Bittrex Data'!B621,LEN('Bittrex Data'!B621)-SEARCH("-",'Bittrex Data'!B621,1)+1))-1))</f>
        <v/>
      </c>
      <c r="F621" t="str">
        <f>IF('Bittrex Data'!C621="","",IF('Bittrex Data'!C621="Limit_Sell",'Bittrex Data'!G621-'Bittrex Data'!F621,IF('Bittrex Data'!C621="Limit_Buy",'Bittrex Data'!G621+'Bittrex Data'!F621,"")))</f>
        <v/>
      </c>
      <c r="G621" t="str">
        <f>IF('Bittrex Data'!B621="","",'Bittrex Data'!D621)</f>
        <v/>
      </c>
      <c r="H621" t="str">
        <f>IF('Bittrex Data'!C621="","",IF(Bittrex!C621="Buy",Bittrex!D621,IF(Bittrex!C621="Sale",Bittrex!E621,IF(AND(Bittrex!C621="Trade",'Bittrex Data'!C621="Limit_Sell"),Bittrex!E621,IF(AND(Bittrex!C621="Trade",'Bittrex Data'!C621="Limit_Buy"),Bittrex!D621,"")))))</f>
        <v/>
      </c>
      <c r="I621" t="str">
        <f>IF('Bittrex Data'!C621="","",IF(Bittrex!C621="Buy",F621,IF(C621="Sale",Bittrex!G621,IF(AND(C621="Trade",'Bittrex Data'!C621="Limit_Sell"),Bittrex!G621,IF(AND(Bittrex!C621="Trade",'Bittrex Data'!C621="Limit_Buy"),F621,"")))))</f>
        <v/>
      </c>
      <c r="J621" t="str">
        <f>IF('Bittrex Data'!B621="","",IF('Bittrex Data'!B621="","",IF(Bittrex!H621=Bittrex!E621,D621,Bittrex!E621)))</f>
        <v/>
      </c>
      <c r="K621" t="str">
        <f>IF('Bittrex Data'!B621="","",IF(Bittrex!I621=Bittrex!G621,Bittrex!F621,Bittrex!G621))</f>
        <v/>
      </c>
    </row>
    <row r="622" spans="3:11" x14ac:dyDescent="0.2">
      <c r="C622" t="str">
        <f>IF('Bittrex Data'!A622="","",IF(AND('Bittrex Data'!C622="LIMIT_SELL",Bittrex!D622="USD"),"Sale",IF(AND('Bittrex Data'!C622="LIMIT_BUY",Bittrex!D622="USD"),"Buy","Trade")))</f>
        <v/>
      </c>
      <c r="D622" t="str">
        <f>IF('Bittrex Data'!B622="","",LEFT(LEFT('Bittrex Data'!B622,SEARCH("-",'Bittrex Data'!B622,1)),LEN(LEFT('Bittrex Data'!B622,SEARCH("-",'Bittrex Data'!B622,1)))-1))</f>
        <v/>
      </c>
      <c r="E622" t="str">
        <f>IF('Bittrex Data'!B622="","",RIGHT(RIGHT('Bittrex Data'!B622,LEN('Bittrex Data'!B622)-SEARCH("-",'Bittrex Data'!B622,1)+1),LEN(RIGHT('Bittrex Data'!B622,LEN('Bittrex Data'!B622)-SEARCH("-",'Bittrex Data'!B622,1)+1))-1))</f>
        <v/>
      </c>
      <c r="F622" t="str">
        <f>IF('Bittrex Data'!C622="","",IF('Bittrex Data'!C622="Limit_Sell",'Bittrex Data'!G622-'Bittrex Data'!F622,IF('Bittrex Data'!C622="Limit_Buy",'Bittrex Data'!G622+'Bittrex Data'!F622,"")))</f>
        <v/>
      </c>
      <c r="G622" t="str">
        <f>IF('Bittrex Data'!B622="","",'Bittrex Data'!D622)</f>
        <v/>
      </c>
      <c r="H622" t="str">
        <f>IF('Bittrex Data'!C622="","",IF(Bittrex!C622="Buy",Bittrex!D622,IF(Bittrex!C622="Sale",Bittrex!E622,IF(AND(Bittrex!C622="Trade",'Bittrex Data'!C622="Limit_Sell"),Bittrex!E622,IF(AND(Bittrex!C622="Trade",'Bittrex Data'!C622="Limit_Buy"),Bittrex!D622,"")))))</f>
        <v/>
      </c>
      <c r="I622" t="str">
        <f>IF('Bittrex Data'!C622="","",IF(Bittrex!C622="Buy",F622,IF(C622="Sale",Bittrex!G622,IF(AND(C622="Trade",'Bittrex Data'!C622="Limit_Sell"),Bittrex!G622,IF(AND(Bittrex!C622="Trade",'Bittrex Data'!C622="Limit_Buy"),F622,"")))))</f>
        <v/>
      </c>
      <c r="J622" t="str">
        <f>IF('Bittrex Data'!B622="","",IF('Bittrex Data'!B622="","",IF(Bittrex!H622=Bittrex!E622,D622,Bittrex!E622)))</f>
        <v/>
      </c>
      <c r="K622" t="str">
        <f>IF('Bittrex Data'!B622="","",IF(Bittrex!I622=Bittrex!G622,Bittrex!F622,Bittrex!G622))</f>
        <v/>
      </c>
    </row>
    <row r="623" spans="3:11" x14ac:dyDescent="0.2">
      <c r="C623" t="str">
        <f>IF('Bittrex Data'!A623="","",IF(AND('Bittrex Data'!C623="LIMIT_SELL",Bittrex!D623="USD"),"Sale",IF(AND('Bittrex Data'!C623="LIMIT_BUY",Bittrex!D623="USD"),"Buy","Trade")))</f>
        <v/>
      </c>
      <c r="D623" t="str">
        <f>IF('Bittrex Data'!B623="","",LEFT(LEFT('Bittrex Data'!B623,SEARCH("-",'Bittrex Data'!B623,1)),LEN(LEFT('Bittrex Data'!B623,SEARCH("-",'Bittrex Data'!B623,1)))-1))</f>
        <v/>
      </c>
      <c r="E623" t="str">
        <f>IF('Bittrex Data'!B623="","",RIGHT(RIGHT('Bittrex Data'!B623,LEN('Bittrex Data'!B623)-SEARCH("-",'Bittrex Data'!B623,1)+1),LEN(RIGHT('Bittrex Data'!B623,LEN('Bittrex Data'!B623)-SEARCH("-",'Bittrex Data'!B623,1)+1))-1))</f>
        <v/>
      </c>
      <c r="F623" t="str">
        <f>IF('Bittrex Data'!C623="","",IF('Bittrex Data'!C623="Limit_Sell",'Bittrex Data'!G623-'Bittrex Data'!F623,IF('Bittrex Data'!C623="Limit_Buy",'Bittrex Data'!G623+'Bittrex Data'!F623,"")))</f>
        <v/>
      </c>
      <c r="G623" t="str">
        <f>IF('Bittrex Data'!B623="","",'Bittrex Data'!D623)</f>
        <v/>
      </c>
      <c r="H623" t="str">
        <f>IF('Bittrex Data'!C623="","",IF(Bittrex!C623="Buy",Bittrex!D623,IF(Bittrex!C623="Sale",Bittrex!E623,IF(AND(Bittrex!C623="Trade",'Bittrex Data'!C623="Limit_Sell"),Bittrex!E623,IF(AND(Bittrex!C623="Trade",'Bittrex Data'!C623="Limit_Buy"),Bittrex!D623,"")))))</f>
        <v/>
      </c>
      <c r="I623" t="str">
        <f>IF('Bittrex Data'!C623="","",IF(Bittrex!C623="Buy",F623,IF(C623="Sale",Bittrex!G623,IF(AND(C623="Trade",'Bittrex Data'!C623="Limit_Sell"),Bittrex!G623,IF(AND(Bittrex!C623="Trade",'Bittrex Data'!C623="Limit_Buy"),F623,"")))))</f>
        <v/>
      </c>
      <c r="J623" t="str">
        <f>IF('Bittrex Data'!B623="","",IF('Bittrex Data'!B623="","",IF(Bittrex!H623=Bittrex!E623,D623,Bittrex!E623)))</f>
        <v/>
      </c>
      <c r="K623" t="str">
        <f>IF('Bittrex Data'!B623="","",IF(Bittrex!I623=Bittrex!G623,Bittrex!F623,Bittrex!G623))</f>
        <v/>
      </c>
    </row>
    <row r="624" spans="3:11" x14ac:dyDescent="0.2">
      <c r="C624" t="str">
        <f>IF('Bittrex Data'!A624="","",IF(AND('Bittrex Data'!C624="LIMIT_SELL",Bittrex!D624="USD"),"Sale",IF(AND('Bittrex Data'!C624="LIMIT_BUY",Bittrex!D624="USD"),"Buy","Trade")))</f>
        <v/>
      </c>
      <c r="D624" t="str">
        <f>IF('Bittrex Data'!B624="","",LEFT(LEFT('Bittrex Data'!B624,SEARCH("-",'Bittrex Data'!B624,1)),LEN(LEFT('Bittrex Data'!B624,SEARCH("-",'Bittrex Data'!B624,1)))-1))</f>
        <v/>
      </c>
      <c r="E624" t="str">
        <f>IF('Bittrex Data'!B624="","",RIGHT(RIGHT('Bittrex Data'!B624,LEN('Bittrex Data'!B624)-SEARCH("-",'Bittrex Data'!B624,1)+1),LEN(RIGHT('Bittrex Data'!B624,LEN('Bittrex Data'!B624)-SEARCH("-",'Bittrex Data'!B624,1)+1))-1))</f>
        <v/>
      </c>
      <c r="F624" t="str">
        <f>IF('Bittrex Data'!C624="","",IF('Bittrex Data'!C624="Limit_Sell",'Bittrex Data'!G624-'Bittrex Data'!F624,IF('Bittrex Data'!C624="Limit_Buy",'Bittrex Data'!G624+'Bittrex Data'!F624,"")))</f>
        <v/>
      </c>
      <c r="G624" t="str">
        <f>IF('Bittrex Data'!B624="","",'Bittrex Data'!D624)</f>
        <v/>
      </c>
      <c r="H624" t="str">
        <f>IF('Bittrex Data'!C624="","",IF(Bittrex!C624="Buy",Bittrex!D624,IF(Bittrex!C624="Sale",Bittrex!E624,IF(AND(Bittrex!C624="Trade",'Bittrex Data'!C624="Limit_Sell"),Bittrex!E624,IF(AND(Bittrex!C624="Trade",'Bittrex Data'!C624="Limit_Buy"),Bittrex!D624,"")))))</f>
        <v/>
      </c>
      <c r="I624" t="str">
        <f>IF('Bittrex Data'!C624="","",IF(Bittrex!C624="Buy",F624,IF(C624="Sale",Bittrex!G624,IF(AND(C624="Trade",'Bittrex Data'!C624="Limit_Sell"),Bittrex!G624,IF(AND(Bittrex!C624="Trade",'Bittrex Data'!C624="Limit_Buy"),F624,"")))))</f>
        <v/>
      </c>
      <c r="J624" t="str">
        <f>IF('Bittrex Data'!B624="","",IF('Bittrex Data'!B624="","",IF(Bittrex!H624=Bittrex!E624,D624,Bittrex!E624)))</f>
        <v/>
      </c>
      <c r="K624" t="str">
        <f>IF('Bittrex Data'!B624="","",IF(Bittrex!I624=Bittrex!G624,Bittrex!F624,Bittrex!G624))</f>
        <v/>
      </c>
    </row>
    <row r="625" spans="3:11" x14ac:dyDescent="0.2">
      <c r="C625" t="str">
        <f>IF('Bittrex Data'!A625="","",IF(AND('Bittrex Data'!C625="LIMIT_SELL",Bittrex!D625="USD"),"Sale",IF(AND('Bittrex Data'!C625="LIMIT_BUY",Bittrex!D625="USD"),"Buy","Trade")))</f>
        <v/>
      </c>
      <c r="D625" t="str">
        <f>IF('Bittrex Data'!B625="","",LEFT(LEFT('Bittrex Data'!B625,SEARCH("-",'Bittrex Data'!B625,1)),LEN(LEFT('Bittrex Data'!B625,SEARCH("-",'Bittrex Data'!B625,1)))-1))</f>
        <v/>
      </c>
      <c r="E625" t="str">
        <f>IF('Bittrex Data'!B625="","",RIGHT(RIGHT('Bittrex Data'!B625,LEN('Bittrex Data'!B625)-SEARCH("-",'Bittrex Data'!B625,1)+1),LEN(RIGHT('Bittrex Data'!B625,LEN('Bittrex Data'!B625)-SEARCH("-",'Bittrex Data'!B625,1)+1))-1))</f>
        <v/>
      </c>
      <c r="F625" t="str">
        <f>IF('Bittrex Data'!C625="","",IF('Bittrex Data'!C625="Limit_Sell",'Bittrex Data'!G625-'Bittrex Data'!F625,IF('Bittrex Data'!C625="Limit_Buy",'Bittrex Data'!G625+'Bittrex Data'!F625,"")))</f>
        <v/>
      </c>
      <c r="G625" t="str">
        <f>IF('Bittrex Data'!B625="","",'Bittrex Data'!D625)</f>
        <v/>
      </c>
      <c r="H625" t="str">
        <f>IF('Bittrex Data'!C625="","",IF(Bittrex!C625="Buy",Bittrex!D625,IF(Bittrex!C625="Sale",Bittrex!E625,IF(AND(Bittrex!C625="Trade",'Bittrex Data'!C625="Limit_Sell"),Bittrex!E625,IF(AND(Bittrex!C625="Trade",'Bittrex Data'!C625="Limit_Buy"),Bittrex!D625,"")))))</f>
        <v/>
      </c>
      <c r="I625" t="str">
        <f>IF('Bittrex Data'!C625="","",IF(Bittrex!C625="Buy",F625,IF(C625="Sale",Bittrex!G625,IF(AND(C625="Trade",'Bittrex Data'!C625="Limit_Sell"),Bittrex!G625,IF(AND(Bittrex!C625="Trade",'Bittrex Data'!C625="Limit_Buy"),F625,"")))))</f>
        <v/>
      </c>
      <c r="J625" t="str">
        <f>IF('Bittrex Data'!B625="","",IF('Bittrex Data'!B625="","",IF(Bittrex!H625=Bittrex!E625,D625,Bittrex!E625)))</f>
        <v/>
      </c>
      <c r="K625" t="str">
        <f>IF('Bittrex Data'!B625="","",IF(Bittrex!I625=Bittrex!G625,Bittrex!F625,Bittrex!G625))</f>
        <v/>
      </c>
    </row>
    <row r="626" spans="3:11" x14ac:dyDescent="0.2">
      <c r="C626" t="str">
        <f>IF('Bittrex Data'!A626="","",IF(AND('Bittrex Data'!C626="LIMIT_SELL",Bittrex!D626="USD"),"Sale",IF(AND('Bittrex Data'!C626="LIMIT_BUY",Bittrex!D626="USD"),"Buy","Trade")))</f>
        <v/>
      </c>
      <c r="D626" t="str">
        <f>IF('Bittrex Data'!B626="","",LEFT(LEFT('Bittrex Data'!B626,SEARCH("-",'Bittrex Data'!B626,1)),LEN(LEFT('Bittrex Data'!B626,SEARCH("-",'Bittrex Data'!B626,1)))-1))</f>
        <v/>
      </c>
      <c r="E626" t="str">
        <f>IF('Bittrex Data'!B626="","",RIGHT(RIGHT('Bittrex Data'!B626,LEN('Bittrex Data'!B626)-SEARCH("-",'Bittrex Data'!B626,1)+1),LEN(RIGHT('Bittrex Data'!B626,LEN('Bittrex Data'!B626)-SEARCH("-",'Bittrex Data'!B626,1)+1))-1))</f>
        <v/>
      </c>
      <c r="F626" t="str">
        <f>IF('Bittrex Data'!C626="","",IF('Bittrex Data'!C626="Limit_Sell",'Bittrex Data'!G626-'Bittrex Data'!F626,IF('Bittrex Data'!C626="Limit_Buy",'Bittrex Data'!G626+'Bittrex Data'!F626,"")))</f>
        <v/>
      </c>
      <c r="G626" t="str">
        <f>IF('Bittrex Data'!B626="","",'Bittrex Data'!D626)</f>
        <v/>
      </c>
      <c r="H626" t="str">
        <f>IF('Bittrex Data'!C626="","",IF(Bittrex!C626="Buy",Bittrex!D626,IF(Bittrex!C626="Sale",Bittrex!E626,IF(AND(Bittrex!C626="Trade",'Bittrex Data'!C626="Limit_Sell"),Bittrex!E626,IF(AND(Bittrex!C626="Trade",'Bittrex Data'!C626="Limit_Buy"),Bittrex!D626,"")))))</f>
        <v/>
      </c>
      <c r="I626" t="str">
        <f>IF('Bittrex Data'!C626="","",IF(Bittrex!C626="Buy",F626,IF(C626="Sale",Bittrex!G626,IF(AND(C626="Trade",'Bittrex Data'!C626="Limit_Sell"),Bittrex!G626,IF(AND(Bittrex!C626="Trade",'Bittrex Data'!C626="Limit_Buy"),F626,"")))))</f>
        <v/>
      </c>
      <c r="J626" t="str">
        <f>IF('Bittrex Data'!B626="","",IF('Bittrex Data'!B626="","",IF(Bittrex!H626=Bittrex!E626,D626,Bittrex!E626)))</f>
        <v/>
      </c>
      <c r="K626" t="str">
        <f>IF('Bittrex Data'!B626="","",IF(Bittrex!I626=Bittrex!G626,Bittrex!F626,Bittrex!G626))</f>
        <v/>
      </c>
    </row>
    <row r="627" spans="3:11" x14ac:dyDescent="0.2">
      <c r="C627" t="str">
        <f>IF('Bittrex Data'!A627="","",IF(AND('Bittrex Data'!C627="LIMIT_SELL",Bittrex!D627="USD"),"Sale",IF(AND('Bittrex Data'!C627="LIMIT_BUY",Bittrex!D627="USD"),"Buy","Trade")))</f>
        <v/>
      </c>
      <c r="D627" t="str">
        <f>IF('Bittrex Data'!B627="","",LEFT(LEFT('Bittrex Data'!B627,SEARCH("-",'Bittrex Data'!B627,1)),LEN(LEFT('Bittrex Data'!B627,SEARCH("-",'Bittrex Data'!B627,1)))-1))</f>
        <v/>
      </c>
      <c r="E627" t="str">
        <f>IF('Bittrex Data'!B627="","",RIGHT(RIGHT('Bittrex Data'!B627,LEN('Bittrex Data'!B627)-SEARCH("-",'Bittrex Data'!B627,1)+1),LEN(RIGHT('Bittrex Data'!B627,LEN('Bittrex Data'!B627)-SEARCH("-",'Bittrex Data'!B627,1)+1))-1))</f>
        <v/>
      </c>
      <c r="F627" t="str">
        <f>IF('Bittrex Data'!C627="","",IF('Bittrex Data'!C627="Limit_Sell",'Bittrex Data'!G627-'Bittrex Data'!F627,IF('Bittrex Data'!C627="Limit_Buy",'Bittrex Data'!G627+'Bittrex Data'!F627,"")))</f>
        <v/>
      </c>
      <c r="G627" t="str">
        <f>IF('Bittrex Data'!B627="","",'Bittrex Data'!D627)</f>
        <v/>
      </c>
      <c r="H627" t="str">
        <f>IF('Bittrex Data'!C627="","",IF(Bittrex!C627="Buy",Bittrex!D627,IF(Bittrex!C627="Sale",Bittrex!E627,IF(AND(Bittrex!C627="Trade",'Bittrex Data'!C627="Limit_Sell"),Bittrex!E627,IF(AND(Bittrex!C627="Trade",'Bittrex Data'!C627="Limit_Buy"),Bittrex!D627,"")))))</f>
        <v/>
      </c>
      <c r="I627" t="str">
        <f>IF('Bittrex Data'!C627="","",IF(Bittrex!C627="Buy",F627,IF(C627="Sale",Bittrex!G627,IF(AND(C627="Trade",'Bittrex Data'!C627="Limit_Sell"),Bittrex!G627,IF(AND(Bittrex!C627="Trade",'Bittrex Data'!C627="Limit_Buy"),F627,"")))))</f>
        <v/>
      </c>
      <c r="J627" t="str">
        <f>IF('Bittrex Data'!B627="","",IF('Bittrex Data'!B627="","",IF(Bittrex!H627=Bittrex!E627,D627,Bittrex!E627)))</f>
        <v/>
      </c>
      <c r="K627" t="str">
        <f>IF('Bittrex Data'!B627="","",IF(Bittrex!I627=Bittrex!G627,Bittrex!F627,Bittrex!G627))</f>
        <v/>
      </c>
    </row>
    <row r="628" spans="3:11" x14ac:dyDescent="0.2">
      <c r="C628" t="str">
        <f>IF('Bittrex Data'!A628="","",IF(AND('Bittrex Data'!C628="LIMIT_SELL",Bittrex!D628="USD"),"Sale",IF(AND('Bittrex Data'!C628="LIMIT_BUY",Bittrex!D628="USD"),"Buy","Trade")))</f>
        <v/>
      </c>
      <c r="D628" t="str">
        <f>IF('Bittrex Data'!B628="","",LEFT(LEFT('Bittrex Data'!B628,SEARCH("-",'Bittrex Data'!B628,1)),LEN(LEFT('Bittrex Data'!B628,SEARCH("-",'Bittrex Data'!B628,1)))-1))</f>
        <v/>
      </c>
      <c r="E628" t="str">
        <f>IF('Bittrex Data'!B628="","",RIGHT(RIGHT('Bittrex Data'!B628,LEN('Bittrex Data'!B628)-SEARCH("-",'Bittrex Data'!B628,1)+1),LEN(RIGHT('Bittrex Data'!B628,LEN('Bittrex Data'!B628)-SEARCH("-",'Bittrex Data'!B628,1)+1))-1))</f>
        <v/>
      </c>
      <c r="F628" t="str">
        <f>IF('Bittrex Data'!C628="","",IF('Bittrex Data'!C628="Limit_Sell",'Bittrex Data'!G628-'Bittrex Data'!F628,IF('Bittrex Data'!C628="Limit_Buy",'Bittrex Data'!G628+'Bittrex Data'!F628,"")))</f>
        <v/>
      </c>
      <c r="G628" t="str">
        <f>IF('Bittrex Data'!B628="","",'Bittrex Data'!D628)</f>
        <v/>
      </c>
      <c r="H628" t="str">
        <f>IF('Bittrex Data'!C628="","",IF(Bittrex!C628="Buy",Bittrex!D628,IF(Bittrex!C628="Sale",Bittrex!E628,IF(AND(Bittrex!C628="Trade",'Bittrex Data'!C628="Limit_Sell"),Bittrex!E628,IF(AND(Bittrex!C628="Trade",'Bittrex Data'!C628="Limit_Buy"),Bittrex!D628,"")))))</f>
        <v/>
      </c>
      <c r="I628" t="str">
        <f>IF('Bittrex Data'!C628="","",IF(Bittrex!C628="Buy",F628,IF(C628="Sale",Bittrex!G628,IF(AND(C628="Trade",'Bittrex Data'!C628="Limit_Sell"),Bittrex!G628,IF(AND(Bittrex!C628="Trade",'Bittrex Data'!C628="Limit_Buy"),F628,"")))))</f>
        <v/>
      </c>
      <c r="J628" t="str">
        <f>IF('Bittrex Data'!B628="","",IF('Bittrex Data'!B628="","",IF(Bittrex!H628=Bittrex!E628,D628,Bittrex!E628)))</f>
        <v/>
      </c>
      <c r="K628" t="str">
        <f>IF('Bittrex Data'!B628="","",IF(Bittrex!I628=Bittrex!G628,Bittrex!F628,Bittrex!G628))</f>
        <v/>
      </c>
    </row>
    <row r="629" spans="3:11" x14ac:dyDescent="0.2">
      <c r="C629" t="str">
        <f>IF('Bittrex Data'!A629="","",IF(AND('Bittrex Data'!C629="LIMIT_SELL",Bittrex!D629="USD"),"Sale",IF(AND('Bittrex Data'!C629="LIMIT_BUY",Bittrex!D629="USD"),"Buy","Trade")))</f>
        <v/>
      </c>
      <c r="D629" t="str">
        <f>IF('Bittrex Data'!B629="","",LEFT(LEFT('Bittrex Data'!B629,SEARCH("-",'Bittrex Data'!B629,1)),LEN(LEFT('Bittrex Data'!B629,SEARCH("-",'Bittrex Data'!B629,1)))-1))</f>
        <v/>
      </c>
      <c r="E629" t="str">
        <f>IF('Bittrex Data'!B629="","",RIGHT(RIGHT('Bittrex Data'!B629,LEN('Bittrex Data'!B629)-SEARCH("-",'Bittrex Data'!B629,1)+1),LEN(RIGHT('Bittrex Data'!B629,LEN('Bittrex Data'!B629)-SEARCH("-",'Bittrex Data'!B629,1)+1))-1))</f>
        <v/>
      </c>
      <c r="F629" t="str">
        <f>IF('Bittrex Data'!C629="","",IF('Bittrex Data'!C629="Limit_Sell",'Bittrex Data'!G629-'Bittrex Data'!F629,IF('Bittrex Data'!C629="Limit_Buy",'Bittrex Data'!G629+'Bittrex Data'!F629,"")))</f>
        <v/>
      </c>
      <c r="G629" t="str">
        <f>IF('Bittrex Data'!B629="","",'Bittrex Data'!D629)</f>
        <v/>
      </c>
      <c r="H629" t="str">
        <f>IF('Bittrex Data'!C629="","",IF(Bittrex!C629="Buy",Bittrex!D629,IF(Bittrex!C629="Sale",Bittrex!E629,IF(AND(Bittrex!C629="Trade",'Bittrex Data'!C629="Limit_Sell"),Bittrex!E629,IF(AND(Bittrex!C629="Trade",'Bittrex Data'!C629="Limit_Buy"),Bittrex!D629,"")))))</f>
        <v/>
      </c>
      <c r="I629" t="str">
        <f>IF('Bittrex Data'!C629="","",IF(Bittrex!C629="Buy",F629,IF(C629="Sale",Bittrex!G629,IF(AND(C629="Trade",'Bittrex Data'!C629="Limit_Sell"),Bittrex!G629,IF(AND(Bittrex!C629="Trade",'Bittrex Data'!C629="Limit_Buy"),F629,"")))))</f>
        <v/>
      </c>
      <c r="J629" t="str">
        <f>IF('Bittrex Data'!B629="","",IF('Bittrex Data'!B629="","",IF(Bittrex!H629=Bittrex!E629,D629,Bittrex!E629)))</f>
        <v/>
      </c>
      <c r="K629" t="str">
        <f>IF('Bittrex Data'!B629="","",IF(Bittrex!I629=Bittrex!G629,Bittrex!F629,Bittrex!G629))</f>
        <v/>
      </c>
    </row>
    <row r="630" spans="3:11" x14ac:dyDescent="0.2">
      <c r="C630" t="str">
        <f>IF('Bittrex Data'!A630="","",IF(AND('Bittrex Data'!C630="LIMIT_SELL",Bittrex!D630="USD"),"Sale",IF(AND('Bittrex Data'!C630="LIMIT_BUY",Bittrex!D630="USD"),"Buy","Trade")))</f>
        <v/>
      </c>
      <c r="D630" t="str">
        <f>IF('Bittrex Data'!B630="","",LEFT(LEFT('Bittrex Data'!B630,SEARCH("-",'Bittrex Data'!B630,1)),LEN(LEFT('Bittrex Data'!B630,SEARCH("-",'Bittrex Data'!B630,1)))-1))</f>
        <v/>
      </c>
      <c r="E630" t="str">
        <f>IF('Bittrex Data'!B630="","",RIGHT(RIGHT('Bittrex Data'!B630,LEN('Bittrex Data'!B630)-SEARCH("-",'Bittrex Data'!B630,1)+1),LEN(RIGHT('Bittrex Data'!B630,LEN('Bittrex Data'!B630)-SEARCH("-",'Bittrex Data'!B630,1)+1))-1))</f>
        <v/>
      </c>
      <c r="F630" t="str">
        <f>IF('Bittrex Data'!C630="","",IF('Bittrex Data'!C630="Limit_Sell",'Bittrex Data'!G630-'Bittrex Data'!F630,IF('Bittrex Data'!C630="Limit_Buy",'Bittrex Data'!G630+'Bittrex Data'!F630,"")))</f>
        <v/>
      </c>
      <c r="G630" t="str">
        <f>IF('Bittrex Data'!B630="","",'Bittrex Data'!D630)</f>
        <v/>
      </c>
      <c r="H630" t="str">
        <f>IF('Bittrex Data'!C630="","",IF(Bittrex!C630="Buy",Bittrex!D630,IF(Bittrex!C630="Sale",Bittrex!E630,IF(AND(Bittrex!C630="Trade",'Bittrex Data'!C630="Limit_Sell"),Bittrex!E630,IF(AND(Bittrex!C630="Trade",'Bittrex Data'!C630="Limit_Buy"),Bittrex!D630,"")))))</f>
        <v/>
      </c>
      <c r="I630" t="str">
        <f>IF('Bittrex Data'!C630="","",IF(Bittrex!C630="Buy",F630,IF(C630="Sale",Bittrex!G630,IF(AND(C630="Trade",'Bittrex Data'!C630="Limit_Sell"),Bittrex!G630,IF(AND(Bittrex!C630="Trade",'Bittrex Data'!C630="Limit_Buy"),F630,"")))))</f>
        <v/>
      </c>
      <c r="J630" t="str">
        <f>IF('Bittrex Data'!B630="","",IF('Bittrex Data'!B630="","",IF(Bittrex!H630=Bittrex!E630,D630,Bittrex!E630)))</f>
        <v/>
      </c>
      <c r="K630" t="str">
        <f>IF('Bittrex Data'!B630="","",IF(Bittrex!I630=Bittrex!G630,Bittrex!F630,Bittrex!G630))</f>
        <v/>
      </c>
    </row>
    <row r="631" spans="3:11" x14ac:dyDescent="0.2">
      <c r="C631" t="str">
        <f>IF('Bittrex Data'!A631="","",IF(AND('Bittrex Data'!C631="LIMIT_SELL",Bittrex!D631="USD"),"Sale",IF(AND('Bittrex Data'!C631="LIMIT_BUY",Bittrex!D631="USD"),"Buy","Trade")))</f>
        <v/>
      </c>
      <c r="D631" t="str">
        <f>IF('Bittrex Data'!B631="","",LEFT(LEFT('Bittrex Data'!B631,SEARCH("-",'Bittrex Data'!B631,1)),LEN(LEFT('Bittrex Data'!B631,SEARCH("-",'Bittrex Data'!B631,1)))-1))</f>
        <v/>
      </c>
      <c r="E631" t="str">
        <f>IF('Bittrex Data'!B631="","",RIGHT(RIGHT('Bittrex Data'!B631,LEN('Bittrex Data'!B631)-SEARCH("-",'Bittrex Data'!B631,1)+1),LEN(RIGHT('Bittrex Data'!B631,LEN('Bittrex Data'!B631)-SEARCH("-",'Bittrex Data'!B631,1)+1))-1))</f>
        <v/>
      </c>
      <c r="F631" t="str">
        <f>IF('Bittrex Data'!C631="","",IF('Bittrex Data'!C631="Limit_Sell",'Bittrex Data'!G631-'Bittrex Data'!F631,IF('Bittrex Data'!C631="Limit_Buy",'Bittrex Data'!G631+'Bittrex Data'!F631,"")))</f>
        <v/>
      </c>
      <c r="G631" t="str">
        <f>IF('Bittrex Data'!B631="","",'Bittrex Data'!D631)</f>
        <v/>
      </c>
      <c r="H631" t="str">
        <f>IF('Bittrex Data'!C631="","",IF(Bittrex!C631="Buy",Bittrex!D631,IF(Bittrex!C631="Sale",Bittrex!E631,IF(AND(Bittrex!C631="Trade",'Bittrex Data'!C631="Limit_Sell"),Bittrex!E631,IF(AND(Bittrex!C631="Trade",'Bittrex Data'!C631="Limit_Buy"),Bittrex!D631,"")))))</f>
        <v/>
      </c>
      <c r="I631" t="str">
        <f>IF('Bittrex Data'!C631="","",IF(Bittrex!C631="Buy",F631,IF(C631="Sale",Bittrex!G631,IF(AND(C631="Trade",'Bittrex Data'!C631="Limit_Sell"),Bittrex!G631,IF(AND(Bittrex!C631="Trade",'Bittrex Data'!C631="Limit_Buy"),F631,"")))))</f>
        <v/>
      </c>
      <c r="J631" t="str">
        <f>IF('Bittrex Data'!B631="","",IF('Bittrex Data'!B631="","",IF(Bittrex!H631=Bittrex!E631,D631,Bittrex!E631)))</f>
        <v/>
      </c>
      <c r="K631" t="str">
        <f>IF('Bittrex Data'!B631="","",IF(Bittrex!I631=Bittrex!G631,Bittrex!F631,Bittrex!G631))</f>
        <v/>
      </c>
    </row>
    <row r="632" spans="3:11" x14ac:dyDescent="0.2">
      <c r="C632" t="str">
        <f>IF('Bittrex Data'!A632="","",IF(AND('Bittrex Data'!C632="LIMIT_SELL",Bittrex!D632="USD"),"Sale",IF(AND('Bittrex Data'!C632="LIMIT_BUY",Bittrex!D632="USD"),"Buy","Trade")))</f>
        <v/>
      </c>
      <c r="D632" t="str">
        <f>IF('Bittrex Data'!B632="","",LEFT(LEFT('Bittrex Data'!B632,SEARCH("-",'Bittrex Data'!B632,1)),LEN(LEFT('Bittrex Data'!B632,SEARCH("-",'Bittrex Data'!B632,1)))-1))</f>
        <v/>
      </c>
      <c r="E632" t="str">
        <f>IF('Bittrex Data'!B632="","",RIGHT(RIGHT('Bittrex Data'!B632,LEN('Bittrex Data'!B632)-SEARCH("-",'Bittrex Data'!B632,1)+1),LEN(RIGHT('Bittrex Data'!B632,LEN('Bittrex Data'!B632)-SEARCH("-",'Bittrex Data'!B632,1)+1))-1))</f>
        <v/>
      </c>
      <c r="F632" t="str">
        <f>IF('Bittrex Data'!C632="","",IF('Bittrex Data'!C632="Limit_Sell",'Bittrex Data'!G632-'Bittrex Data'!F632,IF('Bittrex Data'!C632="Limit_Buy",'Bittrex Data'!G632+'Bittrex Data'!F632,"")))</f>
        <v/>
      </c>
      <c r="G632" t="str">
        <f>IF('Bittrex Data'!B632="","",'Bittrex Data'!D632)</f>
        <v/>
      </c>
      <c r="H632" t="str">
        <f>IF('Bittrex Data'!C632="","",IF(Bittrex!C632="Buy",Bittrex!D632,IF(Bittrex!C632="Sale",Bittrex!E632,IF(AND(Bittrex!C632="Trade",'Bittrex Data'!C632="Limit_Sell"),Bittrex!E632,IF(AND(Bittrex!C632="Trade",'Bittrex Data'!C632="Limit_Buy"),Bittrex!D632,"")))))</f>
        <v/>
      </c>
      <c r="I632" t="str">
        <f>IF('Bittrex Data'!C632="","",IF(Bittrex!C632="Buy",F632,IF(C632="Sale",Bittrex!G632,IF(AND(C632="Trade",'Bittrex Data'!C632="Limit_Sell"),Bittrex!G632,IF(AND(Bittrex!C632="Trade",'Bittrex Data'!C632="Limit_Buy"),F632,"")))))</f>
        <v/>
      </c>
      <c r="J632" t="str">
        <f>IF('Bittrex Data'!B632="","",IF('Bittrex Data'!B632="","",IF(Bittrex!H632=Bittrex!E632,D632,Bittrex!E632)))</f>
        <v/>
      </c>
      <c r="K632" t="str">
        <f>IF('Bittrex Data'!B632="","",IF(Bittrex!I632=Bittrex!G632,Bittrex!F632,Bittrex!G632))</f>
        <v/>
      </c>
    </row>
    <row r="633" spans="3:11" x14ac:dyDescent="0.2">
      <c r="C633" t="str">
        <f>IF('Bittrex Data'!A633="","",IF(AND('Bittrex Data'!C633="LIMIT_SELL",Bittrex!D633="USD"),"Sale",IF(AND('Bittrex Data'!C633="LIMIT_BUY",Bittrex!D633="USD"),"Buy","Trade")))</f>
        <v/>
      </c>
      <c r="D633" t="str">
        <f>IF('Bittrex Data'!B633="","",LEFT(LEFT('Bittrex Data'!B633,SEARCH("-",'Bittrex Data'!B633,1)),LEN(LEFT('Bittrex Data'!B633,SEARCH("-",'Bittrex Data'!B633,1)))-1))</f>
        <v/>
      </c>
      <c r="E633" t="str">
        <f>IF('Bittrex Data'!B633="","",RIGHT(RIGHT('Bittrex Data'!B633,LEN('Bittrex Data'!B633)-SEARCH("-",'Bittrex Data'!B633,1)+1),LEN(RIGHT('Bittrex Data'!B633,LEN('Bittrex Data'!B633)-SEARCH("-",'Bittrex Data'!B633,1)+1))-1))</f>
        <v/>
      </c>
      <c r="F633" t="str">
        <f>IF('Bittrex Data'!C633="","",IF('Bittrex Data'!C633="Limit_Sell",'Bittrex Data'!G633-'Bittrex Data'!F633,IF('Bittrex Data'!C633="Limit_Buy",'Bittrex Data'!G633+'Bittrex Data'!F633,"")))</f>
        <v/>
      </c>
      <c r="G633" t="str">
        <f>IF('Bittrex Data'!B633="","",'Bittrex Data'!D633)</f>
        <v/>
      </c>
      <c r="H633" t="str">
        <f>IF('Bittrex Data'!C633="","",IF(Bittrex!C633="Buy",Bittrex!D633,IF(Bittrex!C633="Sale",Bittrex!E633,IF(AND(Bittrex!C633="Trade",'Bittrex Data'!C633="Limit_Sell"),Bittrex!E633,IF(AND(Bittrex!C633="Trade",'Bittrex Data'!C633="Limit_Buy"),Bittrex!D633,"")))))</f>
        <v/>
      </c>
      <c r="I633" t="str">
        <f>IF('Bittrex Data'!C633="","",IF(Bittrex!C633="Buy",F633,IF(C633="Sale",Bittrex!G633,IF(AND(C633="Trade",'Bittrex Data'!C633="Limit_Sell"),Bittrex!G633,IF(AND(Bittrex!C633="Trade",'Bittrex Data'!C633="Limit_Buy"),F633,"")))))</f>
        <v/>
      </c>
      <c r="J633" t="str">
        <f>IF('Bittrex Data'!B633="","",IF('Bittrex Data'!B633="","",IF(Bittrex!H633=Bittrex!E633,D633,Bittrex!E633)))</f>
        <v/>
      </c>
      <c r="K633" t="str">
        <f>IF('Bittrex Data'!B633="","",IF(Bittrex!I633=Bittrex!G633,Bittrex!F633,Bittrex!G633))</f>
        <v/>
      </c>
    </row>
    <row r="634" spans="3:11" x14ac:dyDescent="0.2">
      <c r="C634" t="str">
        <f>IF('Bittrex Data'!A634="","",IF(AND('Bittrex Data'!C634="LIMIT_SELL",Bittrex!D634="USD"),"Sale",IF(AND('Bittrex Data'!C634="LIMIT_BUY",Bittrex!D634="USD"),"Buy","Trade")))</f>
        <v/>
      </c>
      <c r="D634" t="str">
        <f>IF('Bittrex Data'!B634="","",LEFT(LEFT('Bittrex Data'!B634,SEARCH("-",'Bittrex Data'!B634,1)),LEN(LEFT('Bittrex Data'!B634,SEARCH("-",'Bittrex Data'!B634,1)))-1))</f>
        <v/>
      </c>
      <c r="E634" t="str">
        <f>IF('Bittrex Data'!B634="","",RIGHT(RIGHT('Bittrex Data'!B634,LEN('Bittrex Data'!B634)-SEARCH("-",'Bittrex Data'!B634,1)+1),LEN(RIGHT('Bittrex Data'!B634,LEN('Bittrex Data'!B634)-SEARCH("-",'Bittrex Data'!B634,1)+1))-1))</f>
        <v/>
      </c>
      <c r="F634" t="str">
        <f>IF('Bittrex Data'!C634="","",IF('Bittrex Data'!C634="Limit_Sell",'Bittrex Data'!G634-'Bittrex Data'!F634,IF('Bittrex Data'!C634="Limit_Buy",'Bittrex Data'!G634+'Bittrex Data'!F634,"")))</f>
        <v/>
      </c>
      <c r="G634" t="str">
        <f>IF('Bittrex Data'!B634="","",'Bittrex Data'!D634)</f>
        <v/>
      </c>
      <c r="H634" t="str">
        <f>IF('Bittrex Data'!C634="","",IF(Bittrex!C634="Buy",Bittrex!D634,IF(Bittrex!C634="Sale",Bittrex!E634,IF(AND(Bittrex!C634="Trade",'Bittrex Data'!C634="Limit_Sell"),Bittrex!E634,IF(AND(Bittrex!C634="Trade",'Bittrex Data'!C634="Limit_Buy"),Bittrex!D634,"")))))</f>
        <v/>
      </c>
      <c r="I634" t="str">
        <f>IF('Bittrex Data'!C634="","",IF(Bittrex!C634="Buy",F634,IF(C634="Sale",Bittrex!G634,IF(AND(C634="Trade",'Bittrex Data'!C634="Limit_Sell"),Bittrex!G634,IF(AND(Bittrex!C634="Trade",'Bittrex Data'!C634="Limit_Buy"),F634,"")))))</f>
        <v/>
      </c>
      <c r="J634" t="str">
        <f>IF('Bittrex Data'!B634="","",IF('Bittrex Data'!B634="","",IF(Bittrex!H634=Bittrex!E634,D634,Bittrex!E634)))</f>
        <v/>
      </c>
      <c r="K634" t="str">
        <f>IF('Bittrex Data'!B634="","",IF(Bittrex!I634=Bittrex!G634,Bittrex!F634,Bittrex!G634))</f>
        <v/>
      </c>
    </row>
    <row r="635" spans="3:11" x14ac:dyDescent="0.2">
      <c r="C635" t="str">
        <f>IF('Bittrex Data'!A635="","",IF(AND('Bittrex Data'!C635="LIMIT_SELL",Bittrex!D635="USD"),"Sale",IF(AND('Bittrex Data'!C635="LIMIT_BUY",Bittrex!D635="USD"),"Buy","Trade")))</f>
        <v/>
      </c>
      <c r="D635" t="str">
        <f>IF('Bittrex Data'!B635="","",LEFT(LEFT('Bittrex Data'!B635,SEARCH("-",'Bittrex Data'!B635,1)),LEN(LEFT('Bittrex Data'!B635,SEARCH("-",'Bittrex Data'!B635,1)))-1))</f>
        <v/>
      </c>
      <c r="E635" t="str">
        <f>IF('Bittrex Data'!B635="","",RIGHT(RIGHT('Bittrex Data'!B635,LEN('Bittrex Data'!B635)-SEARCH("-",'Bittrex Data'!B635,1)+1),LEN(RIGHT('Bittrex Data'!B635,LEN('Bittrex Data'!B635)-SEARCH("-",'Bittrex Data'!B635,1)+1))-1))</f>
        <v/>
      </c>
      <c r="F635" t="str">
        <f>IF('Bittrex Data'!C635="","",IF('Bittrex Data'!C635="Limit_Sell",'Bittrex Data'!G635-'Bittrex Data'!F635,IF('Bittrex Data'!C635="Limit_Buy",'Bittrex Data'!G635+'Bittrex Data'!F635,"")))</f>
        <v/>
      </c>
      <c r="G635" t="str">
        <f>IF('Bittrex Data'!B635="","",'Bittrex Data'!D635)</f>
        <v/>
      </c>
      <c r="H635" t="str">
        <f>IF('Bittrex Data'!C635="","",IF(Bittrex!C635="Buy",Bittrex!D635,IF(Bittrex!C635="Sale",Bittrex!E635,IF(AND(Bittrex!C635="Trade",'Bittrex Data'!C635="Limit_Sell"),Bittrex!E635,IF(AND(Bittrex!C635="Trade",'Bittrex Data'!C635="Limit_Buy"),Bittrex!D635,"")))))</f>
        <v/>
      </c>
      <c r="I635" t="str">
        <f>IF('Bittrex Data'!C635="","",IF(Bittrex!C635="Buy",F635,IF(C635="Sale",Bittrex!G635,IF(AND(C635="Trade",'Bittrex Data'!C635="Limit_Sell"),Bittrex!G635,IF(AND(Bittrex!C635="Trade",'Bittrex Data'!C635="Limit_Buy"),F635,"")))))</f>
        <v/>
      </c>
      <c r="J635" t="str">
        <f>IF('Bittrex Data'!B635="","",IF('Bittrex Data'!B635="","",IF(Bittrex!H635=Bittrex!E635,D635,Bittrex!E635)))</f>
        <v/>
      </c>
      <c r="K635" t="str">
        <f>IF('Bittrex Data'!B635="","",IF(Bittrex!I635=Bittrex!G635,Bittrex!F635,Bittrex!G635))</f>
        <v/>
      </c>
    </row>
    <row r="636" spans="3:11" x14ac:dyDescent="0.2">
      <c r="C636" t="str">
        <f>IF('Bittrex Data'!A636="","",IF(AND('Bittrex Data'!C636="LIMIT_SELL",Bittrex!D636="USD"),"Sale",IF(AND('Bittrex Data'!C636="LIMIT_BUY",Bittrex!D636="USD"),"Buy","Trade")))</f>
        <v/>
      </c>
      <c r="D636" t="str">
        <f>IF('Bittrex Data'!B636="","",LEFT(LEFT('Bittrex Data'!B636,SEARCH("-",'Bittrex Data'!B636,1)),LEN(LEFT('Bittrex Data'!B636,SEARCH("-",'Bittrex Data'!B636,1)))-1))</f>
        <v/>
      </c>
      <c r="E636" t="str">
        <f>IF('Bittrex Data'!B636="","",RIGHT(RIGHT('Bittrex Data'!B636,LEN('Bittrex Data'!B636)-SEARCH("-",'Bittrex Data'!B636,1)+1),LEN(RIGHT('Bittrex Data'!B636,LEN('Bittrex Data'!B636)-SEARCH("-",'Bittrex Data'!B636,1)+1))-1))</f>
        <v/>
      </c>
      <c r="F636" t="str">
        <f>IF('Bittrex Data'!C636="","",IF('Bittrex Data'!C636="Limit_Sell",'Bittrex Data'!G636-'Bittrex Data'!F636,IF('Bittrex Data'!C636="Limit_Buy",'Bittrex Data'!G636+'Bittrex Data'!F636,"")))</f>
        <v/>
      </c>
      <c r="G636" t="str">
        <f>IF('Bittrex Data'!B636="","",'Bittrex Data'!D636)</f>
        <v/>
      </c>
      <c r="H636" t="str">
        <f>IF('Bittrex Data'!C636="","",IF(Bittrex!C636="Buy",Bittrex!D636,IF(Bittrex!C636="Sale",Bittrex!E636,IF(AND(Bittrex!C636="Trade",'Bittrex Data'!C636="Limit_Sell"),Bittrex!E636,IF(AND(Bittrex!C636="Trade",'Bittrex Data'!C636="Limit_Buy"),Bittrex!D636,"")))))</f>
        <v/>
      </c>
      <c r="I636" t="str">
        <f>IF('Bittrex Data'!C636="","",IF(Bittrex!C636="Buy",F636,IF(C636="Sale",Bittrex!G636,IF(AND(C636="Trade",'Bittrex Data'!C636="Limit_Sell"),Bittrex!G636,IF(AND(Bittrex!C636="Trade",'Bittrex Data'!C636="Limit_Buy"),F636,"")))))</f>
        <v/>
      </c>
      <c r="J636" t="str">
        <f>IF('Bittrex Data'!B636="","",IF('Bittrex Data'!B636="","",IF(Bittrex!H636=Bittrex!E636,D636,Bittrex!E636)))</f>
        <v/>
      </c>
      <c r="K636" t="str">
        <f>IF('Bittrex Data'!B636="","",IF(Bittrex!I636=Bittrex!G636,Bittrex!F636,Bittrex!G636))</f>
        <v/>
      </c>
    </row>
    <row r="637" spans="3:11" x14ac:dyDescent="0.2">
      <c r="C637" t="str">
        <f>IF('Bittrex Data'!A637="","",IF(AND('Bittrex Data'!C637="LIMIT_SELL",Bittrex!D637="USD"),"Sale",IF(AND('Bittrex Data'!C637="LIMIT_BUY",Bittrex!D637="USD"),"Buy","Trade")))</f>
        <v/>
      </c>
      <c r="D637" t="str">
        <f>IF('Bittrex Data'!B637="","",LEFT(LEFT('Bittrex Data'!B637,SEARCH("-",'Bittrex Data'!B637,1)),LEN(LEFT('Bittrex Data'!B637,SEARCH("-",'Bittrex Data'!B637,1)))-1))</f>
        <v/>
      </c>
      <c r="E637" t="str">
        <f>IF('Bittrex Data'!B637="","",RIGHT(RIGHT('Bittrex Data'!B637,LEN('Bittrex Data'!B637)-SEARCH("-",'Bittrex Data'!B637,1)+1),LEN(RIGHT('Bittrex Data'!B637,LEN('Bittrex Data'!B637)-SEARCH("-",'Bittrex Data'!B637,1)+1))-1))</f>
        <v/>
      </c>
      <c r="F637" t="str">
        <f>IF('Bittrex Data'!C637="","",IF('Bittrex Data'!C637="Limit_Sell",'Bittrex Data'!G637-'Bittrex Data'!F637,IF('Bittrex Data'!C637="Limit_Buy",'Bittrex Data'!G637+'Bittrex Data'!F637,"")))</f>
        <v/>
      </c>
      <c r="G637" t="str">
        <f>IF('Bittrex Data'!B637="","",'Bittrex Data'!D637)</f>
        <v/>
      </c>
      <c r="H637" t="str">
        <f>IF('Bittrex Data'!C637="","",IF(Bittrex!C637="Buy",Bittrex!D637,IF(Bittrex!C637="Sale",Bittrex!E637,IF(AND(Bittrex!C637="Trade",'Bittrex Data'!C637="Limit_Sell"),Bittrex!E637,IF(AND(Bittrex!C637="Trade",'Bittrex Data'!C637="Limit_Buy"),Bittrex!D637,"")))))</f>
        <v/>
      </c>
      <c r="I637" t="str">
        <f>IF('Bittrex Data'!C637="","",IF(Bittrex!C637="Buy",F637,IF(C637="Sale",Bittrex!G637,IF(AND(C637="Trade",'Bittrex Data'!C637="Limit_Sell"),Bittrex!G637,IF(AND(Bittrex!C637="Trade",'Bittrex Data'!C637="Limit_Buy"),F637,"")))))</f>
        <v/>
      </c>
      <c r="J637" t="str">
        <f>IF('Bittrex Data'!B637="","",IF('Bittrex Data'!B637="","",IF(Bittrex!H637=Bittrex!E637,D637,Bittrex!E637)))</f>
        <v/>
      </c>
      <c r="K637" t="str">
        <f>IF('Bittrex Data'!B637="","",IF(Bittrex!I637=Bittrex!G637,Bittrex!F637,Bittrex!G637))</f>
        <v/>
      </c>
    </row>
    <row r="638" spans="3:11" x14ac:dyDescent="0.2">
      <c r="C638" t="str">
        <f>IF('Bittrex Data'!A638="","",IF(AND('Bittrex Data'!C638="LIMIT_SELL",Bittrex!D638="USD"),"Sale",IF(AND('Bittrex Data'!C638="LIMIT_BUY",Bittrex!D638="USD"),"Buy","Trade")))</f>
        <v/>
      </c>
      <c r="D638" t="str">
        <f>IF('Bittrex Data'!B638="","",LEFT(LEFT('Bittrex Data'!B638,SEARCH("-",'Bittrex Data'!B638,1)),LEN(LEFT('Bittrex Data'!B638,SEARCH("-",'Bittrex Data'!B638,1)))-1))</f>
        <v/>
      </c>
      <c r="E638" t="str">
        <f>IF('Bittrex Data'!B638="","",RIGHT(RIGHT('Bittrex Data'!B638,LEN('Bittrex Data'!B638)-SEARCH("-",'Bittrex Data'!B638,1)+1),LEN(RIGHT('Bittrex Data'!B638,LEN('Bittrex Data'!B638)-SEARCH("-",'Bittrex Data'!B638,1)+1))-1))</f>
        <v/>
      </c>
      <c r="F638" t="str">
        <f>IF('Bittrex Data'!C638="","",IF('Bittrex Data'!C638="Limit_Sell",'Bittrex Data'!G638-'Bittrex Data'!F638,IF('Bittrex Data'!C638="Limit_Buy",'Bittrex Data'!G638+'Bittrex Data'!F638,"")))</f>
        <v/>
      </c>
      <c r="G638" t="str">
        <f>IF('Bittrex Data'!B638="","",'Bittrex Data'!D638)</f>
        <v/>
      </c>
      <c r="H638" t="str">
        <f>IF('Bittrex Data'!C638="","",IF(Bittrex!C638="Buy",Bittrex!D638,IF(Bittrex!C638="Sale",Bittrex!E638,IF(AND(Bittrex!C638="Trade",'Bittrex Data'!C638="Limit_Sell"),Bittrex!E638,IF(AND(Bittrex!C638="Trade",'Bittrex Data'!C638="Limit_Buy"),Bittrex!D638,"")))))</f>
        <v/>
      </c>
      <c r="I638" t="str">
        <f>IF('Bittrex Data'!C638="","",IF(Bittrex!C638="Buy",F638,IF(C638="Sale",Bittrex!G638,IF(AND(C638="Trade",'Bittrex Data'!C638="Limit_Sell"),Bittrex!G638,IF(AND(Bittrex!C638="Trade",'Bittrex Data'!C638="Limit_Buy"),F638,"")))))</f>
        <v/>
      </c>
      <c r="J638" t="str">
        <f>IF('Bittrex Data'!B638="","",IF('Bittrex Data'!B638="","",IF(Bittrex!H638=Bittrex!E638,D638,Bittrex!E638)))</f>
        <v/>
      </c>
      <c r="K638" t="str">
        <f>IF('Bittrex Data'!B638="","",IF(Bittrex!I638=Bittrex!G638,Bittrex!F638,Bittrex!G638))</f>
        <v/>
      </c>
    </row>
    <row r="639" spans="3:11" x14ac:dyDescent="0.2">
      <c r="C639" t="str">
        <f>IF('Bittrex Data'!A639="","",IF(AND('Bittrex Data'!C639="LIMIT_SELL",Bittrex!D639="USD"),"Sale",IF(AND('Bittrex Data'!C639="LIMIT_BUY",Bittrex!D639="USD"),"Buy","Trade")))</f>
        <v/>
      </c>
      <c r="D639" t="str">
        <f>IF('Bittrex Data'!B639="","",LEFT(LEFT('Bittrex Data'!B639,SEARCH("-",'Bittrex Data'!B639,1)),LEN(LEFT('Bittrex Data'!B639,SEARCH("-",'Bittrex Data'!B639,1)))-1))</f>
        <v/>
      </c>
      <c r="E639" t="str">
        <f>IF('Bittrex Data'!B639="","",RIGHT(RIGHT('Bittrex Data'!B639,LEN('Bittrex Data'!B639)-SEARCH("-",'Bittrex Data'!B639,1)+1),LEN(RIGHT('Bittrex Data'!B639,LEN('Bittrex Data'!B639)-SEARCH("-",'Bittrex Data'!B639,1)+1))-1))</f>
        <v/>
      </c>
      <c r="F639" t="str">
        <f>IF('Bittrex Data'!C639="","",IF('Bittrex Data'!C639="Limit_Sell",'Bittrex Data'!G639-'Bittrex Data'!F639,IF('Bittrex Data'!C639="Limit_Buy",'Bittrex Data'!G639+'Bittrex Data'!F639,"")))</f>
        <v/>
      </c>
      <c r="G639" t="str">
        <f>IF('Bittrex Data'!B639="","",'Bittrex Data'!D639)</f>
        <v/>
      </c>
      <c r="H639" t="str">
        <f>IF('Bittrex Data'!C639="","",IF(Bittrex!C639="Buy",Bittrex!D639,IF(Bittrex!C639="Sale",Bittrex!E639,IF(AND(Bittrex!C639="Trade",'Bittrex Data'!C639="Limit_Sell"),Bittrex!E639,IF(AND(Bittrex!C639="Trade",'Bittrex Data'!C639="Limit_Buy"),Bittrex!D639,"")))))</f>
        <v/>
      </c>
      <c r="I639" t="str">
        <f>IF('Bittrex Data'!C639="","",IF(Bittrex!C639="Buy",F639,IF(C639="Sale",Bittrex!G639,IF(AND(C639="Trade",'Bittrex Data'!C639="Limit_Sell"),Bittrex!G639,IF(AND(Bittrex!C639="Trade",'Bittrex Data'!C639="Limit_Buy"),F639,"")))))</f>
        <v/>
      </c>
      <c r="J639" t="str">
        <f>IF('Bittrex Data'!B639="","",IF('Bittrex Data'!B639="","",IF(Bittrex!H639=Bittrex!E639,D639,Bittrex!E639)))</f>
        <v/>
      </c>
      <c r="K639" t="str">
        <f>IF('Bittrex Data'!B639="","",IF(Bittrex!I639=Bittrex!G639,Bittrex!F639,Bittrex!G639))</f>
        <v/>
      </c>
    </row>
    <row r="640" spans="3:11" x14ac:dyDescent="0.2">
      <c r="C640" t="str">
        <f>IF('Bittrex Data'!A640="","",IF(AND('Bittrex Data'!C640="LIMIT_SELL",Bittrex!D640="USD"),"Sale",IF(AND('Bittrex Data'!C640="LIMIT_BUY",Bittrex!D640="USD"),"Buy","Trade")))</f>
        <v/>
      </c>
      <c r="D640" t="str">
        <f>IF('Bittrex Data'!B640="","",LEFT(LEFT('Bittrex Data'!B640,SEARCH("-",'Bittrex Data'!B640,1)),LEN(LEFT('Bittrex Data'!B640,SEARCH("-",'Bittrex Data'!B640,1)))-1))</f>
        <v/>
      </c>
      <c r="E640" t="str">
        <f>IF('Bittrex Data'!B640="","",RIGHT(RIGHT('Bittrex Data'!B640,LEN('Bittrex Data'!B640)-SEARCH("-",'Bittrex Data'!B640,1)+1),LEN(RIGHT('Bittrex Data'!B640,LEN('Bittrex Data'!B640)-SEARCH("-",'Bittrex Data'!B640,1)+1))-1))</f>
        <v/>
      </c>
      <c r="F640" t="str">
        <f>IF('Bittrex Data'!C640="","",IF('Bittrex Data'!C640="Limit_Sell",'Bittrex Data'!G640-'Bittrex Data'!F640,IF('Bittrex Data'!C640="Limit_Buy",'Bittrex Data'!G640+'Bittrex Data'!F640,"")))</f>
        <v/>
      </c>
      <c r="G640" t="str">
        <f>IF('Bittrex Data'!B640="","",'Bittrex Data'!D640)</f>
        <v/>
      </c>
      <c r="H640" t="str">
        <f>IF('Bittrex Data'!C640="","",IF(Bittrex!C640="Buy",Bittrex!D640,IF(Bittrex!C640="Sale",Bittrex!E640,IF(AND(Bittrex!C640="Trade",'Bittrex Data'!C640="Limit_Sell"),Bittrex!E640,IF(AND(Bittrex!C640="Trade",'Bittrex Data'!C640="Limit_Buy"),Bittrex!D640,"")))))</f>
        <v/>
      </c>
      <c r="I640" t="str">
        <f>IF('Bittrex Data'!C640="","",IF(Bittrex!C640="Buy",F640,IF(C640="Sale",Bittrex!G640,IF(AND(C640="Trade",'Bittrex Data'!C640="Limit_Sell"),Bittrex!G640,IF(AND(Bittrex!C640="Trade",'Bittrex Data'!C640="Limit_Buy"),F640,"")))))</f>
        <v/>
      </c>
      <c r="J640" t="str">
        <f>IF('Bittrex Data'!B640="","",IF('Bittrex Data'!B640="","",IF(Bittrex!H640=Bittrex!E640,D640,Bittrex!E640)))</f>
        <v/>
      </c>
      <c r="K640" t="str">
        <f>IF('Bittrex Data'!B640="","",IF(Bittrex!I640=Bittrex!G640,Bittrex!F640,Bittrex!G640))</f>
        <v/>
      </c>
    </row>
    <row r="641" spans="3:11" x14ac:dyDescent="0.2">
      <c r="C641" t="str">
        <f>IF('Bittrex Data'!A641="","",IF(AND('Bittrex Data'!C641="LIMIT_SELL",Bittrex!D641="USD"),"Sale",IF(AND('Bittrex Data'!C641="LIMIT_BUY",Bittrex!D641="USD"),"Buy","Trade")))</f>
        <v/>
      </c>
      <c r="D641" t="str">
        <f>IF('Bittrex Data'!B641="","",LEFT(LEFT('Bittrex Data'!B641,SEARCH("-",'Bittrex Data'!B641,1)),LEN(LEFT('Bittrex Data'!B641,SEARCH("-",'Bittrex Data'!B641,1)))-1))</f>
        <v/>
      </c>
      <c r="E641" t="str">
        <f>IF('Bittrex Data'!B641="","",RIGHT(RIGHT('Bittrex Data'!B641,LEN('Bittrex Data'!B641)-SEARCH("-",'Bittrex Data'!B641,1)+1),LEN(RIGHT('Bittrex Data'!B641,LEN('Bittrex Data'!B641)-SEARCH("-",'Bittrex Data'!B641,1)+1))-1))</f>
        <v/>
      </c>
      <c r="F641" t="str">
        <f>IF('Bittrex Data'!C641="","",IF('Bittrex Data'!C641="Limit_Sell",'Bittrex Data'!G641-'Bittrex Data'!F641,IF('Bittrex Data'!C641="Limit_Buy",'Bittrex Data'!G641+'Bittrex Data'!F641,"")))</f>
        <v/>
      </c>
      <c r="G641" t="str">
        <f>IF('Bittrex Data'!B641="","",'Bittrex Data'!D641)</f>
        <v/>
      </c>
      <c r="H641" t="str">
        <f>IF('Bittrex Data'!C641="","",IF(Bittrex!C641="Buy",Bittrex!D641,IF(Bittrex!C641="Sale",Bittrex!E641,IF(AND(Bittrex!C641="Trade",'Bittrex Data'!C641="Limit_Sell"),Bittrex!E641,IF(AND(Bittrex!C641="Trade",'Bittrex Data'!C641="Limit_Buy"),Bittrex!D641,"")))))</f>
        <v/>
      </c>
      <c r="I641" t="str">
        <f>IF('Bittrex Data'!C641="","",IF(Bittrex!C641="Buy",F641,IF(C641="Sale",Bittrex!G641,IF(AND(C641="Trade",'Bittrex Data'!C641="Limit_Sell"),Bittrex!G641,IF(AND(Bittrex!C641="Trade",'Bittrex Data'!C641="Limit_Buy"),F641,"")))))</f>
        <v/>
      </c>
      <c r="J641" t="str">
        <f>IF('Bittrex Data'!B641="","",IF('Bittrex Data'!B641="","",IF(Bittrex!H641=Bittrex!E641,D641,Bittrex!E641)))</f>
        <v/>
      </c>
      <c r="K641" t="str">
        <f>IF('Bittrex Data'!B641="","",IF(Bittrex!I641=Bittrex!G641,Bittrex!F641,Bittrex!G641))</f>
        <v/>
      </c>
    </row>
    <row r="642" spans="3:11" x14ac:dyDescent="0.2">
      <c r="C642" t="str">
        <f>IF('Bittrex Data'!A642="","",IF(AND('Bittrex Data'!C642="LIMIT_SELL",Bittrex!D642="USD"),"Sale",IF(AND('Bittrex Data'!C642="LIMIT_BUY",Bittrex!D642="USD"),"Buy","Trade")))</f>
        <v/>
      </c>
      <c r="D642" t="str">
        <f>IF('Bittrex Data'!B642="","",LEFT(LEFT('Bittrex Data'!B642,SEARCH("-",'Bittrex Data'!B642,1)),LEN(LEFT('Bittrex Data'!B642,SEARCH("-",'Bittrex Data'!B642,1)))-1))</f>
        <v/>
      </c>
      <c r="E642" t="str">
        <f>IF('Bittrex Data'!B642="","",RIGHT(RIGHT('Bittrex Data'!B642,LEN('Bittrex Data'!B642)-SEARCH("-",'Bittrex Data'!B642,1)+1),LEN(RIGHT('Bittrex Data'!B642,LEN('Bittrex Data'!B642)-SEARCH("-",'Bittrex Data'!B642,1)+1))-1))</f>
        <v/>
      </c>
      <c r="F642" t="str">
        <f>IF('Bittrex Data'!C642="","",IF('Bittrex Data'!C642="Limit_Sell",'Bittrex Data'!G642-'Bittrex Data'!F642,IF('Bittrex Data'!C642="Limit_Buy",'Bittrex Data'!G642+'Bittrex Data'!F642,"")))</f>
        <v/>
      </c>
      <c r="G642" t="str">
        <f>IF('Bittrex Data'!B642="","",'Bittrex Data'!D642)</f>
        <v/>
      </c>
      <c r="H642" t="str">
        <f>IF('Bittrex Data'!C642="","",IF(Bittrex!C642="Buy",Bittrex!D642,IF(Bittrex!C642="Sale",Bittrex!E642,IF(AND(Bittrex!C642="Trade",'Bittrex Data'!C642="Limit_Sell"),Bittrex!E642,IF(AND(Bittrex!C642="Trade",'Bittrex Data'!C642="Limit_Buy"),Bittrex!D642,"")))))</f>
        <v/>
      </c>
      <c r="I642" t="str">
        <f>IF('Bittrex Data'!C642="","",IF(Bittrex!C642="Buy",F642,IF(C642="Sale",Bittrex!G642,IF(AND(C642="Trade",'Bittrex Data'!C642="Limit_Sell"),Bittrex!G642,IF(AND(Bittrex!C642="Trade",'Bittrex Data'!C642="Limit_Buy"),F642,"")))))</f>
        <v/>
      </c>
      <c r="J642" t="str">
        <f>IF('Bittrex Data'!B642="","",IF('Bittrex Data'!B642="","",IF(Bittrex!H642=Bittrex!E642,D642,Bittrex!E642)))</f>
        <v/>
      </c>
      <c r="K642" t="str">
        <f>IF('Bittrex Data'!B642="","",IF(Bittrex!I642=Bittrex!G642,Bittrex!F642,Bittrex!G642))</f>
        <v/>
      </c>
    </row>
    <row r="643" spans="3:11" x14ac:dyDescent="0.2">
      <c r="C643" t="str">
        <f>IF('Bittrex Data'!A643="","",IF(AND('Bittrex Data'!C643="LIMIT_SELL",Bittrex!D643="USD"),"Sale",IF(AND('Bittrex Data'!C643="LIMIT_BUY",Bittrex!D643="USD"),"Buy","Trade")))</f>
        <v/>
      </c>
      <c r="D643" t="str">
        <f>IF('Bittrex Data'!B643="","",LEFT(LEFT('Bittrex Data'!B643,SEARCH("-",'Bittrex Data'!B643,1)),LEN(LEFT('Bittrex Data'!B643,SEARCH("-",'Bittrex Data'!B643,1)))-1))</f>
        <v/>
      </c>
      <c r="E643" t="str">
        <f>IF('Bittrex Data'!B643="","",RIGHT(RIGHT('Bittrex Data'!B643,LEN('Bittrex Data'!B643)-SEARCH("-",'Bittrex Data'!B643,1)+1),LEN(RIGHT('Bittrex Data'!B643,LEN('Bittrex Data'!B643)-SEARCH("-",'Bittrex Data'!B643,1)+1))-1))</f>
        <v/>
      </c>
      <c r="F643" t="str">
        <f>IF('Bittrex Data'!C643="","",IF('Bittrex Data'!C643="Limit_Sell",'Bittrex Data'!G643-'Bittrex Data'!F643,IF('Bittrex Data'!C643="Limit_Buy",'Bittrex Data'!G643+'Bittrex Data'!F643,"")))</f>
        <v/>
      </c>
      <c r="G643" t="str">
        <f>IF('Bittrex Data'!B643="","",'Bittrex Data'!D643)</f>
        <v/>
      </c>
      <c r="H643" t="str">
        <f>IF('Bittrex Data'!C643="","",IF(Bittrex!C643="Buy",Bittrex!D643,IF(Bittrex!C643="Sale",Bittrex!E643,IF(AND(Bittrex!C643="Trade",'Bittrex Data'!C643="Limit_Sell"),Bittrex!E643,IF(AND(Bittrex!C643="Trade",'Bittrex Data'!C643="Limit_Buy"),Bittrex!D643,"")))))</f>
        <v/>
      </c>
      <c r="I643" t="str">
        <f>IF('Bittrex Data'!C643="","",IF(Bittrex!C643="Buy",F643,IF(C643="Sale",Bittrex!G643,IF(AND(C643="Trade",'Bittrex Data'!C643="Limit_Sell"),Bittrex!G643,IF(AND(Bittrex!C643="Trade",'Bittrex Data'!C643="Limit_Buy"),F643,"")))))</f>
        <v/>
      </c>
      <c r="J643" t="str">
        <f>IF('Bittrex Data'!B643="","",IF('Bittrex Data'!B643="","",IF(Bittrex!H643=Bittrex!E643,D643,Bittrex!E643)))</f>
        <v/>
      </c>
      <c r="K643" t="str">
        <f>IF('Bittrex Data'!B643="","",IF(Bittrex!I643=Bittrex!G643,Bittrex!F643,Bittrex!G643))</f>
        <v/>
      </c>
    </row>
    <row r="644" spans="3:11" x14ac:dyDescent="0.2">
      <c r="C644" t="str">
        <f>IF('Bittrex Data'!A644="","",IF(AND('Bittrex Data'!C644="LIMIT_SELL",Bittrex!D644="USD"),"Sale",IF(AND('Bittrex Data'!C644="LIMIT_BUY",Bittrex!D644="USD"),"Buy","Trade")))</f>
        <v/>
      </c>
      <c r="D644" t="str">
        <f>IF('Bittrex Data'!B644="","",LEFT(LEFT('Bittrex Data'!B644,SEARCH("-",'Bittrex Data'!B644,1)),LEN(LEFT('Bittrex Data'!B644,SEARCH("-",'Bittrex Data'!B644,1)))-1))</f>
        <v/>
      </c>
      <c r="E644" t="str">
        <f>IF('Bittrex Data'!B644="","",RIGHT(RIGHT('Bittrex Data'!B644,LEN('Bittrex Data'!B644)-SEARCH("-",'Bittrex Data'!B644,1)+1),LEN(RIGHT('Bittrex Data'!B644,LEN('Bittrex Data'!B644)-SEARCH("-",'Bittrex Data'!B644,1)+1))-1))</f>
        <v/>
      </c>
      <c r="F644" t="str">
        <f>IF('Bittrex Data'!C644="","",IF('Bittrex Data'!C644="Limit_Sell",'Bittrex Data'!G644-'Bittrex Data'!F644,IF('Bittrex Data'!C644="Limit_Buy",'Bittrex Data'!G644+'Bittrex Data'!F644,"")))</f>
        <v/>
      </c>
      <c r="G644" t="str">
        <f>IF('Bittrex Data'!B644="","",'Bittrex Data'!D644)</f>
        <v/>
      </c>
      <c r="H644" t="str">
        <f>IF('Bittrex Data'!C644="","",IF(Bittrex!C644="Buy",Bittrex!D644,IF(Bittrex!C644="Sale",Bittrex!E644,IF(AND(Bittrex!C644="Trade",'Bittrex Data'!C644="Limit_Sell"),Bittrex!E644,IF(AND(Bittrex!C644="Trade",'Bittrex Data'!C644="Limit_Buy"),Bittrex!D644,"")))))</f>
        <v/>
      </c>
      <c r="I644" t="str">
        <f>IF('Bittrex Data'!C644="","",IF(Bittrex!C644="Buy",F644,IF(C644="Sale",Bittrex!G644,IF(AND(C644="Trade",'Bittrex Data'!C644="Limit_Sell"),Bittrex!G644,IF(AND(Bittrex!C644="Trade",'Bittrex Data'!C644="Limit_Buy"),F644,"")))))</f>
        <v/>
      </c>
      <c r="J644" t="str">
        <f>IF('Bittrex Data'!B644="","",IF('Bittrex Data'!B644="","",IF(Bittrex!H644=Bittrex!E644,D644,Bittrex!E644)))</f>
        <v/>
      </c>
      <c r="K644" t="str">
        <f>IF('Bittrex Data'!B644="","",IF(Bittrex!I644=Bittrex!G644,Bittrex!F644,Bittrex!G644))</f>
        <v/>
      </c>
    </row>
    <row r="645" spans="3:11" x14ac:dyDescent="0.2">
      <c r="C645" t="str">
        <f>IF('Bittrex Data'!A645="","",IF(AND('Bittrex Data'!C645="LIMIT_SELL",Bittrex!D645="USD"),"Sale",IF(AND('Bittrex Data'!C645="LIMIT_BUY",Bittrex!D645="USD"),"Buy","Trade")))</f>
        <v/>
      </c>
      <c r="D645" t="str">
        <f>IF('Bittrex Data'!B645="","",LEFT(LEFT('Bittrex Data'!B645,SEARCH("-",'Bittrex Data'!B645,1)),LEN(LEFT('Bittrex Data'!B645,SEARCH("-",'Bittrex Data'!B645,1)))-1))</f>
        <v/>
      </c>
      <c r="E645" t="str">
        <f>IF('Bittrex Data'!B645="","",RIGHT(RIGHT('Bittrex Data'!B645,LEN('Bittrex Data'!B645)-SEARCH("-",'Bittrex Data'!B645,1)+1),LEN(RIGHT('Bittrex Data'!B645,LEN('Bittrex Data'!B645)-SEARCH("-",'Bittrex Data'!B645,1)+1))-1))</f>
        <v/>
      </c>
      <c r="F645" t="str">
        <f>IF('Bittrex Data'!C645="","",IF('Bittrex Data'!C645="Limit_Sell",'Bittrex Data'!G645-'Bittrex Data'!F645,IF('Bittrex Data'!C645="Limit_Buy",'Bittrex Data'!G645+'Bittrex Data'!F645,"")))</f>
        <v/>
      </c>
      <c r="G645" t="str">
        <f>IF('Bittrex Data'!B645="","",'Bittrex Data'!D645)</f>
        <v/>
      </c>
      <c r="H645" t="str">
        <f>IF('Bittrex Data'!C645="","",IF(Bittrex!C645="Buy",Bittrex!D645,IF(Bittrex!C645="Sale",Bittrex!E645,IF(AND(Bittrex!C645="Trade",'Bittrex Data'!C645="Limit_Sell"),Bittrex!E645,IF(AND(Bittrex!C645="Trade",'Bittrex Data'!C645="Limit_Buy"),Bittrex!D645,"")))))</f>
        <v/>
      </c>
      <c r="I645" t="str">
        <f>IF('Bittrex Data'!C645="","",IF(Bittrex!C645="Buy",F645,IF(C645="Sale",Bittrex!G645,IF(AND(C645="Trade",'Bittrex Data'!C645="Limit_Sell"),Bittrex!G645,IF(AND(Bittrex!C645="Trade",'Bittrex Data'!C645="Limit_Buy"),F645,"")))))</f>
        <v/>
      </c>
      <c r="J645" t="str">
        <f>IF('Bittrex Data'!B645="","",IF('Bittrex Data'!B645="","",IF(Bittrex!H645=Bittrex!E645,D645,Bittrex!E645)))</f>
        <v/>
      </c>
      <c r="K645" t="str">
        <f>IF('Bittrex Data'!B645="","",IF(Bittrex!I645=Bittrex!G645,Bittrex!F645,Bittrex!G645))</f>
        <v/>
      </c>
    </row>
    <row r="646" spans="3:11" x14ac:dyDescent="0.2">
      <c r="C646" t="str">
        <f>IF('Bittrex Data'!A646="","",IF(AND('Bittrex Data'!C646="LIMIT_SELL",Bittrex!D646="USD"),"Sale",IF(AND('Bittrex Data'!C646="LIMIT_BUY",Bittrex!D646="USD"),"Buy","Trade")))</f>
        <v/>
      </c>
      <c r="D646" t="str">
        <f>IF('Bittrex Data'!B646="","",LEFT(LEFT('Bittrex Data'!B646,SEARCH("-",'Bittrex Data'!B646,1)),LEN(LEFT('Bittrex Data'!B646,SEARCH("-",'Bittrex Data'!B646,1)))-1))</f>
        <v/>
      </c>
      <c r="E646" t="str">
        <f>IF('Bittrex Data'!B646="","",RIGHT(RIGHT('Bittrex Data'!B646,LEN('Bittrex Data'!B646)-SEARCH("-",'Bittrex Data'!B646,1)+1),LEN(RIGHT('Bittrex Data'!B646,LEN('Bittrex Data'!B646)-SEARCH("-",'Bittrex Data'!B646,1)+1))-1))</f>
        <v/>
      </c>
      <c r="F646" t="str">
        <f>IF('Bittrex Data'!C646="","",IF('Bittrex Data'!C646="Limit_Sell",'Bittrex Data'!G646-'Bittrex Data'!F646,IF('Bittrex Data'!C646="Limit_Buy",'Bittrex Data'!G646+'Bittrex Data'!F646,"")))</f>
        <v/>
      </c>
      <c r="G646" t="str">
        <f>IF('Bittrex Data'!B646="","",'Bittrex Data'!D646)</f>
        <v/>
      </c>
      <c r="H646" t="str">
        <f>IF('Bittrex Data'!C646="","",IF(Bittrex!C646="Buy",Bittrex!D646,IF(Bittrex!C646="Sale",Bittrex!E646,IF(AND(Bittrex!C646="Trade",'Bittrex Data'!C646="Limit_Sell"),Bittrex!E646,IF(AND(Bittrex!C646="Trade",'Bittrex Data'!C646="Limit_Buy"),Bittrex!D646,"")))))</f>
        <v/>
      </c>
      <c r="I646" t="str">
        <f>IF('Bittrex Data'!C646="","",IF(Bittrex!C646="Buy",F646,IF(C646="Sale",Bittrex!G646,IF(AND(C646="Trade",'Bittrex Data'!C646="Limit_Sell"),Bittrex!G646,IF(AND(Bittrex!C646="Trade",'Bittrex Data'!C646="Limit_Buy"),F646,"")))))</f>
        <v/>
      </c>
      <c r="J646" t="str">
        <f>IF('Bittrex Data'!B646="","",IF('Bittrex Data'!B646="","",IF(Bittrex!H646=Bittrex!E646,D646,Bittrex!E646)))</f>
        <v/>
      </c>
      <c r="K646" t="str">
        <f>IF('Bittrex Data'!B646="","",IF(Bittrex!I646=Bittrex!G646,Bittrex!F646,Bittrex!G646))</f>
        <v/>
      </c>
    </row>
    <row r="647" spans="3:11" x14ac:dyDescent="0.2">
      <c r="C647" t="str">
        <f>IF('Bittrex Data'!A647="","",IF(AND('Bittrex Data'!C647="LIMIT_SELL",Bittrex!D647="USD"),"Sale",IF(AND('Bittrex Data'!C647="LIMIT_BUY",Bittrex!D647="USD"),"Buy","Trade")))</f>
        <v/>
      </c>
      <c r="D647" t="str">
        <f>IF('Bittrex Data'!B647="","",LEFT(LEFT('Bittrex Data'!B647,SEARCH("-",'Bittrex Data'!B647,1)),LEN(LEFT('Bittrex Data'!B647,SEARCH("-",'Bittrex Data'!B647,1)))-1))</f>
        <v/>
      </c>
      <c r="E647" t="str">
        <f>IF('Bittrex Data'!B647="","",RIGHT(RIGHT('Bittrex Data'!B647,LEN('Bittrex Data'!B647)-SEARCH("-",'Bittrex Data'!B647,1)+1),LEN(RIGHT('Bittrex Data'!B647,LEN('Bittrex Data'!B647)-SEARCH("-",'Bittrex Data'!B647,1)+1))-1))</f>
        <v/>
      </c>
      <c r="F647" t="str">
        <f>IF('Bittrex Data'!C647="","",IF('Bittrex Data'!C647="Limit_Sell",'Bittrex Data'!G647-'Bittrex Data'!F647,IF('Bittrex Data'!C647="Limit_Buy",'Bittrex Data'!G647+'Bittrex Data'!F647,"")))</f>
        <v/>
      </c>
      <c r="G647" t="str">
        <f>IF('Bittrex Data'!B647="","",'Bittrex Data'!D647)</f>
        <v/>
      </c>
      <c r="H647" t="str">
        <f>IF('Bittrex Data'!C647="","",IF(Bittrex!C647="Buy",Bittrex!D647,IF(Bittrex!C647="Sale",Bittrex!E647,IF(AND(Bittrex!C647="Trade",'Bittrex Data'!C647="Limit_Sell"),Bittrex!E647,IF(AND(Bittrex!C647="Trade",'Bittrex Data'!C647="Limit_Buy"),Bittrex!D647,"")))))</f>
        <v/>
      </c>
      <c r="I647" t="str">
        <f>IF('Bittrex Data'!C647="","",IF(Bittrex!C647="Buy",F647,IF(C647="Sale",Bittrex!G647,IF(AND(C647="Trade",'Bittrex Data'!C647="Limit_Sell"),Bittrex!G647,IF(AND(Bittrex!C647="Trade",'Bittrex Data'!C647="Limit_Buy"),F647,"")))))</f>
        <v/>
      </c>
      <c r="J647" t="str">
        <f>IF('Bittrex Data'!B647="","",IF('Bittrex Data'!B647="","",IF(Bittrex!H647=Bittrex!E647,D647,Bittrex!E647)))</f>
        <v/>
      </c>
      <c r="K647" t="str">
        <f>IF('Bittrex Data'!B647="","",IF(Bittrex!I647=Bittrex!G647,Bittrex!F647,Bittrex!G647))</f>
        <v/>
      </c>
    </row>
    <row r="648" spans="3:11" x14ac:dyDescent="0.2">
      <c r="C648" t="str">
        <f>IF('Bittrex Data'!A648="","",IF(AND('Bittrex Data'!C648="LIMIT_SELL",Bittrex!D648="USD"),"Sale",IF(AND('Bittrex Data'!C648="LIMIT_BUY",Bittrex!D648="USD"),"Buy","Trade")))</f>
        <v/>
      </c>
      <c r="D648" t="str">
        <f>IF('Bittrex Data'!B648="","",LEFT(LEFT('Bittrex Data'!B648,SEARCH("-",'Bittrex Data'!B648,1)),LEN(LEFT('Bittrex Data'!B648,SEARCH("-",'Bittrex Data'!B648,1)))-1))</f>
        <v/>
      </c>
      <c r="E648" t="str">
        <f>IF('Bittrex Data'!B648="","",RIGHT(RIGHT('Bittrex Data'!B648,LEN('Bittrex Data'!B648)-SEARCH("-",'Bittrex Data'!B648,1)+1),LEN(RIGHT('Bittrex Data'!B648,LEN('Bittrex Data'!B648)-SEARCH("-",'Bittrex Data'!B648,1)+1))-1))</f>
        <v/>
      </c>
      <c r="F648" t="str">
        <f>IF('Bittrex Data'!C648="","",IF('Bittrex Data'!C648="Limit_Sell",'Bittrex Data'!G648-'Bittrex Data'!F648,IF('Bittrex Data'!C648="Limit_Buy",'Bittrex Data'!G648+'Bittrex Data'!F648,"")))</f>
        <v/>
      </c>
      <c r="G648" t="str">
        <f>IF('Bittrex Data'!B648="","",'Bittrex Data'!D648)</f>
        <v/>
      </c>
      <c r="H648" t="str">
        <f>IF('Bittrex Data'!C648="","",IF(Bittrex!C648="Buy",Bittrex!D648,IF(Bittrex!C648="Sale",Bittrex!E648,IF(AND(Bittrex!C648="Trade",'Bittrex Data'!C648="Limit_Sell"),Bittrex!E648,IF(AND(Bittrex!C648="Trade",'Bittrex Data'!C648="Limit_Buy"),Bittrex!D648,"")))))</f>
        <v/>
      </c>
      <c r="I648" t="str">
        <f>IF('Bittrex Data'!C648="","",IF(Bittrex!C648="Buy",F648,IF(C648="Sale",Bittrex!G648,IF(AND(C648="Trade",'Bittrex Data'!C648="Limit_Sell"),Bittrex!G648,IF(AND(Bittrex!C648="Trade",'Bittrex Data'!C648="Limit_Buy"),F648,"")))))</f>
        <v/>
      </c>
      <c r="J648" t="str">
        <f>IF('Bittrex Data'!B648="","",IF('Bittrex Data'!B648="","",IF(Bittrex!H648=Bittrex!E648,D648,Bittrex!E648)))</f>
        <v/>
      </c>
      <c r="K648" t="str">
        <f>IF('Bittrex Data'!B648="","",IF(Bittrex!I648=Bittrex!G648,Bittrex!F648,Bittrex!G648))</f>
        <v/>
      </c>
    </row>
    <row r="649" spans="3:11" x14ac:dyDescent="0.2">
      <c r="C649" t="str">
        <f>IF('Bittrex Data'!A649="","",IF(AND('Bittrex Data'!C649="LIMIT_SELL",Bittrex!D649="USD"),"Sale",IF(AND('Bittrex Data'!C649="LIMIT_BUY",Bittrex!D649="USD"),"Buy","Trade")))</f>
        <v/>
      </c>
      <c r="D649" t="str">
        <f>IF('Bittrex Data'!B649="","",LEFT(LEFT('Bittrex Data'!B649,SEARCH("-",'Bittrex Data'!B649,1)),LEN(LEFT('Bittrex Data'!B649,SEARCH("-",'Bittrex Data'!B649,1)))-1))</f>
        <v/>
      </c>
      <c r="E649" t="str">
        <f>IF('Bittrex Data'!B649="","",RIGHT(RIGHT('Bittrex Data'!B649,LEN('Bittrex Data'!B649)-SEARCH("-",'Bittrex Data'!B649,1)+1),LEN(RIGHT('Bittrex Data'!B649,LEN('Bittrex Data'!B649)-SEARCH("-",'Bittrex Data'!B649,1)+1))-1))</f>
        <v/>
      </c>
      <c r="F649" t="str">
        <f>IF('Bittrex Data'!C649="","",IF('Bittrex Data'!C649="Limit_Sell",'Bittrex Data'!G649-'Bittrex Data'!F649,IF('Bittrex Data'!C649="Limit_Buy",'Bittrex Data'!G649+'Bittrex Data'!F649,"")))</f>
        <v/>
      </c>
      <c r="G649" t="str">
        <f>IF('Bittrex Data'!B649="","",'Bittrex Data'!D649)</f>
        <v/>
      </c>
      <c r="H649" t="str">
        <f>IF('Bittrex Data'!C649="","",IF(Bittrex!C649="Buy",Bittrex!D649,IF(Bittrex!C649="Sale",Bittrex!E649,IF(AND(Bittrex!C649="Trade",'Bittrex Data'!C649="Limit_Sell"),Bittrex!E649,IF(AND(Bittrex!C649="Trade",'Bittrex Data'!C649="Limit_Buy"),Bittrex!D649,"")))))</f>
        <v/>
      </c>
      <c r="I649" t="str">
        <f>IF('Bittrex Data'!C649="","",IF(Bittrex!C649="Buy",F649,IF(C649="Sale",Bittrex!G649,IF(AND(C649="Trade",'Bittrex Data'!C649="Limit_Sell"),Bittrex!G649,IF(AND(Bittrex!C649="Trade",'Bittrex Data'!C649="Limit_Buy"),F649,"")))))</f>
        <v/>
      </c>
      <c r="J649" t="str">
        <f>IF('Bittrex Data'!B649="","",IF('Bittrex Data'!B649="","",IF(Bittrex!H649=Bittrex!E649,D649,Bittrex!E649)))</f>
        <v/>
      </c>
      <c r="K649" t="str">
        <f>IF('Bittrex Data'!B649="","",IF(Bittrex!I649=Bittrex!G649,Bittrex!F649,Bittrex!G649))</f>
        <v/>
      </c>
    </row>
    <row r="650" spans="3:11" x14ac:dyDescent="0.2">
      <c r="C650" t="str">
        <f>IF('Bittrex Data'!A650="","",IF(AND('Bittrex Data'!C650="LIMIT_SELL",Bittrex!D650="USD"),"Sale",IF(AND('Bittrex Data'!C650="LIMIT_BUY",Bittrex!D650="USD"),"Buy","Trade")))</f>
        <v/>
      </c>
      <c r="D650" t="str">
        <f>IF('Bittrex Data'!B650="","",LEFT(LEFT('Bittrex Data'!B650,SEARCH("-",'Bittrex Data'!B650,1)),LEN(LEFT('Bittrex Data'!B650,SEARCH("-",'Bittrex Data'!B650,1)))-1))</f>
        <v/>
      </c>
      <c r="E650" t="str">
        <f>IF('Bittrex Data'!B650="","",RIGHT(RIGHT('Bittrex Data'!B650,LEN('Bittrex Data'!B650)-SEARCH("-",'Bittrex Data'!B650,1)+1),LEN(RIGHT('Bittrex Data'!B650,LEN('Bittrex Data'!B650)-SEARCH("-",'Bittrex Data'!B650,1)+1))-1))</f>
        <v/>
      </c>
      <c r="F650" t="str">
        <f>IF('Bittrex Data'!C650="","",IF('Bittrex Data'!C650="Limit_Sell",'Bittrex Data'!G650-'Bittrex Data'!F650,IF('Bittrex Data'!C650="Limit_Buy",'Bittrex Data'!G650+'Bittrex Data'!F650,"")))</f>
        <v/>
      </c>
      <c r="G650" t="str">
        <f>IF('Bittrex Data'!B650="","",'Bittrex Data'!D650)</f>
        <v/>
      </c>
      <c r="H650" t="str">
        <f>IF('Bittrex Data'!C650="","",IF(Bittrex!C650="Buy",Bittrex!D650,IF(Bittrex!C650="Sale",Bittrex!E650,IF(AND(Bittrex!C650="Trade",'Bittrex Data'!C650="Limit_Sell"),Bittrex!E650,IF(AND(Bittrex!C650="Trade",'Bittrex Data'!C650="Limit_Buy"),Bittrex!D650,"")))))</f>
        <v/>
      </c>
      <c r="I650" t="str">
        <f>IF('Bittrex Data'!C650="","",IF(Bittrex!C650="Buy",F650,IF(C650="Sale",Bittrex!G650,IF(AND(C650="Trade",'Bittrex Data'!C650="Limit_Sell"),Bittrex!G650,IF(AND(Bittrex!C650="Trade",'Bittrex Data'!C650="Limit_Buy"),F650,"")))))</f>
        <v/>
      </c>
      <c r="J650" t="str">
        <f>IF('Bittrex Data'!B650="","",IF('Bittrex Data'!B650="","",IF(Bittrex!H650=Bittrex!E650,D650,Bittrex!E650)))</f>
        <v/>
      </c>
      <c r="K650" t="str">
        <f>IF('Bittrex Data'!B650="","",IF(Bittrex!I650=Bittrex!G650,Bittrex!F650,Bittrex!G650))</f>
        <v/>
      </c>
    </row>
    <row r="651" spans="3:11" x14ac:dyDescent="0.2">
      <c r="C651" t="str">
        <f>IF('Bittrex Data'!A651="","",IF(AND('Bittrex Data'!C651="LIMIT_SELL",Bittrex!D651="USD"),"Sale",IF(AND('Bittrex Data'!C651="LIMIT_BUY",Bittrex!D651="USD"),"Buy","Trade")))</f>
        <v/>
      </c>
      <c r="D651" t="str">
        <f>IF('Bittrex Data'!B651="","",LEFT(LEFT('Bittrex Data'!B651,SEARCH("-",'Bittrex Data'!B651,1)),LEN(LEFT('Bittrex Data'!B651,SEARCH("-",'Bittrex Data'!B651,1)))-1))</f>
        <v/>
      </c>
      <c r="E651" t="str">
        <f>IF('Bittrex Data'!B651="","",RIGHT(RIGHT('Bittrex Data'!B651,LEN('Bittrex Data'!B651)-SEARCH("-",'Bittrex Data'!B651,1)+1),LEN(RIGHT('Bittrex Data'!B651,LEN('Bittrex Data'!B651)-SEARCH("-",'Bittrex Data'!B651,1)+1))-1))</f>
        <v/>
      </c>
      <c r="F651" t="str">
        <f>IF('Bittrex Data'!C651="","",IF('Bittrex Data'!C651="Limit_Sell",'Bittrex Data'!G651-'Bittrex Data'!F651,IF('Bittrex Data'!C651="Limit_Buy",'Bittrex Data'!G651+'Bittrex Data'!F651,"")))</f>
        <v/>
      </c>
      <c r="G651" t="str">
        <f>IF('Bittrex Data'!B651="","",'Bittrex Data'!D651)</f>
        <v/>
      </c>
      <c r="H651" t="str">
        <f>IF('Bittrex Data'!C651="","",IF(Bittrex!C651="Buy",Bittrex!D651,IF(Bittrex!C651="Sale",Bittrex!E651,IF(AND(Bittrex!C651="Trade",'Bittrex Data'!C651="Limit_Sell"),Bittrex!E651,IF(AND(Bittrex!C651="Trade",'Bittrex Data'!C651="Limit_Buy"),Bittrex!D651,"")))))</f>
        <v/>
      </c>
      <c r="I651" t="str">
        <f>IF('Bittrex Data'!C651="","",IF(Bittrex!C651="Buy",F651,IF(C651="Sale",Bittrex!G651,IF(AND(C651="Trade",'Bittrex Data'!C651="Limit_Sell"),Bittrex!G651,IF(AND(Bittrex!C651="Trade",'Bittrex Data'!C651="Limit_Buy"),F651,"")))))</f>
        <v/>
      </c>
      <c r="J651" t="str">
        <f>IF('Bittrex Data'!B651="","",IF('Bittrex Data'!B651="","",IF(Bittrex!H651=Bittrex!E651,D651,Bittrex!E651)))</f>
        <v/>
      </c>
      <c r="K651" t="str">
        <f>IF('Bittrex Data'!B651="","",IF(Bittrex!I651=Bittrex!G651,Bittrex!F651,Bittrex!G651))</f>
        <v/>
      </c>
    </row>
    <row r="652" spans="3:11" x14ac:dyDescent="0.2">
      <c r="C652" t="str">
        <f>IF('Bittrex Data'!A652="","",IF(AND('Bittrex Data'!C652="LIMIT_SELL",Bittrex!D652="USD"),"Sale",IF(AND('Bittrex Data'!C652="LIMIT_BUY",Bittrex!D652="USD"),"Buy","Trade")))</f>
        <v/>
      </c>
      <c r="D652" t="str">
        <f>IF('Bittrex Data'!B652="","",LEFT(LEFT('Bittrex Data'!B652,SEARCH("-",'Bittrex Data'!B652,1)),LEN(LEFT('Bittrex Data'!B652,SEARCH("-",'Bittrex Data'!B652,1)))-1))</f>
        <v/>
      </c>
      <c r="E652" t="str">
        <f>IF('Bittrex Data'!B652="","",RIGHT(RIGHT('Bittrex Data'!B652,LEN('Bittrex Data'!B652)-SEARCH("-",'Bittrex Data'!B652,1)+1),LEN(RIGHT('Bittrex Data'!B652,LEN('Bittrex Data'!B652)-SEARCH("-",'Bittrex Data'!B652,1)+1))-1))</f>
        <v/>
      </c>
      <c r="F652" t="str">
        <f>IF('Bittrex Data'!C652="","",IF('Bittrex Data'!C652="Limit_Sell",'Bittrex Data'!G652-'Bittrex Data'!F652,IF('Bittrex Data'!C652="Limit_Buy",'Bittrex Data'!G652+'Bittrex Data'!F652,"")))</f>
        <v/>
      </c>
      <c r="G652" t="str">
        <f>IF('Bittrex Data'!B652="","",'Bittrex Data'!D652)</f>
        <v/>
      </c>
      <c r="H652" t="str">
        <f>IF('Bittrex Data'!C652="","",IF(Bittrex!C652="Buy",Bittrex!D652,IF(Bittrex!C652="Sale",Bittrex!E652,IF(AND(Bittrex!C652="Trade",'Bittrex Data'!C652="Limit_Sell"),Bittrex!E652,IF(AND(Bittrex!C652="Trade",'Bittrex Data'!C652="Limit_Buy"),Bittrex!D652,"")))))</f>
        <v/>
      </c>
      <c r="I652" t="str">
        <f>IF('Bittrex Data'!C652="","",IF(Bittrex!C652="Buy",F652,IF(C652="Sale",Bittrex!G652,IF(AND(C652="Trade",'Bittrex Data'!C652="Limit_Sell"),Bittrex!G652,IF(AND(Bittrex!C652="Trade",'Bittrex Data'!C652="Limit_Buy"),F652,"")))))</f>
        <v/>
      </c>
      <c r="J652" t="str">
        <f>IF('Bittrex Data'!B652="","",IF('Bittrex Data'!B652="","",IF(Bittrex!H652=Bittrex!E652,D652,Bittrex!E652)))</f>
        <v/>
      </c>
      <c r="K652" t="str">
        <f>IF('Bittrex Data'!B652="","",IF(Bittrex!I652=Bittrex!G652,Bittrex!F652,Bittrex!G652))</f>
        <v/>
      </c>
    </row>
    <row r="653" spans="3:11" x14ac:dyDescent="0.2">
      <c r="C653" t="str">
        <f>IF('Bittrex Data'!A653="","",IF(AND('Bittrex Data'!C653="LIMIT_SELL",Bittrex!D653="USD"),"Sale",IF(AND('Bittrex Data'!C653="LIMIT_BUY",Bittrex!D653="USD"),"Buy","Trade")))</f>
        <v/>
      </c>
      <c r="D653" t="str">
        <f>IF('Bittrex Data'!B653="","",LEFT(LEFT('Bittrex Data'!B653,SEARCH("-",'Bittrex Data'!B653,1)),LEN(LEFT('Bittrex Data'!B653,SEARCH("-",'Bittrex Data'!B653,1)))-1))</f>
        <v/>
      </c>
      <c r="E653" t="str">
        <f>IF('Bittrex Data'!B653="","",RIGHT(RIGHT('Bittrex Data'!B653,LEN('Bittrex Data'!B653)-SEARCH("-",'Bittrex Data'!B653,1)+1),LEN(RIGHT('Bittrex Data'!B653,LEN('Bittrex Data'!B653)-SEARCH("-",'Bittrex Data'!B653,1)+1))-1))</f>
        <v/>
      </c>
      <c r="F653" t="str">
        <f>IF('Bittrex Data'!C653="","",IF('Bittrex Data'!C653="Limit_Sell",'Bittrex Data'!G653-'Bittrex Data'!F653,IF('Bittrex Data'!C653="Limit_Buy",'Bittrex Data'!G653+'Bittrex Data'!F653,"")))</f>
        <v/>
      </c>
      <c r="G653" t="str">
        <f>IF('Bittrex Data'!B653="","",'Bittrex Data'!D653)</f>
        <v/>
      </c>
      <c r="H653" t="str">
        <f>IF('Bittrex Data'!C653="","",IF(Bittrex!C653="Buy",Bittrex!D653,IF(Bittrex!C653="Sale",Bittrex!E653,IF(AND(Bittrex!C653="Trade",'Bittrex Data'!C653="Limit_Sell"),Bittrex!E653,IF(AND(Bittrex!C653="Trade",'Bittrex Data'!C653="Limit_Buy"),Bittrex!D653,"")))))</f>
        <v/>
      </c>
      <c r="I653" t="str">
        <f>IF('Bittrex Data'!C653="","",IF(Bittrex!C653="Buy",F653,IF(C653="Sale",Bittrex!G653,IF(AND(C653="Trade",'Bittrex Data'!C653="Limit_Sell"),Bittrex!G653,IF(AND(Bittrex!C653="Trade",'Bittrex Data'!C653="Limit_Buy"),F653,"")))))</f>
        <v/>
      </c>
      <c r="J653" t="str">
        <f>IF('Bittrex Data'!B653="","",IF('Bittrex Data'!B653="","",IF(Bittrex!H653=Bittrex!E653,D653,Bittrex!E653)))</f>
        <v/>
      </c>
      <c r="K653" t="str">
        <f>IF('Bittrex Data'!B653="","",IF(Bittrex!I653=Bittrex!G653,Bittrex!F653,Bittrex!G653))</f>
        <v/>
      </c>
    </row>
    <row r="654" spans="3:11" x14ac:dyDescent="0.2">
      <c r="C654" t="str">
        <f>IF('Bittrex Data'!A654="","",IF(AND('Bittrex Data'!C654="LIMIT_SELL",Bittrex!D654="USD"),"Sale",IF(AND('Bittrex Data'!C654="LIMIT_BUY",Bittrex!D654="USD"),"Buy","Trade")))</f>
        <v/>
      </c>
      <c r="D654" t="str">
        <f>IF('Bittrex Data'!B654="","",LEFT(LEFT('Bittrex Data'!B654,SEARCH("-",'Bittrex Data'!B654,1)),LEN(LEFT('Bittrex Data'!B654,SEARCH("-",'Bittrex Data'!B654,1)))-1))</f>
        <v/>
      </c>
      <c r="E654" t="str">
        <f>IF('Bittrex Data'!B654="","",RIGHT(RIGHT('Bittrex Data'!B654,LEN('Bittrex Data'!B654)-SEARCH("-",'Bittrex Data'!B654,1)+1),LEN(RIGHT('Bittrex Data'!B654,LEN('Bittrex Data'!B654)-SEARCH("-",'Bittrex Data'!B654,1)+1))-1))</f>
        <v/>
      </c>
      <c r="F654" t="str">
        <f>IF('Bittrex Data'!C654="","",IF('Bittrex Data'!C654="Limit_Sell",'Bittrex Data'!G654-'Bittrex Data'!F654,IF('Bittrex Data'!C654="Limit_Buy",'Bittrex Data'!G654+'Bittrex Data'!F654,"")))</f>
        <v/>
      </c>
      <c r="G654" t="str">
        <f>IF('Bittrex Data'!B654="","",'Bittrex Data'!D654)</f>
        <v/>
      </c>
      <c r="H654" t="str">
        <f>IF('Bittrex Data'!C654="","",IF(Bittrex!C654="Buy",Bittrex!D654,IF(Bittrex!C654="Sale",Bittrex!E654,IF(AND(Bittrex!C654="Trade",'Bittrex Data'!C654="Limit_Sell"),Bittrex!E654,IF(AND(Bittrex!C654="Trade",'Bittrex Data'!C654="Limit_Buy"),Bittrex!D654,"")))))</f>
        <v/>
      </c>
      <c r="I654" t="str">
        <f>IF('Bittrex Data'!C654="","",IF(Bittrex!C654="Buy",F654,IF(C654="Sale",Bittrex!G654,IF(AND(C654="Trade",'Bittrex Data'!C654="Limit_Sell"),Bittrex!G654,IF(AND(Bittrex!C654="Trade",'Bittrex Data'!C654="Limit_Buy"),F654,"")))))</f>
        <v/>
      </c>
      <c r="J654" t="str">
        <f>IF('Bittrex Data'!B654="","",IF('Bittrex Data'!B654="","",IF(Bittrex!H654=Bittrex!E654,D654,Bittrex!E654)))</f>
        <v/>
      </c>
      <c r="K654" t="str">
        <f>IF('Bittrex Data'!B654="","",IF(Bittrex!I654=Bittrex!G654,Bittrex!F654,Bittrex!G654))</f>
        <v/>
      </c>
    </row>
    <row r="655" spans="3:11" x14ac:dyDescent="0.2">
      <c r="C655" t="str">
        <f>IF('Bittrex Data'!A655="","",IF(AND('Bittrex Data'!C655="LIMIT_SELL",Bittrex!D655="USD"),"Sale",IF(AND('Bittrex Data'!C655="LIMIT_BUY",Bittrex!D655="USD"),"Buy","Trade")))</f>
        <v/>
      </c>
      <c r="D655" t="str">
        <f>IF('Bittrex Data'!B655="","",LEFT(LEFT('Bittrex Data'!B655,SEARCH("-",'Bittrex Data'!B655,1)),LEN(LEFT('Bittrex Data'!B655,SEARCH("-",'Bittrex Data'!B655,1)))-1))</f>
        <v/>
      </c>
      <c r="E655" t="str">
        <f>IF('Bittrex Data'!B655="","",RIGHT(RIGHT('Bittrex Data'!B655,LEN('Bittrex Data'!B655)-SEARCH("-",'Bittrex Data'!B655,1)+1),LEN(RIGHT('Bittrex Data'!B655,LEN('Bittrex Data'!B655)-SEARCH("-",'Bittrex Data'!B655,1)+1))-1))</f>
        <v/>
      </c>
      <c r="F655" t="str">
        <f>IF('Bittrex Data'!C655="","",IF('Bittrex Data'!C655="Limit_Sell",'Bittrex Data'!G655-'Bittrex Data'!F655,IF('Bittrex Data'!C655="Limit_Buy",'Bittrex Data'!G655+'Bittrex Data'!F655,"")))</f>
        <v/>
      </c>
      <c r="G655" t="str">
        <f>IF('Bittrex Data'!B655="","",'Bittrex Data'!D655)</f>
        <v/>
      </c>
      <c r="H655" t="str">
        <f>IF('Bittrex Data'!C655="","",IF(Bittrex!C655="Buy",Bittrex!D655,IF(Bittrex!C655="Sale",Bittrex!E655,IF(AND(Bittrex!C655="Trade",'Bittrex Data'!C655="Limit_Sell"),Bittrex!E655,IF(AND(Bittrex!C655="Trade",'Bittrex Data'!C655="Limit_Buy"),Bittrex!D655,"")))))</f>
        <v/>
      </c>
      <c r="I655" t="str">
        <f>IF('Bittrex Data'!C655="","",IF(Bittrex!C655="Buy",F655,IF(C655="Sale",Bittrex!G655,IF(AND(C655="Trade",'Bittrex Data'!C655="Limit_Sell"),Bittrex!G655,IF(AND(Bittrex!C655="Trade",'Bittrex Data'!C655="Limit_Buy"),F655,"")))))</f>
        <v/>
      </c>
      <c r="J655" t="str">
        <f>IF('Bittrex Data'!B655="","",IF('Bittrex Data'!B655="","",IF(Bittrex!H655=Bittrex!E655,D655,Bittrex!E655)))</f>
        <v/>
      </c>
      <c r="K655" t="str">
        <f>IF('Bittrex Data'!B655="","",IF(Bittrex!I655=Bittrex!G655,Bittrex!F655,Bittrex!G655))</f>
        <v/>
      </c>
    </row>
    <row r="656" spans="3:11" x14ac:dyDescent="0.2">
      <c r="C656" t="str">
        <f>IF('Bittrex Data'!A656="","",IF(AND('Bittrex Data'!C656="LIMIT_SELL",Bittrex!D656="USD"),"Sale",IF(AND('Bittrex Data'!C656="LIMIT_BUY",Bittrex!D656="USD"),"Buy","Trade")))</f>
        <v/>
      </c>
      <c r="D656" t="str">
        <f>IF('Bittrex Data'!B656="","",LEFT(LEFT('Bittrex Data'!B656,SEARCH("-",'Bittrex Data'!B656,1)),LEN(LEFT('Bittrex Data'!B656,SEARCH("-",'Bittrex Data'!B656,1)))-1))</f>
        <v/>
      </c>
      <c r="E656" t="str">
        <f>IF('Bittrex Data'!B656="","",RIGHT(RIGHT('Bittrex Data'!B656,LEN('Bittrex Data'!B656)-SEARCH("-",'Bittrex Data'!B656,1)+1),LEN(RIGHT('Bittrex Data'!B656,LEN('Bittrex Data'!B656)-SEARCH("-",'Bittrex Data'!B656,1)+1))-1))</f>
        <v/>
      </c>
      <c r="F656" t="str">
        <f>IF('Bittrex Data'!C656="","",IF('Bittrex Data'!C656="Limit_Sell",'Bittrex Data'!G656-'Bittrex Data'!F656,IF('Bittrex Data'!C656="Limit_Buy",'Bittrex Data'!G656+'Bittrex Data'!F656,"")))</f>
        <v/>
      </c>
      <c r="G656" t="str">
        <f>IF('Bittrex Data'!B656="","",'Bittrex Data'!D656)</f>
        <v/>
      </c>
      <c r="H656" t="str">
        <f>IF('Bittrex Data'!C656="","",IF(Bittrex!C656="Buy",Bittrex!D656,IF(Bittrex!C656="Sale",Bittrex!E656,IF(AND(Bittrex!C656="Trade",'Bittrex Data'!C656="Limit_Sell"),Bittrex!E656,IF(AND(Bittrex!C656="Trade",'Bittrex Data'!C656="Limit_Buy"),Bittrex!D656,"")))))</f>
        <v/>
      </c>
      <c r="I656" t="str">
        <f>IF('Bittrex Data'!C656="","",IF(Bittrex!C656="Buy",F656,IF(C656="Sale",Bittrex!G656,IF(AND(C656="Trade",'Bittrex Data'!C656="Limit_Sell"),Bittrex!G656,IF(AND(Bittrex!C656="Trade",'Bittrex Data'!C656="Limit_Buy"),F656,"")))))</f>
        <v/>
      </c>
      <c r="J656" t="str">
        <f>IF('Bittrex Data'!B656="","",IF('Bittrex Data'!B656="","",IF(Bittrex!H656=Bittrex!E656,D656,Bittrex!E656)))</f>
        <v/>
      </c>
      <c r="K656" t="str">
        <f>IF('Bittrex Data'!B656="","",IF(Bittrex!I656=Bittrex!G656,Bittrex!F656,Bittrex!G656))</f>
        <v/>
      </c>
    </row>
    <row r="657" spans="3:11" x14ac:dyDescent="0.2">
      <c r="C657" t="str">
        <f>IF('Bittrex Data'!A657="","",IF(AND('Bittrex Data'!C657="LIMIT_SELL",Bittrex!D657="USD"),"Sale",IF(AND('Bittrex Data'!C657="LIMIT_BUY",Bittrex!D657="USD"),"Buy","Trade")))</f>
        <v/>
      </c>
      <c r="D657" t="str">
        <f>IF('Bittrex Data'!B657="","",LEFT(LEFT('Bittrex Data'!B657,SEARCH("-",'Bittrex Data'!B657,1)),LEN(LEFT('Bittrex Data'!B657,SEARCH("-",'Bittrex Data'!B657,1)))-1))</f>
        <v/>
      </c>
      <c r="E657" t="str">
        <f>IF('Bittrex Data'!B657="","",RIGHT(RIGHT('Bittrex Data'!B657,LEN('Bittrex Data'!B657)-SEARCH("-",'Bittrex Data'!B657,1)+1),LEN(RIGHT('Bittrex Data'!B657,LEN('Bittrex Data'!B657)-SEARCH("-",'Bittrex Data'!B657,1)+1))-1))</f>
        <v/>
      </c>
      <c r="F657" t="str">
        <f>IF('Bittrex Data'!C657="","",IF('Bittrex Data'!C657="Limit_Sell",'Bittrex Data'!G657-'Bittrex Data'!F657,IF('Bittrex Data'!C657="Limit_Buy",'Bittrex Data'!G657+'Bittrex Data'!F657,"")))</f>
        <v/>
      </c>
      <c r="G657" t="str">
        <f>IF('Bittrex Data'!B657="","",'Bittrex Data'!D657)</f>
        <v/>
      </c>
      <c r="H657" t="str">
        <f>IF('Bittrex Data'!C657="","",IF(Bittrex!C657="Buy",Bittrex!D657,IF(Bittrex!C657="Sale",Bittrex!E657,IF(AND(Bittrex!C657="Trade",'Bittrex Data'!C657="Limit_Sell"),Bittrex!E657,IF(AND(Bittrex!C657="Trade",'Bittrex Data'!C657="Limit_Buy"),Bittrex!D657,"")))))</f>
        <v/>
      </c>
      <c r="I657" t="str">
        <f>IF('Bittrex Data'!C657="","",IF(Bittrex!C657="Buy",F657,IF(C657="Sale",Bittrex!G657,IF(AND(C657="Trade",'Bittrex Data'!C657="Limit_Sell"),Bittrex!G657,IF(AND(Bittrex!C657="Trade",'Bittrex Data'!C657="Limit_Buy"),F657,"")))))</f>
        <v/>
      </c>
      <c r="J657" t="str">
        <f>IF('Bittrex Data'!B657="","",IF('Bittrex Data'!B657="","",IF(Bittrex!H657=Bittrex!E657,D657,Bittrex!E657)))</f>
        <v/>
      </c>
      <c r="K657" t="str">
        <f>IF('Bittrex Data'!B657="","",IF(Bittrex!I657=Bittrex!G657,Bittrex!F657,Bittrex!G657))</f>
        <v/>
      </c>
    </row>
    <row r="658" spans="3:11" x14ac:dyDescent="0.2">
      <c r="C658" t="str">
        <f>IF('Bittrex Data'!A658="","",IF(AND('Bittrex Data'!C658="LIMIT_SELL",Bittrex!D658="USD"),"Sale",IF(AND('Bittrex Data'!C658="LIMIT_BUY",Bittrex!D658="USD"),"Buy","Trade")))</f>
        <v/>
      </c>
      <c r="D658" t="str">
        <f>IF('Bittrex Data'!B658="","",LEFT(LEFT('Bittrex Data'!B658,SEARCH("-",'Bittrex Data'!B658,1)),LEN(LEFT('Bittrex Data'!B658,SEARCH("-",'Bittrex Data'!B658,1)))-1))</f>
        <v/>
      </c>
      <c r="E658" t="str">
        <f>IF('Bittrex Data'!B658="","",RIGHT(RIGHT('Bittrex Data'!B658,LEN('Bittrex Data'!B658)-SEARCH("-",'Bittrex Data'!B658,1)+1),LEN(RIGHT('Bittrex Data'!B658,LEN('Bittrex Data'!B658)-SEARCH("-",'Bittrex Data'!B658,1)+1))-1))</f>
        <v/>
      </c>
      <c r="F658" t="str">
        <f>IF('Bittrex Data'!C658="","",IF('Bittrex Data'!C658="Limit_Sell",'Bittrex Data'!G658-'Bittrex Data'!F658,IF('Bittrex Data'!C658="Limit_Buy",'Bittrex Data'!G658+'Bittrex Data'!F658,"")))</f>
        <v/>
      </c>
      <c r="G658" t="str">
        <f>IF('Bittrex Data'!B658="","",'Bittrex Data'!D658)</f>
        <v/>
      </c>
      <c r="H658" t="str">
        <f>IF('Bittrex Data'!C658="","",IF(Bittrex!C658="Buy",Bittrex!D658,IF(Bittrex!C658="Sale",Bittrex!E658,IF(AND(Bittrex!C658="Trade",'Bittrex Data'!C658="Limit_Sell"),Bittrex!E658,IF(AND(Bittrex!C658="Trade",'Bittrex Data'!C658="Limit_Buy"),Bittrex!D658,"")))))</f>
        <v/>
      </c>
      <c r="I658" t="str">
        <f>IF('Bittrex Data'!C658="","",IF(Bittrex!C658="Buy",F658,IF(C658="Sale",Bittrex!G658,IF(AND(C658="Trade",'Bittrex Data'!C658="Limit_Sell"),Bittrex!G658,IF(AND(Bittrex!C658="Trade",'Bittrex Data'!C658="Limit_Buy"),F658,"")))))</f>
        <v/>
      </c>
      <c r="J658" t="str">
        <f>IF('Bittrex Data'!B658="","",IF('Bittrex Data'!B658="","",IF(Bittrex!H658=Bittrex!E658,D658,Bittrex!E658)))</f>
        <v/>
      </c>
      <c r="K658" t="str">
        <f>IF('Bittrex Data'!B658="","",IF(Bittrex!I658=Bittrex!G658,Bittrex!F658,Bittrex!G658))</f>
        <v/>
      </c>
    </row>
    <row r="659" spans="3:11" x14ac:dyDescent="0.2">
      <c r="C659" t="str">
        <f>IF('Bittrex Data'!A659="","",IF(AND('Bittrex Data'!C659="LIMIT_SELL",Bittrex!D659="USD"),"Sale",IF(AND('Bittrex Data'!C659="LIMIT_BUY",Bittrex!D659="USD"),"Buy","Trade")))</f>
        <v/>
      </c>
      <c r="D659" t="str">
        <f>IF('Bittrex Data'!B659="","",LEFT(LEFT('Bittrex Data'!B659,SEARCH("-",'Bittrex Data'!B659,1)),LEN(LEFT('Bittrex Data'!B659,SEARCH("-",'Bittrex Data'!B659,1)))-1))</f>
        <v/>
      </c>
      <c r="E659" t="str">
        <f>IF('Bittrex Data'!B659="","",RIGHT(RIGHT('Bittrex Data'!B659,LEN('Bittrex Data'!B659)-SEARCH("-",'Bittrex Data'!B659,1)+1),LEN(RIGHT('Bittrex Data'!B659,LEN('Bittrex Data'!B659)-SEARCH("-",'Bittrex Data'!B659,1)+1))-1))</f>
        <v/>
      </c>
      <c r="F659" t="str">
        <f>IF('Bittrex Data'!C659="","",IF('Bittrex Data'!C659="Limit_Sell",'Bittrex Data'!G659-'Bittrex Data'!F659,IF('Bittrex Data'!C659="Limit_Buy",'Bittrex Data'!G659+'Bittrex Data'!F659,"")))</f>
        <v/>
      </c>
      <c r="G659" t="str">
        <f>IF('Bittrex Data'!B659="","",'Bittrex Data'!D659)</f>
        <v/>
      </c>
      <c r="H659" t="str">
        <f>IF('Bittrex Data'!C659="","",IF(Bittrex!C659="Buy",Bittrex!D659,IF(Bittrex!C659="Sale",Bittrex!E659,IF(AND(Bittrex!C659="Trade",'Bittrex Data'!C659="Limit_Sell"),Bittrex!E659,IF(AND(Bittrex!C659="Trade",'Bittrex Data'!C659="Limit_Buy"),Bittrex!D659,"")))))</f>
        <v/>
      </c>
      <c r="I659" t="str">
        <f>IF('Bittrex Data'!C659="","",IF(Bittrex!C659="Buy",F659,IF(C659="Sale",Bittrex!G659,IF(AND(C659="Trade",'Bittrex Data'!C659="Limit_Sell"),Bittrex!G659,IF(AND(Bittrex!C659="Trade",'Bittrex Data'!C659="Limit_Buy"),F659,"")))))</f>
        <v/>
      </c>
      <c r="J659" t="str">
        <f>IF('Bittrex Data'!B659="","",IF('Bittrex Data'!B659="","",IF(Bittrex!H659=Bittrex!E659,D659,Bittrex!E659)))</f>
        <v/>
      </c>
      <c r="K659" t="str">
        <f>IF('Bittrex Data'!B659="","",IF(Bittrex!I659=Bittrex!G659,Bittrex!F659,Bittrex!G659))</f>
        <v/>
      </c>
    </row>
    <row r="660" spans="3:11" x14ac:dyDescent="0.2">
      <c r="C660" t="str">
        <f>IF('Bittrex Data'!A660="","",IF(AND('Bittrex Data'!C660="LIMIT_SELL",Bittrex!D660="USD"),"Sale",IF(AND('Bittrex Data'!C660="LIMIT_BUY",Bittrex!D660="USD"),"Buy","Trade")))</f>
        <v/>
      </c>
      <c r="D660" t="str">
        <f>IF('Bittrex Data'!B660="","",LEFT(LEFT('Bittrex Data'!B660,SEARCH("-",'Bittrex Data'!B660,1)),LEN(LEFT('Bittrex Data'!B660,SEARCH("-",'Bittrex Data'!B660,1)))-1))</f>
        <v/>
      </c>
      <c r="E660" t="str">
        <f>IF('Bittrex Data'!B660="","",RIGHT(RIGHT('Bittrex Data'!B660,LEN('Bittrex Data'!B660)-SEARCH("-",'Bittrex Data'!B660,1)+1),LEN(RIGHT('Bittrex Data'!B660,LEN('Bittrex Data'!B660)-SEARCH("-",'Bittrex Data'!B660,1)+1))-1))</f>
        <v/>
      </c>
      <c r="F660" t="str">
        <f>IF('Bittrex Data'!C660="","",IF('Bittrex Data'!C660="Limit_Sell",'Bittrex Data'!G660-'Bittrex Data'!F660,IF('Bittrex Data'!C660="Limit_Buy",'Bittrex Data'!G660+'Bittrex Data'!F660,"")))</f>
        <v/>
      </c>
      <c r="G660" t="str">
        <f>IF('Bittrex Data'!B660="","",'Bittrex Data'!D660)</f>
        <v/>
      </c>
      <c r="H660" t="str">
        <f>IF('Bittrex Data'!C660="","",IF(Bittrex!C660="Buy",Bittrex!D660,IF(Bittrex!C660="Sale",Bittrex!E660,IF(AND(Bittrex!C660="Trade",'Bittrex Data'!C660="Limit_Sell"),Bittrex!E660,IF(AND(Bittrex!C660="Trade",'Bittrex Data'!C660="Limit_Buy"),Bittrex!D660,"")))))</f>
        <v/>
      </c>
      <c r="I660" t="str">
        <f>IF('Bittrex Data'!C660="","",IF(Bittrex!C660="Buy",F660,IF(C660="Sale",Bittrex!G660,IF(AND(C660="Trade",'Bittrex Data'!C660="Limit_Sell"),Bittrex!G660,IF(AND(Bittrex!C660="Trade",'Bittrex Data'!C660="Limit_Buy"),F660,"")))))</f>
        <v/>
      </c>
      <c r="J660" t="str">
        <f>IF('Bittrex Data'!B660="","",IF('Bittrex Data'!B660="","",IF(Bittrex!H660=Bittrex!E660,D660,Bittrex!E660)))</f>
        <v/>
      </c>
      <c r="K660" t="str">
        <f>IF('Bittrex Data'!B660="","",IF(Bittrex!I660=Bittrex!G660,Bittrex!F660,Bittrex!G660))</f>
        <v/>
      </c>
    </row>
    <row r="661" spans="3:11" x14ac:dyDescent="0.2">
      <c r="C661" t="str">
        <f>IF('Bittrex Data'!A661="","",IF(AND('Bittrex Data'!C661="LIMIT_SELL",Bittrex!D661="USD"),"Sale",IF(AND('Bittrex Data'!C661="LIMIT_BUY",Bittrex!D661="USD"),"Buy","Trade")))</f>
        <v/>
      </c>
      <c r="D661" t="str">
        <f>IF('Bittrex Data'!B661="","",LEFT(LEFT('Bittrex Data'!B661,SEARCH("-",'Bittrex Data'!B661,1)),LEN(LEFT('Bittrex Data'!B661,SEARCH("-",'Bittrex Data'!B661,1)))-1))</f>
        <v/>
      </c>
      <c r="E661" t="str">
        <f>IF('Bittrex Data'!B661="","",RIGHT(RIGHT('Bittrex Data'!B661,LEN('Bittrex Data'!B661)-SEARCH("-",'Bittrex Data'!B661,1)+1),LEN(RIGHT('Bittrex Data'!B661,LEN('Bittrex Data'!B661)-SEARCH("-",'Bittrex Data'!B661,1)+1))-1))</f>
        <v/>
      </c>
      <c r="F661" t="str">
        <f>IF('Bittrex Data'!C661="","",IF('Bittrex Data'!C661="Limit_Sell",'Bittrex Data'!G661-'Bittrex Data'!F661,IF('Bittrex Data'!C661="Limit_Buy",'Bittrex Data'!G661+'Bittrex Data'!F661,"")))</f>
        <v/>
      </c>
      <c r="G661" t="str">
        <f>IF('Bittrex Data'!B661="","",'Bittrex Data'!D661)</f>
        <v/>
      </c>
      <c r="H661" t="str">
        <f>IF('Bittrex Data'!C661="","",IF(Bittrex!C661="Buy",Bittrex!D661,IF(Bittrex!C661="Sale",Bittrex!E661,IF(AND(Bittrex!C661="Trade",'Bittrex Data'!C661="Limit_Sell"),Bittrex!E661,IF(AND(Bittrex!C661="Trade",'Bittrex Data'!C661="Limit_Buy"),Bittrex!D661,"")))))</f>
        <v/>
      </c>
      <c r="I661" t="str">
        <f>IF('Bittrex Data'!C661="","",IF(Bittrex!C661="Buy",F661,IF(C661="Sale",Bittrex!G661,IF(AND(C661="Trade",'Bittrex Data'!C661="Limit_Sell"),Bittrex!G661,IF(AND(Bittrex!C661="Trade",'Bittrex Data'!C661="Limit_Buy"),F661,"")))))</f>
        <v/>
      </c>
      <c r="J661" t="str">
        <f>IF('Bittrex Data'!B661="","",IF('Bittrex Data'!B661="","",IF(Bittrex!H661=Bittrex!E661,D661,Bittrex!E661)))</f>
        <v/>
      </c>
      <c r="K661" t="str">
        <f>IF('Bittrex Data'!B661="","",IF(Bittrex!I661=Bittrex!G661,Bittrex!F661,Bittrex!G661))</f>
        <v/>
      </c>
    </row>
    <row r="662" spans="3:11" x14ac:dyDescent="0.2">
      <c r="C662" t="str">
        <f>IF('Bittrex Data'!A662="","",IF(AND('Bittrex Data'!C662="LIMIT_SELL",Bittrex!D662="USD"),"Sale",IF(AND('Bittrex Data'!C662="LIMIT_BUY",Bittrex!D662="USD"),"Buy","Trade")))</f>
        <v/>
      </c>
      <c r="D662" t="str">
        <f>IF('Bittrex Data'!B662="","",LEFT(LEFT('Bittrex Data'!B662,SEARCH("-",'Bittrex Data'!B662,1)),LEN(LEFT('Bittrex Data'!B662,SEARCH("-",'Bittrex Data'!B662,1)))-1))</f>
        <v/>
      </c>
      <c r="E662" t="str">
        <f>IF('Bittrex Data'!B662="","",RIGHT(RIGHT('Bittrex Data'!B662,LEN('Bittrex Data'!B662)-SEARCH("-",'Bittrex Data'!B662,1)+1),LEN(RIGHT('Bittrex Data'!B662,LEN('Bittrex Data'!B662)-SEARCH("-",'Bittrex Data'!B662,1)+1))-1))</f>
        <v/>
      </c>
      <c r="F662" t="str">
        <f>IF('Bittrex Data'!C662="","",IF('Bittrex Data'!C662="Limit_Sell",'Bittrex Data'!G662-'Bittrex Data'!F662,IF('Bittrex Data'!C662="Limit_Buy",'Bittrex Data'!G662+'Bittrex Data'!F662,"")))</f>
        <v/>
      </c>
      <c r="G662" t="str">
        <f>IF('Bittrex Data'!B662="","",'Bittrex Data'!D662)</f>
        <v/>
      </c>
      <c r="H662" t="str">
        <f>IF('Bittrex Data'!C662="","",IF(Bittrex!C662="Buy",Bittrex!D662,IF(Bittrex!C662="Sale",Bittrex!E662,IF(AND(Bittrex!C662="Trade",'Bittrex Data'!C662="Limit_Sell"),Bittrex!E662,IF(AND(Bittrex!C662="Trade",'Bittrex Data'!C662="Limit_Buy"),Bittrex!D662,"")))))</f>
        <v/>
      </c>
      <c r="I662" t="str">
        <f>IF('Bittrex Data'!C662="","",IF(Bittrex!C662="Buy",F662,IF(C662="Sale",Bittrex!G662,IF(AND(C662="Trade",'Bittrex Data'!C662="Limit_Sell"),Bittrex!G662,IF(AND(Bittrex!C662="Trade",'Bittrex Data'!C662="Limit_Buy"),F662,"")))))</f>
        <v/>
      </c>
      <c r="J662" t="str">
        <f>IF('Bittrex Data'!B662="","",IF('Bittrex Data'!B662="","",IF(Bittrex!H662=Bittrex!E662,D662,Bittrex!E662)))</f>
        <v/>
      </c>
      <c r="K662" t="str">
        <f>IF('Bittrex Data'!B662="","",IF(Bittrex!I662=Bittrex!G662,Bittrex!F662,Bittrex!G662))</f>
        <v/>
      </c>
    </row>
    <row r="663" spans="3:11" x14ac:dyDescent="0.2">
      <c r="C663" t="str">
        <f>IF('Bittrex Data'!A663="","",IF(AND('Bittrex Data'!C663="LIMIT_SELL",Bittrex!D663="USD"),"Sale",IF(AND('Bittrex Data'!C663="LIMIT_BUY",Bittrex!D663="USD"),"Buy","Trade")))</f>
        <v/>
      </c>
      <c r="D663" t="str">
        <f>IF('Bittrex Data'!B663="","",LEFT(LEFT('Bittrex Data'!B663,SEARCH("-",'Bittrex Data'!B663,1)),LEN(LEFT('Bittrex Data'!B663,SEARCH("-",'Bittrex Data'!B663,1)))-1))</f>
        <v/>
      </c>
      <c r="E663" t="str">
        <f>IF('Bittrex Data'!B663="","",RIGHT(RIGHT('Bittrex Data'!B663,LEN('Bittrex Data'!B663)-SEARCH("-",'Bittrex Data'!B663,1)+1),LEN(RIGHT('Bittrex Data'!B663,LEN('Bittrex Data'!B663)-SEARCH("-",'Bittrex Data'!B663,1)+1))-1))</f>
        <v/>
      </c>
      <c r="F663" t="str">
        <f>IF('Bittrex Data'!C663="","",IF('Bittrex Data'!C663="Limit_Sell",'Bittrex Data'!G663-'Bittrex Data'!F663,IF('Bittrex Data'!C663="Limit_Buy",'Bittrex Data'!G663+'Bittrex Data'!F663,"")))</f>
        <v/>
      </c>
      <c r="G663" t="str">
        <f>IF('Bittrex Data'!B663="","",'Bittrex Data'!D663)</f>
        <v/>
      </c>
      <c r="H663" t="str">
        <f>IF('Bittrex Data'!C663="","",IF(Bittrex!C663="Buy",Bittrex!D663,IF(Bittrex!C663="Sale",Bittrex!E663,IF(AND(Bittrex!C663="Trade",'Bittrex Data'!C663="Limit_Sell"),Bittrex!E663,IF(AND(Bittrex!C663="Trade",'Bittrex Data'!C663="Limit_Buy"),Bittrex!D663,"")))))</f>
        <v/>
      </c>
      <c r="I663" t="str">
        <f>IF('Bittrex Data'!C663="","",IF(Bittrex!C663="Buy",F663,IF(C663="Sale",Bittrex!G663,IF(AND(C663="Trade",'Bittrex Data'!C663="Limit_Sell"),Bittrex!G663,IF(AND(Bittrex!C663="Trade",'Bittrex Data'!C663="Limit_Buy"),F663,"")))))</f>
        <v/>
      </c>
      <c r="J663" t="str">
        <f>IF('Bittrex Data'!B663="","",IF('Bittrex Data'!B663="","",IF(Bittrex!H663=Bittrex!E663,D663,Bittrex!E663)))</f>
        <v/>
      </c>
      <c r="K663" t="str">
        <f>IF('Bittrex Data'!B663="","",IF(Bittrex!I663=Bittrex!G663,Bittrex!F663,Bittrex!G663))</f>
        <v/>
      </c>
    </row>
    <row r="664" spans="3:11" x14ac:dyDescent="0.2">
      <c r="C664" t="str">
        <f>IF('Bittrex Data'!A664="","",IF(AND('Bittrex Data'!C664="LIMIT_SELL",Bittrex!D664="USD"),"Sale",IF(AND('Bittrex Data'!C664="LIMIT_BUY",Bittrex!D664="USD"),"Buy","Trade")))</f>
        <v/>
      </c>
      <c r="D664" t="str">
        <f>IF('Bittrex Data'!B664="","",LEFT(LEFT('Bittrex Data'!B664,SEARCH("-",'Bittrex Data'!B664,1)),LEN(LEFT('Bittrex Data'!B664,SEARCH("-",'Bittrex Data'!B664,1)))-1))</f>
        <v/>
      </c>
      <c r="E664" t="str">
        <f>IF('Bittrex Data'!B664="","",RIGHT(RIGHT('Bittrex Data'!B664,LEN('Bittrex Data'!B664)-SEARCH("-",'Bittrex Data'!B664,1)+1),LEN(RIGHT('Bittrex Data'!B664,LEN('Bittrex Data'!B664)-SEARCH("-",'Bittrex Data'!B664,1)+1))-1))</f>
        <v/>
      </c>
      <c r="F664" t="str">
        <f>IF('Bittrex Data'!C664="","",IF('Bittrex Data'!C664="Limit_Sell",'Bittrex Data'!G664-'Bittrex Data'!F664,IF('Bittrex Data'!C664="Limit_Buy",'Bittrex Data'!G664+'Bittrex Data'!F664,"")))</f>
        <v/>
      </c>
      <c r="G664" t="str">
        <f>IF('Bittrex Data'!B664="","",'Bittrex Data'!D664)</f>
        <v/>
      </c>
      <c r="H664" t="str">
        <f>IF('Bittrex Data'!C664="","",IF(Bittrex!C664="Buy",Bittrex!D664,IF(Bittrex!C664="Sale",Bittrex!E664,IF(AND(Bittrex!C664="Trade",'Bittrex Data'!C664="Limit_Sell"),Bittrex!E664,IF(AND(Bittrex!C664="Trade",'Bittrex Data'!C664="Limit_Buy"),Bittrex!D664,"")))))</f>
        <v/>
      </c>
      <c r="I664" t="str">
        <f>IF('Bittrex Data'!C664="","",IF(Bittrex!C664="Buy",F664,IF(C664="Sale",Bittrex!G664,IF(AND(C664="Trade",'Bittrex Data'!C664="Limit_Sell"),Bittrex!G664,IF(AND(Bittrex!C664="Trade",'Bittrex Data'!C664="Limit_Buy"),F664,"")))))</f>
        <v/>
      </c>
      <c r="J664" t="str">
        <f>IF('Bittrex Data'!B664="","",IF('Bittrex Data'!B664="","",IF(Bittrex!H664=Bittrex!E664,D664,Bittrex!E664)))</f>
        <v/>
      </c>
      <c r="K664" t="str">
        <f>IF('Bittrex Data'!B664="","",IF(Bittrex!I664=Bittrex!G664,Bittrex!F664,Bittrex!G664))</f>
        <v/>
      </c>
    </row>
    <row r="665" spans="3:11" x14ac:dyDescent="0.2">
      <c r="C665" t="str">
        <f>IF('Bittrex Data'!A665="","",IF(AND('Bittrex Data'!C665="LIMIT_SELL",Bittrex!D665="USD"),"Sale",IF(AND('Bittrex Data'!C665="LIMIT_BUY",Bittrex!D665="USD"),"Buy","Trade")))</f>
        <v/>
      </c>
      <c r="D665" t="str">
        <f>IF('Bittrex Data'!B665="","",LEFT(LEFT('Bittrex Data'!B665,SEARCH("-",'Bittrex Data'!B665,1)),LEN(LEFT('Bittrex Data'!B665,SEARCH("-",'Bittrex Data'!B665,1)))-1))</f>
        <v/>
      </c>
      <c r="E665" t="str">
        <f>IF('Bittrex Data'!B665="","",RIGHT(RIGHT('Bittrex Data'!B665,LEN('Bittrex Data'!B665)-SEARCH("-",'Bittrex Data'!B665,1)+1),LEN(RIGHT('Bittrex Data'!B665,LEN('Bittrex Data'!B665)-SEARCH("-",'Bittrex Data'!B665,1)+1))-1))</f>
        <v/>
      </c>
      <c r="F665" t="str">
        <f>IF('Bittrex Data'!C665="","",IF('Bittrex Data'!C665="Limit_Sell",'Bittrex Data'!G665-'Bittrex Data'!F665,IF('Bittrex Data'!C665="Limit_Buy",'Bittrex Data'!G665+'Bittrex Data'!F665,"")))</f>
        <v/>
      </c>
      <c r="G665" t="str">
        <f>IF('Bittrex Data'!B665="","",'Bittrex Data'!D665)</f>
        <v/>
      </c>
      <c r="H665" t="str">
        <f>IF('Bittrex Data'!C665="","",IF(Bittrex!C665="Buy",Bittrex!D665,IF(Bittrex!C665="Sale",Bittrex!E665,IF(AND(Bittrex!C665="Trade",'Bittrex Data'!C665="Limit_Sell"),Bittrex!E665,IF(AND(Bittrex!C665="Trade",'Bittrex Data'!C665="Limit_Buy"),Bittrex!D665,"")))))</f>
        <v/>
      </c>
      <c r="I665" t="str">
        <f>IF('Bittrex Data'!C665="","",IF(Bittrex!C665="Buy",F665,IF(C665="Sale",Bittrex!G665,IF(AND(C665="Trade",'Bittrex Data'!C665="Limit_Sell"),Bittrex!G665,IF(AND(Bittrex!C665="Trade",'Bittrex Data'!C665="Limit_Buy"),F665,"")))))</f>
        <v/>
      </c>
      <c r="J665" t="str">
        <f>IF('Bittrex Data'!B665="","",IF('Bittrex Data'!B665="","",IF(Bittrex!H665=Bittrex!E665,D665,Bittrex!E665)))</f>
        <v/>
      </c>
      <c r="K665" t="str">
        <f>IF('Bittrex Data'!B665="","",IF(Bittrex!I665=Bittrex!G665,Bittrex!F665,Bittrex!G665))</f>
        <v/>
      </c>
    </row>
    <row r="666" spans="3:11" x14ac:dyDescent="0.2">
      <c r="C666" t="str">
        <f>IF('Bittrex Data'!A666="","",IF(AND('Bittrex Data'!C666="LIMIT_SELL",Bittrex!D666="USD"),"Sale",IF(AND('Bittrex Data'!C666="LIMIT_BUY",Bittrex!D666="USD"),"Buy","Trade")))</f>
        <v/>
      </c>
      <c r="D666" t="str">
        <f>IF('Bittrex Data'!B666="","",LEFT(LEFT('Bittrex Data'!B666,SEARCH("-",'Bittrex Data'!B666,1)),LEN(LEFT('Bittrex Data'!B666,SEARCH("-",'Bittrex Data'!B666,1)))-1))</f>
        <v/>
      </c>
      <c r="E666" t="str">
        <f>IF('Bittrex Data'!B666="","",RIGHT(RIGHT('Bittrex Data'!B666,LEN('Bittrex Data'!B666)-SEARCH("-",'Bittrex Data'!B666,1)+1),LEN(RIGHT('Bittrex Data'!B666,LEN('Bittrex Data'!B666)-SEARCH("-",'Bittrex Data'!B666,1)+1))-1))</f>
        <v/>
      </c>
      <c r="F666" t="str">
        <f>IF('Bittrex Data'!C666="","",IF('Bittrex Data'!C666="Limit_Sell",'Bittrex Data'!G666-'Bittrex Data'!F666,IF('Bittrex Data'!C666="Limit_Buy",'Bittrex Data'!G666+'Bittrex Data'!F666,"")))</f>
        <v/>
      </c>
      <c r="G666" t="str">
        <f>IF('Bittrex Data'!B666="","",'Bittrex Data'!D666)</f>
        <v/>
      </c>
      <c r="H666" t="str">
        <f>IF('Bittrex Data'!C666="","",IF(Bittrex!C666="Buy",Bittrex!D666,IF(Bittrex!C666="Sale",Bittrex!E666,IF(AND(Bittrex!C666="Trade",'Bittrex Data'!C666="Limit_Sell"),Bittrex!E666,IF(AND(Bittrex!C666="Trade",'Bittrex Data'!C666="Limit_Buy"),Bittrex!D666,"")))))</f>
        <v/>
      </c>
      <c r="I666" t="str">
        <f>IF('Bittrex Data'!C666="","",IF(Bittrex!C666="Buy",F666,IF(C666="Sale",Bittrex!G666,IF(AND(C666="Trade",'Bittrex Data'!C666="Limit_Sell"),Bittrex!G666,IF(AND(Bittrex!C666="Trade",'Bittrex Data'!C666="Limit_Buy"),F666,"")))))</f>
        <v/>
      </c>
      <c r="J666" t="str">
        <f>IF('Bittrex Data'!B666="","",IF('Bittrex Data'!B666="","",IF(Bittrex!H666=Bittrex!E666,D666,Bittrex!E666)))</f>
        <v/>
      </c>
      <c r="K666" t="str">
        <f>IF('Bittrex Data'!B666="","",IF(Bittrex!I666=Bittrex!G666,Bittrex!F666,Bittrex!G666))</f>
        <v/>
      </c>
    </row>
    <row r="667" spans="3:11" x14ac:dyDescent="0.2">
      <c r="C667" t="str">
        <f>IF('Bittrex Data'!A667="","",IF(AND('Bittrex Data'!C667="LIMIT_SELL",Bittrex!D667="USD"),"Sale",IF(AND('Bittrex Data'!C667="LIMIT_BUY",Bittrex!D667="USD"),"Buy","Trade")))</f>
        <v/>
      </c>
      <c r="D667" t="str">
        <f>IF('Bittrex Data'!B667="","",LEFT(LEFT('Bittrex Data'!B667,SEARCH("-",'Bittrex Data'!B667,1)),LEN(LEFT('Bittrex Data'!B667,SEARCH("-",'Bittrex Data'!B667,1)))-1))</f>
        <v/>
      </c>
      <c r="E667" t="str">
        <f>IF('Bittrex Data'!B667="","",RIGHT(RIGHT('Bittrex Data'!B667,LEN('Bittrex Data'!B667)-SEARCH("-",'Bittrex Data'!B667,1)+1),LEN(RIGHT('Bittrex Data'!B667,LEN('Bittrex Data'!B667)-SEARCH("-",'Bittrex Data'!B667,1)+1))-1))</f>
        <v/>
      </c>
      <c r="F667" t="str">
        <f>IF('Bittrex Data'!C667="","",IF('Bittrex Data'!C667="Limit_Sell",'Bittrex Data'!G667-'Bittrex Data'!F667,IF('Bittrex Data'!C667="Limit_Buy",'Bittrex Data'!G667+'Bittrex Data'!F667,"")))</f>
        <v/>
      </c>
      <c r="G667" t="str">
        <f>IF('Bittrex Data'!B667="","",'Bittrex Data'!D667)</f>
        <v/>
      </c>
      <c r="H667" t="str">
        <f>IF('Bittrex Data'!C667="","",IF(Bittrex!C667="Buy",Bittrex!D667,IF(Bittrex!C667="Sale",Bittrex!E667,IF(AND(Bittrex!C667="Trade",'Bittrex Data'!C667="Limit_Sell"),Bittrex!E667,IF(AND(Bittrex!C667="Trade",'Bittrex Data'!C667="Limit_Buy"),Bittrex!D667,"")))))</f>
        <v/>
      </c>
      <c r="I667" t="str">
        <f>IF('Bittrex Data'!C667="","",IF(Bittrex!C667="Buy",F667,IF(C667="Sale",Bittrex!G667,IF(AND(C667="Trade",'Bittrex Data'!C667="Limit_Sell"),Bittrex!G667,IF(AND(Bittrex!C667="Trade",'Bittrex Data'!C667="Limit_Buy"),F667,"")))))</f>
        <v/>
      </c>
      <c r="J667" t="str">
        <f>IF('Bittrex Data'!B667="","",IF('Bittrex Data'!B667="","",IF(Bittrex!H667=Bittrex!E667,D667,Bittrex!E667)))</f>
        <v/>
      </c>
      <c r="K667" t="str">
        <f>IF('Bittrex Data'!B667="","",IF(Bittrex!I667=Bittrex!G667,Bittrex!F667,Bittrex!G667))</f>
        <v/>
      </c>
    </row>
    <row r="668" spans="3:11" x14ac:dyDescent="0.2">
      <c r="C668" t="str">
        <f>IF('Bittrex Data'!A668="","",IF(AND('Bittrex Data'!C668="LIMIT_SELL",Bittrex!D668="USD"),"Sale",IF(AND('Bittrex Data'!C668="LIMIT_BUY",Bittrex!D668="USD"),"Buy","Trade")))</f>
        <v/>
      </c>
      <c r="D668" t="str">
        <f>IF('Bittrex Data'!B668="","",LEFT(LEFT('Bittrex Data'!B668,SEARCH("-",'Bittrex Data'!B668,1)),LEN(LEFT('Bittrex Data'!B668,SEARCH("-",'Bittrex Data'!B668,1)))-1))</f>
        <v/>
      </c>
      <c r="E668" t="str">
        <f>IF('Bittrex Data'!B668="","",RIGHT(RIGHT('Bittrex Data'!B668,LEN('Bittrex Data'!B668)-SEARCH("-",'Bittrex Data'!B668,1)+1),LEN(RIGHT('Bittrex Data'!B668,LEN('Bittrex Data'!B668)-SEARCH("-",'Bittrex Data'!B668,1)+1))-1))</f>
        <v/>
      </c>
      <c r="F668" t="str">
        <f>IF('Bittrex Data'!C668="","",IF('Bittrex Data'!C668="Limit_Sell",'Bittrex Data'!G668-'Bittrex Data'!F668,IF('Bittrex Data'!C668="Limit_Buy",'Bittrex Data'!G668+'Bittrex Data'!F668,"")))</f>
        <v/>
      </c>
      <c r="G668" t="str">
        <f>IF('Bittrex Data'!B668="","",'Bittrex Data'!D668)</f>
        <v/>
      </c>
      <c r="H668" t="str">
        <f>IF('Bittrex Data'!C668="","",IF(Bittrex!C668="Buy",Bittrex!D668,IF(Bittrex!C668="Sale",Bittrex!E668,IF(AND(Bittrex!C668="Trade",'Bittrex Data'!C668="Limit_Sell"),Bittrex!E668,IF(AND(Bittrex!C668="Trade",'Bittrex Data'!C668="Limit_Buy"),Bittrex!D668,"")))))</f>
        <v/>
      </c>
      <c r="I668" t="str">
        <f>IF('Bittrex Data'!C668="","",IF(Bittrex!C668="Buy",F668,IF(C668="Sale",Bittrex!G668,IF(AND(C668="Trade",'Bittrex Data'!C668="Limit_Sell"),Bittrex!G668,IF(AND(Bittrex!C668="Trade",'Bittrex Data'!C668="Limit_Buy"),F668,"")))))</f>
        <v/>
      </c>
      <c r="J668" t="str">
        <f>IF('Bittrex Data'!B668="","",IF('Bittrex Data'!B668="","",IF(Bittrex!H668=Bittrex!E668,D668,Bittrex!E668)))</f>
        <v/>
      </c>
      <c r="K668" t="str">
        <f>IF('Bittrex Data'!B668="","",IF(Bittrex!I668=Bittrex!G668,Bittrex!F668,Bittrex!G668))</f>
        <v/>
      </c>
    </row>
    <row r="669" spans="3:11" x14ac:dyDescent="0.2">
      <c r="C669" t="str">
        <f>IF('Bittrex Data'!A669="","",IF(AND('Bittrex Data'!C669="LIMIT_SELL",Bittrex!D669="USD"),"Sale",IF(AND('Bittrex Data'!C669="LIMIT_BUY",Bittrex!D669="USD"),"Buy","Trade")))</f>
        <v/>
      </c>
      <c r="D669" t="str">
        <f>IF('Bittrex Data'!B669="","",LEFT(LEFT('Bittrex Data'!B669,SEARCH("-",'Bittrex Data'!B669,1)),LEN(LEFT('Bittrex Data'!B669,SEARCH("-",'Bittrex Data'!B669,1)))-1))</f>
        <v/>
      </c>
      <c r="E669" t="str">
        <f>IF('Bittrex Data'!B669="","",RIGHT(RIGHT('Bittrex Data'!B669,LEN('Bittrex Data'!B669)-SEARCH("-",'Bittrex Data'!B669,1)+1),LEN(RIGHT('Bittrex Data'!B669,LEN('Bittrex Data'!B669)-SEARCH("-",'Bittrex Data'!B669,1)+1))-1))</f>
        <v/>
      </c>
      <c r="F669" t="str">
        <f>IF('Bittrex Data'!C669="","",IF('Bittrex Data'!C669="Limit_Sell",'Bittrex Data'!G669-'Bittrex Data'!F669,IF('Bittrex Data'!C669="Limit_Buy",'Bittrex Data'!G669+'Bittrex Data'!F669,"")))</f>
        <v/>
      </c>
      <c r="G669" t="str">
        <f>IF('Bittrex Data'!B669="","",'Bittrex Data'!D669)</f>
        <v/>
      </c>
      <c r="H669" t="str">
        <f>IF('Bittrex Data'!C669="","",IF(Bittrex!C669="Buy",Bittrex!D669,IF(Bittrex!C669="Sale",Bittrex!E669,IF(AND(Bittrex!C669="Trade",'Bittrex Data'!C669="Limit_Sell"),Bittrex!E669,IF(AND(Bittrex!C669="Trade",'Bittrex Data'!C669="Limit_Buy"),Bittrex!D669,"")))))</f>
        <v/>
      </c>
      <c r="I669" t="str">
        <f>IF('Bittrex Data'!C669="","",IF(Bittrex!C669="Buy",F669,IF(C669="Sale",Bittrex!G669,IF(AND(C669="Trade",'Bittrex Data'!C669="Limit_Sell"),Bittrex!G669,IF(AND(Bittrex!C669="Trade",'Bittrex Data'!C669="Limit_Buy"),F669,"")))))</f>
        <v/>
      </c>
      <c r="J669" t="str">
        <f>IF('Bittrex Data'!B669="","",IF('Bittrex Data'!B669="","",IF(Bittrex!H669=Bittrex!E669,D669,Bittrex!E669)))</f>
        <v/>
      </c>
      <c r="K669" t="str">
        <f>IF('Bittrex Data'!B669="","",IF(Bittrex!I669=Bittrex!G669,Bittrex!F669,Bittrex!G669))</f>
        <v/>
      </c>
    </row>
    <row r="670" spans="3:11" x14ac:dyDescent="0.2">
      <c r="C670" t="str">
        <f>IF('Bittrex Data'!A670="","",IF(AND('Bittrex Data'!C670="LIMIT_SELL",Bittrex!D670="USD"),"Sale",IF(AND('Bittrex Data'!C670="LIMIT_BUY",Bittrex!D670="USD"),"Buy","Trade")))</f>
        <v/>
      </c>
      <c r="D670" t="str">
        <f>IF('Bittrex Data'!B670="","",LEFT(LEFT('Bittrex Data'!B670,SEARCH("-",'Bittrex Data'!B670,1)),LEN(LEFT('Bittrex Data'!B670,SEARCH("-",'Bittrex Data'!B670,1)))-1))</f>
        <v/>
      </c>
      <c r="E670" t="str">
        <f>IF('Bittrex Data'!B670="","",RIGHT(RIGHT('Bittrex Data'!B670,LEN('Bittrex Data'!B670)-SEARCH("-",'Bittrex Data'!B670,1)+1),LEN(RIGHT('Bittrex Data'!B670,LEN('Bittrex Data'!B670)-SEARCH("-",'Bittrex Data'!B670,1)+1))-1))</f>
        <v/>
      </c>
      <c r="F670" t="str">
        <f>IF('Bittrex Data'!C670="","",IF('Bittrex Data'!C670="Limit_Sell",'Bittrex Data'!G670-'Bittrex Data'!F670,IF('Bittrex Data'!C670="Limit_Buy",'Bittrex Data'!G670+'Bittrex Data'!F670,"")))</f>
        <v/>
      </c>
      <c r="G670" t="str">
        <f>IF('Bittrex Data'!B670="","",'Bittrex Data'!D670)</f>
        <v/>
      </c>
      <c r="H670" t="str">
        <f>IF('Bittrex Data'!C670="","",IF(Bittrex!C670="Buy",Bittrex!D670,IF(Bittrex!C670="Sale",Bittrex!E670,IF(AND(Bittrex!C670="Trade",'Bittrex Data'!C670="Limit_Sell"),Bittrex!E670,IF(AND(Bittrex!C670="Trade",'Bittrex Data'!C670="Limit_Buy"),Bittrex!D670,"")))))</f>
        <v/>
      </c>
      <c r="I670" t="str">
        <f>IF('Bittrex Data'!C670="","",IF(Bittrex!C670="Buy",F670,IF(C670="Sale",Bittrex!G670,IF(AND(C670="Trade",'Bittrex Data'!C670="Limit_Sell"),Bittrex!G670,IF(AND(Bittrex!C670="Trade",'Bittrex Data'!C670="Limit_Buy"),F670,"")))))</f>
        <v/>
      </c>
      <c r="J670" t="str">
        <f>IF('Bittrex Data'!B670="","",IF('Bittrex Data'!B670="","",IF(Bittrex!H670=Bittrex!E670,D670,Bittrex!E670)))</f>
        <v/>
      </c>
      <c r="K670" t="str">
        <f>IF('Bittrex Data'!B670="","",IF(Bittrex!I670=Bittrex!G670,Bittrex!F670,Bittrex!G670))</f>
        <v/>
      </c>
    </row>
    <row r="671" spans="3:11" x14ac:dyDescent="0.2">
      <c r="C671" t="str">
        <f>IF('Bittrex Data'!A671="","",IF(AND('Bittrex Data'!C671="LIMIT_SELL",Bittrex!D671="USD"),"Sale",IF(AND('Bittrex Data'!C671="LIMIT_BUY",Bittrex!D671="USD"),"Buy","Trade")))</f>
        <v/>
      </c>
      <c r="D671" t="str">
        <f>IF('Bittrex Data'!B671="","",LEFT(LEFT('Bittrex Data'!B671,SEARCH("-",'Bittrex Data'!B671,1)),LEN(LEFT('Bittrex Data'!B671,SEARCH("-",'Bittrex Data'!B671,1)))-1))</f>
        <v/>
      </c>
      <c r="E671" t="str">
        <f>IF('Bittrex Data'!B671="","",RIGHT(RIGHT('Bittrex Data'!B671,LEN('Bittrex Data'!B671)-SEARCH("-",'Bittrex Data'!B671,1)+1),LEN(RIGHT('Bittrex Data'!B671,LEN('Bittrex Data'!B671)-SEARCH("-",'Bittrex Data'!B671,1)+1))-1))</f>
        <v/>
      </c>
      <c r="F671" t="str">
        <f>IF('Bittrex Data'!C671="","",IF('Bittrex Data'!C671="Limit_Sell",'Bittrex Data'!G671-'Bittrex Data'!F671,IF('Bittrex Data'!C671="Limit_Buy",'Bittrex Data'!G671+'Bittrex Data'!F671,"")))</f>
        <v/>
      </c>
      <c r="G671" t="str">
        <f>IF('Bittrex Data'!B671="","",'Bittrex Data'!D671)</f>
        <v/>
      </c>
      <c r="H671" t="str">
        <f>IF('Bittrex Data'!C671="","",IF(Bittrex!C671="Buy",Bittrex!D671,IF(Bittrex!C671="Sale",Bittrex!E671,IF(AND(Bittrex!C671="Trade",'Bittrex Data'!C671="Limit_Sell"),Bittrex!E671,IF(AND(Bittrex!C671="Trade",'Bittrex Data'!C671="Limit_Buy"),Bittrex!D671,"")))))</f>
        <v/>
      </c>
      <c r="I671" t="str">
        <f>IF('Bittrex Data'!C671="","",IF(Bittrex!C671="Buy",F671,IF(C671="Sale",Bittrex!G671,IF(AND(C671="Trade",'Bittrex Data'!C671="Limit_Sell"),Bittrex!G671,IF(AND(Bittrex!C671="Trade",'Bittrex Data'!C671="Limit_Buy"),F671,"")))))</f>
        <v/>
      </c>
      <c r="J671" t="str">
        <f>IF('Bittrex Data'!B671="","",IF('Bittrex Data'!B671="","",IF(Bittrex!H671=Bittrex!E671,D671,Bittrex!E671)))</f>
        <v/>
      </c>
      <c r="K671" t="str">
        <f>IF('Bittrex Data'!B671="","",IF(Bittrex!I671=Bittrex!G671,Bittrex!F671,Bittrex!G671))</f>
        <v/>
      </c>
    </row>
    <row r="672" spans="3:11" x14ac:dyDescent="0.2">
      <c r="C672" t="str">
        <f>IF('Bittrex Data'!A672="","",IF(AND('Bittrex Data'!C672="LIMIT_SELL",Bittrex!D672="USD"),"Sale",IF(AND('Bittrex Data'!C672="LIMIT_BUY",Bittrex!D672="USD"),"Buy","Trade")))</f>
        <v/>
      </c>
      <c r="D672" t="str">
        <f>IF('Bittrex Data'!B672="","",LEFT(LEFT('Bittrex Data'!B672,SEARCH("-",'Bittrex Data'!B672,1)),LEN(LEFT('Bittrex Data'!B672,SEARCH("-",'Bittrex Data'!B672,1)))-1))</f>
        <v/>
      </c>
      <c r="E672" t="str">
        <f>IF('Bittrex Data'!B672="","",RIGHT(RIGHT('Bittrex Data'!B672,LEN('Bittrex Data'!B672)-SEARCH("-",'Bittrex Data'!B672,1)+1),LEN(RIGHT('Bittrex Data'!B672,LEN('Bittrex Data'!B672)-SEARCH("-",'Bittrex Data'!B672,1)+1))-1))</f>
        <v/>
      </c>
      <c r="F672" t="str">
        <f>IF('Bittrex Data'!C672="","",IF('Bittrex Data'!C672="Limit_Sell",'Bittrex Data'!G672-'Bittrex Data'!F672,IF('Bittrex Data'!C672="Limit_Buy",'Bittrex Data'!G672+'Bittrex Data'!F672,"")))</f>
        <v/>
      </c>
      <c r="G672" t="str">
        <f>IF('Bittrex Data'!B672="","",'Bittrex Data'!D672)</f>
        <v/>
      </c>
      <c r="H672" t="str">
        <f>IF('Bittrex Data'!C672="","",IF(Bittrex!C672="Buy",Bittrex!D672,IF(Bittrex!C672="Sale",Bittrex!E672,IF(AND(Bittrex!C672="Trade",'Bittrex Data'!C672="Limit_Sell"),Bittrex!E672,IF(AND(Bittrex!C672="Trade",'Bittrex Data'!C672="Limit_Buy"),Bittrex!D672,"")))))</f>
        <v/>
      </c>
      <c r="I672" t="str">
        <f>IF('Bittrex Data'!C672="","",IF(Bittrex!C672="Buy",F672,IF(C672="Sale",Bittrex!G672,IF(AND(C672="Trade",'Bittrex Data'!C672="Limit_Sell"),Bittrex!G672,IF(AND(Bittrex!C672="Trade",'Bittrex Data'!C672="Limit_Buy"),F672,"")))))</f>
        <v/>
      </c>
      <c r="J672" t="str">
        <f>IF('Bittrex Data'!B672="","",IF('Bittrex Data'!B672="","",IF(Bittrex!H672=Bittrex!E672,D672,Bittrex!E672)))</f>
        <v/>
      </c>
      <c r="K672" t="str">
        <f>IF('Bittrex Data'!B672="","",IF(Bittrex!I672=Bittrex!G672,Bittrex!F672,Bittrex!G672))</f>
        <v/>
      </c>
    </row>
    <row r="673" spans="3:11" x14ac:dyDescent="0.2">
      <c r="C673" t="str">
        <f>IF('Bittrex Data'!A673="","",IF(AND('Bittrex Data'!C673="LIMIT_SELL",Bittrex!D673="USD"),"Sale",IF(AND('Bittrex Data'!C673="LIMIT_BUY",Bittrex!D673="USD"),"Buy","Trade")))</f>
        <v/>
      </c>
      <c r="D673" t="str">
        <f>IF('Bittrex Data'!B673="","",LEFT(LEFT('Bittrex Data'!B673,SEARCH("-",'Bittrex Data'!B673,1)),LEN(LEFT('Bittrex Data'!B673,SEARCH("-",'Bittrex Data'!B673,1)))-1))</f>
        <v/>
      </c>
      <c r="E673" t="str">
        <f>IF('Bittrex Data'!B673="","",RIGHT(RIGHT('Bittrex Data'!B673,LEN('Bittrex Data'!B673)-SEARCH("-",'Bittrex Data'!B673,1)+1),LEN(RIGHT('Bittrex Data'!B673,LEN('Bittrex Data'!B673)-SEARCH("-",'Bittrex Data'!B673,1)+1))-1))</f>
        <v/>
      </c>
      <c r="F673" t="str">
        <f>IF('Bittrex Data'!C673="","",IF('Bittrex Data'!C673="Limit_Sell",'Bittrex Data'!G673-'Bittrex Data'!F673,IF('Bittrex Data'!C673="Limit_Buy",'Bittrex Data'!G673+'Bittrex Data'!F673,"")))</f>
        <v/>
      </c>
      <c r="G673" t="str">
        <f>IF('Bittrex Data'!B673="","",'Bittrex Data'!D673)</f>
        <v/>
      </c>
      <c r="H673" t="str">
        <f>IF('Bittrex Data'!C673="","",IF(Bittrex!C673="Buy",Bittrex!D673,IF(Bittrex!C673="Sale",Bittrex!E673,IF(AND(Bittrex!C673="Trade",'Bittrex Data'!C673="Limit_Sell"),Bittrex!E673,IF(AND(Bittrex!C673="Trade",'Bittrex Data'!C673="Limit_Buy"),Bittrex!D673,"")))))</f>
        <v/>
      </c>
      <c r="I673" t="str">
        <f>IF('Bittrex Data'!C673="","",IF(Bittrex!C673="Buy",F673,IF(C673="Sale",Bittrex!G673,IF(AND(C673="Trade",'Bittrex Data'!C673="Limit_Sell"),Bittrex!G673,IF(AND(Bittrex!C673="Trade",'Bittrex Data'!C673="Limit_Buy"),F673,"")))))</f>
        <v/>
      </c>
      <c r="J673" t="str">
        <f>IF('Bittrex Data'!B673="","",IF('Bittrex Data'!B673="","",IF(Bittrex!H673=Bittrex!E673,D673,Bittrex!E673)))</f>
        <v/>
      </c>
      <c r="K673" t="str">
        <f>IF('Bittrex Data'!B673="","",IF(Bittrex!I673=Bittrex!G673,Bittrex!F673,Bittrex!G673))</f>
        <v/>
      </c>
    </row>
    <row r="674" spans="3:11" x14ac:dyDescent="0.2">
      <c r="C674" t="str">
        <f>IF('Bittrex Data'!A674="","",IF(AND('Bittrex Data'!C674="LIMIT_SELL",Bittrex!D674="USD"),"Sale",IF(AND('Bittrex Data'!C674="LIMIT_BUY",Bittrex!D674="USD"),"Buy","Trade")))</f>
        <v/>
      </c>
      <c r="D674" t="str">
        <f>IF('Bittrex Data'!B674="","",LEFT(LEFT('Bittrex Data'!B674,SEARCH("-",'Bittrex Data'!B674,1)),LEN(LEFT('Bittrex Data'!B674,SEARCH("-",'Bittrex Data'!B674,1)))-1))</f>
        <v/>
      </c>
      <c r="E674" t="str">
        <f>IF('Bittrex Data'!B674="","",RIGHT(RIGHT('Bittrex Data'!B674,LEN('Bittrex Data'!B674)-SEARCH("-",'Bittrex Data'!B674,1)+1),LEN(RIGHT('Bittrex Data'!B674,LEN('Bittrex Data'!B674)-SEARCH("-",'Bittrex Data'!B674,1)+1))-1))</f>
        <v/>
      </c>
      <c r="F674" t="str">
        <f>IF('Bittrex Data'!C674="","",IF('Bittrex Data'!C674="Limit_Sell",'Bittrex Data'!G674-'Bittrex Data'!F674,IF('Bittrex Data'!C674="Limit_Buy",'Bittrex Data'!G674+'Bittrex Data'!F674,"")))</f>
        <v/>
      </c>
      <c r="G674" t="str">
        <f>IF('Bittrex Data'!B674="","",'Bittrex Data'!D674)</f>
        <v/>
      </c>
      <c r="H674" t="str">
        <f>IF('Bittrex Data'!C674="","",IF(Bittrex!C674="Buy",Bittrex!D674,IF(Bittrex!C674="Sale",Bittrex!E674,IF(AND(Bittrex!C674="Trade",'Bittrex Data'!C674="Limit_Sell"),Bittrex!E674,IF(AND(Bittrex!C674="Trade",'Bittrex Data'!C674="Limit_Buy"),Bittrex!D674,"")))))</f>
        <v/>
      </c>
      <c r="I674" t="str">
        <f>IF('Bittrex Data'!C674="","",IF(Bittrex!C674="Buy",F674,IF(C674="Sale",Bittrex!G674,IF(AND(C674="Trade",'Bittrex Data'!C674="Limit_Sell"),Bittrex!G674,IF(AND(Bittrex!C674="Trade",'Bittrex Data'!C674="Limit_Buy"),F674,"")))))</f>
        <v/>
      </c>
      <c r="J674" t="str">
        <f>IF('Bittrex Data'!B674="","",IF('Bittrex Data'!B674="","",IF(Bittrex!H674=Bittrex!E674,D674,Bittrex!E674)))</f>
        <v/>
      </c>
      <c r="K674" t="str">
        <f>IF('Bittrex Data'!B674="","",IF(Bittrex!I674=Bittrex!G674,Bittrex!F674,Bittrex!G674))</f>
        <v/>
      </c>
    </row>
    <row r="675" spans="3:11" x14ac:dyDescent="0.2">
      <c r="C675" t="str">
        <f>IF('Bittrex Data'!A675="","",IF(AND('Bittrex Data'!C675="LIMIT_SELL",Bittrex!D675="USD"),"Sale",IF(AND('Bittrex Data'!C675="LIMIT_BUY",Bittrex!D675="USD"),"Buy","Trade")))</f>
        <v/>
      </c>
      <c r="D675" t="str">
        <f>IF('Bittrex Data'!B675="","",LEFT(LEFT('Bittrex Data'!B675,SEARCH("-",'Bittrex Data'!B675,1)),LEN(LEFT('Bittrex Data'!B675,SEARCH("-",'Bittrex Data'!B675,1)))-1))</f>
        <v/>
      </c>
      <c r="E675" t="str">
        <f>IF('Bittrex Data'!B675="","",RIGHT(RIGHT('Bittrex Data'!B675,LEN('Bittrex Data'!B675)-SEARCH("-",'Bittrex Data'!B675,1)+1),LEN(RIGHT('Bittrex Data'!B675,LEN('Bittrex Data'!B675)-SEARCH("-",'Bittrex Data'!B675,1)+1))-1))</f>
        <v/>
      </c>
      <c r="F675" t="str">
        <f>IF('Bittrex Data'!C675="","",IF('Bittrex Data'!C675="Limit_Sell",'Bittrex Data'!G675-'Bittrex Data'!F675,IF('Bittrex Data'!C675="Limit_Buy",'Bittrex Data'!G675+'Bittrex Data'!F675,"")))</f>
        <v/>
      </c>
      <c r="G675" t="str">
        <f>IF('Bittrex Data'!B675="","",'Bittrex Data'!D675)</f>
        <v/>
      </c>
      <c r="H675" t="str">
        <f>IF('Bittrex Data'!C675="","",IF(Bittrex!C675="Buy",Bittrex!D675,IF(Bittrex!C675="Sale",Bittrex!E675,IF(AND(Bittrex!C675="Trade",'Bittrex Data'!C675="Limit_Sell"),Bittrex!E675,IF(AND(Bittrex!C675="Trade",'Bittrex Data'!C675="Limit_Buy"),Bittrex!D675,"")))))</f>
        <v/>
      </c>
      <c r="I675" t="str">
        <f>IF('Bittrex Data'!C675="","",IF(Bittrex!C675="Buy",F675,IF(C675="Sale",Bittrex!G675,IF(AND(C675="Trade",'Bittrex Data'!C675="Limit_Sell"),Bittrex!G675,IF(AND(Bittrex!C675="Trade",'Bittrex Data'!C675="Limit_Buy"),F675,"")))))</f>
        <v/>
      </c>
      <c r="J675" t="str">
        <f>IF('Bittrex Data'!B675="","",IF('Bittrex Data'!B675="","",IF(Bittrex!H675=Bittrex!E675,D675,Bittrex!E675)))</f>
        <v/>
      </c>
      <c r="K675" t="str">
        <f>IF('Bittrex Data'!B675="","",IF(Bittrex!I675=Bittrex!G675,Bittrex!F675,Bittrex!G675))</f>
        <v/>
      </c>
    </row>
    <row r="676" spans="3:11" x14ac:dyDescent="0.2">
      <c r="C676" t="str">
        <f>IF('Bittrex Data'!A676="","",IF(AND('Bittrex Data'!C676="LIMIT_SELL",Bittrex!D676="USD"),"Sale",IF(AND('Bittrex Data'!C676="LIMIT_BUY",Bittrex!D676="USD"),"Buy","Trade")))</f>
        <v/>
      </c>
      <c r="D676" t="str">
        <f>IF('Bittrex Data'!B676="","",LEFT(LEFT('Bittrex Data'!B676,SEARCH("-",'Bittrex Data'!B676,1)),LEN(LEFT('Bittrex Data'!B676,SEARCH("-",'Bittrex Data'!B676,1)))-1))</f>
        <v/>
      </c>
      <c r="E676" t="str">
        <f>IF('Bittrex Data'!B676="","",RIGHT(RIGHT('Bittrex Data'!B676,LEN('Bittrex Data'!B676)-SEARCH("-",'Bittrex Data'!B676,1)+1),LEN(RIGHT('Bittrex Data'!B676,LEN('Bittrex Data'!B676)-SEARCH("-",'Bittrex Data'!B676,1)+1))-1))</f>
        <v/>
      </c>
      <c r="F676" t="str">
        <f>IF('Bittrex Data'!C676="","",IF('Bittrex Data'!C676="Limit_Sell",'Bittrex Data'!G676-'Bittrex Data'!F676,IF('Bittrex Data'!C676="Limit_Buy",'Bittrex Data'!G676+'Bittrex Data'!F676,"")))</f>
        <v/>
      </c>
      <c r="G676" t="str">
        <f>IF('Bittrex Data'!B676="","",'Bittrex Data'!D676)</f>
        <v/>
      </c>
      <c r="H676" t="str">
        <f>IF('Bittrex Data'!C676="","",IF(Bittrex!C676="Buy",Bittrex!D676,IF(Bittrex!C676="Sale",Bittrex!E676,IF(AND(Bittrex!C676="Trade",'Bittrex Data'!C676="Limit_Sell"),Bittrex!E676,IF(AND(Bittrex!C676="Trade",'Bittrex Data'!C676="Limit_Buy"),Bittrex!D676,"")))))</f>
        <v/>
      </c>
      <c r="I676" t="str">
        <f>IF('Bittrex Data'!C676="","",IF(Bittrex!C676="Buy",F676,IF(C676="Sale",Bittrex!G676,IF(AND(C676="Trade",'Bittrex Data'!C676="Limit_Sell"),Bittrex!G676,IF(AND(Bittrex!C676="Trade",'Bittrex Data'!C676="Limit_Buy"),F676,"")))))</f>
        <v/>
      </c>
      <c r="J676" t="str">
        <f>IF('Bittrex Data'!B676="","",IF('Bittrex Data'!B676="","",IF(Bittrex!H676=Bittrex!E676,D676,Bittrex!E676)))</f>
        <v/>
      </c>
      <c r="K676" t="str">
        <f>IF('Bittrex Data'!B676="","",IF(Bittrex!I676=Bittrex!G676,Bittrex!F676,Bittrex!G676))</f>
        <v/>
      </c>
    </row>
    <row r="677" spans="3:11" x14ac:dyDescent="0.2">
      <c r="C677" t="str">
        <f>IF('Bittrex Data'!A677="","",IF(AND('Bittrex Data'!C677="LIMIT_SELL",Bittrex!D677="USD"),"Sale",IF(AND('Bittrex Data'!C677="LIMIT_BUY",Bittrex!D677="USD"),"Buy","Trade")))</f>
        <v/>
      </c>
      <c r="D677" t="str">
        <f>IF('Bittrex Data'!B677="","",LEFT(LEFT('Bittrex Data'!B677,SEARCH("-",'Bittrex Data'!B677,1)),LEN(LEFT('Bittrex Data'!B677,SEARCH("-",'Bittrex Data'!B677,1)))-1))</f>
        <v/>
      </c>
      <c r="E677" t="str">
        <f>IF('Bittrex Data'!B677="","",RIGHT(RIGHT('Bittrex Data'!B677,LEN('Bittrex Data'!B677)-SEARCH("-",'Bittrex Data'!B677,1)+1),LEN(RIGHT('Bittrex Data'!B677,LEN('Bittrex Data'!B677)-SEARCH("-",'Bittrex Data'!B677,1)+1))-1))</f>
        <v/>
      </c>
      <c r="F677" t="str">
        <f>IF('Bittrex Data'!C677="","",IF('Bittrex Data'!C677="Limit_Sell",'Bittrex Data'!G677-'Bittrex Data'!F677,IF('Bittrex Data'!C677="Limit_Buy",'Bittrex Data'!G677+'Bittrex Data'!F677,"")))</f>
        <v/>
      </c>
      <c r="G677" t="str">
        <f>IF('Bittrex Data'!B677="","",'Bittrex Data'!D677)</f>
        <v/>
      </c>
      <c r="H677" t="str">
        <f>IF('Bittrex Data'!C677="","",IF(Bittrex!C677="Buy",Bittrex!D677,IF(Bittrex!C677="Sale",Bittrex!E677,IF(AND(Bittrex!C677="Trade",'Bittrex Data'!C677="Limit_Sell"),Bittrex!E677,IF(AND(Bittrex!C677="Trade",'Bittrex Data'!C677="Limit_Buy"),Bittrex!D677,"")))))</f>
        <v/>
      </c>
      <c r="I677" t="str">
        <f>IF('Bittrex Data'!C677="","",IF(Bittrex!C677="Buy",F677,IF(C677="Sale",Bittrex!G677,IF(AND(C677="Trade",'Bittrex Data'!C677="Limit_Sell"),Bittrex!G677,IF(AND(Bittrex!C677="Trade",'Bittrex Data'!C677="Limit_Buy"),F677,"")))))</f>
        <v/>
      </c>
      <c r="J677" t="str">
        <f>IF('Bittrex Data'!B677="","",IF('Bittrex Data'!B677="","",IF(Bittrex!H677=Bittrex!E677,D677,Bittrex!E677)))</f>
        <v/>
      </c>
      <c r="K677" t="str">
        <f>IF('Bittrex Data'!B677="","",IF(Bittrex!I677=Bittrex!G677,Bittrex!F677,Bittrex!G677))</f>
        <v/>
      </c>
    </row>
    <row r="678" spans="3:11" x14ac:dyDescent="0.2">
      <c r="C678" t="str">
        <f>IF('Bittrex Data'!A678="","",IF(AND('Bittrex Data'!C678="LIMIT_SELL",Bittrex!D678="USD"),"Sale",IF(AND('Bittrex Data'!C678="LIMIT_BUY",Bittrex!D678="USD"),"Buy","Trade")))</f>
        <v/>
      </c>
      <c r="D678" t="str">
        <f>IF('Bittrex Data'!B678="","",LEFT(LEFT('Bittrex Data'!B678,SEARCH("-",'Bittrex Data'!B678,1)),LEN(LEFT('Bittrex Data'!B678,SEARCH("-",'Bittrex Data'!B678,1)))-1))</f>
        <v/>
      </c>
      <c r="E678" t="str">
        <f>IF('Bittrex Data'!B678="","",RIGHT(RIGHT('Bittrex Data'!B678,LEN('Bittrex Data'!B678)-SEARCH("-",'Bittrex Data'!B678,1)+1),LEN(RIGHT('Bittrex Data'!B678,LEN('Bittrex Data'!B678)-SEARCH("-",'Bittrex Data'!B678,1)+1))-1))</f>
        <v/>
      </c>
      <c r="F678" t="str">
        <f>IF('Bittrex Data'!C678="","",IF('Bittrex Data'!C678="Limit_Sell",'Bittrex Data'!G678-'Bittrex Data'!F678,IF('Bittrex Data'!C678="Limit_Buy",'Bittrex Data'!G678+'Bittrex Data'!F678,"")))</f>
        <v/>
      </c>
      <c r="G678" t="str">
        <f>IF('Bittrex Data'!B678="","",'Bittrex Data'!D678)</f>
        <v/>
      </c>
      <c r="H678" t="str">
        <f>IF('Bittrex Data'!C678="","",IF(Bittrex!C678="Buy",Bittrex!D678,IF(Bittrex!C678="Sale",Bittrex!E678,IF(AND(Bittrex!C678="Trade",'Bittrex Data'!C678="Limit_Sell"),Bittrex!E678,IF(AND(Bittrex!C678="Trade",'Bittrex Data'!C678="Limit_Buy"),Bittrex!D678,"")))))</f>
        <v/>
      </c>
      <c r="I678" t="str">
        <f>IF('Bittrex Data'!C678="","",IF(Bittrex!C678="Buy",F678,IF(C678="Sale",Bittrex!G678,IF(AND(C678="Trade",'Bittrex Data'!C678="Limit_Sell"),Bittrex!G678,IF(AND(Bittrex!C678="Trade",'Bittrex Data'!C678="Limit_Buy"),F678,"")))))</f>
        <v/>
      </c>
      <c r="J678" t="str">
        <f>IF('Bittrex Data'!B678="","",IF('Bittrex Data'!B678="","",IF(Bittrex!H678=Bittrex!E678,D678,Bittrex!E678)))</f>
        <v/>
      </c>
      <c r="K678" t="str">
        <f>IF('Bittrex Data'!B678="","",IF(Bittrex!I678=Bittrex!G678,Bittrex!F678,Bittrex!G678))</f>
        <v/>
      </c>
    </row>
    <row r="679" spans="3:11" x14ac:dyDescent="0.2">
      <c r="C679" t="str">
        <f>IF('Bittrex Data'!A679="","",IF(AND('Bittrex Data'!C679="LIMIT_SELL",Bittrex!D679="USD"),"Sale",IF(AND('Bittrex Data'!C679="LIMIT_BUY",Bittrex!D679="USD"),"Buy","Trade")))</f>
        <v/>
      </c>
      <c r="D679" t="str">
        <f>IF('Bittrex Data'!B679="","",LEFT(LEFT('Bittrex Data'!B679,SEARCH("-",'Bittrex Data'!B679,1)),LEN(LEFT('Bittrex Data'!B679,SEARCH("-",'Bittrex Data'!B679,1)))-1))</f>
        <v/>
      </c>
      <c r="E679" t="str">
        <f>IF('Bittrex Data'!B679="","",RIGHT(RIGHT('Bittrex Data'!B679,LEN('Bittrex Data'!B679)-SEARCH("-",'Bittrex Data'!B679,1)+1),LEN(RIGHT('Bittrex Data'!B679,LEN('Bittrex Data'!B679)-SEARCH("-",'Bittrex Data'!B679,1)+1))-1))</f>
        <v/>
      </c>
      <c r="F679" t="str">
        <f>IF('Bittrex Data'!C679="","",IF('Bittrex Data'!C679="Limit_Sell",'Bittrex Data'!G679-'Bittrex Data'!F679,IF('Bittrex Data'!C679="Limit_Buy",'Bittrex Data'!G679+'Bittrex Data'!F679,"")))</f>
        <v/>
      </c>
      <c r="G679" t="str">
        <f>IF('Bittrex Data'!B679="","",'Bittrex Data'!D679)</f>
        <v/>
      </c>
      <c r="H679" t="str">
        <f>IF('Bittrex Data'!C679="","",IF(Bittrex!C679="Buy",Bittrex!D679,IF(Bittrex!C679="Sale",Bittrex!E679,IF(AND(Bittrex!C679="Trade",'Bittrex Data'!C679="Limit_Sell"),Bittrex!E679,IF(AND(Bittrex!C679="Trade",'Bittrex Data'!C679="Limit_Buy"),Bittrex!D679,"")))))</f>
        <v/>
      </c>
      <c r="I679" t="str">
        <f>IF('Bittrex Data'!C679="","",IF(Bittrex!C679="Buy",F679,IF(C679="Sale",Bittrex!G679,IF(AND(C679="Trade",'Bittrex Data'!C679="Limit_Sell"),Bittrex!G679,IF(AND(Bittrex!C679="Trade",'Bittrex Data'!C679="Limit_Buy"),F679,"")))))</f>
        <v/>
      </c>
      <c r="J679" t="str">
        <f>IF('Bittrex Data'!B679="","",IF('Bittrex Data'!B679="","",IF(Bittrex!H679=Bittrex!E679,D679,Bittrex!E679)))</f>
        <v/>
      </c>
      <c r="K679" t="str">
        <f>IF('Bittrex Data'!B679="","",IF(Bittrex!I679=Bittrex!G679,Bittrex!F679,Bittrex!G679))</f>
        <v/>
      </c>
    </row>
    <row r="680" spans="3:11" x14ac:dyDescent="0.2">
      <c r="C680" t="str">
        <f>IF('Bittrex Data'!A680="","",IF(AND('Bittrex Data'!C680="LIMIT_SELL",Bittrex!D680="USD"),"Sale",IF(AND('Bittrex Data'!C680="LIMIT_BUY",Bittrex!D680="USD"),"Buy","Trade")))</f>
        <v/>
      </c>
      <c r="D680" t="str">
        <f>IF('Bittrex Data'!B680="","",LEFT(LEFT('Bittrex Data'!B680,SEARCH("-",'Bittrex Data'!B680,1)),LEN(LEFT('Bittrex Data'!B680,SEARCH("-",'Bittrex Data'!B680,1)))-1))</f>
        <v/>
      </c>
      <c r="E680" t="str">
        <f>IF('Bittrex Data'!B680="","",RIGHT(RIGHT('Bittrex Data'!B680,LEN('Bittrex Data'!B680)-SEARCH("-",'Bittrex Data'!B680,1)+1),LEN(RIGHT('Bittrex Data'!B680,LEN('Bittrex Data'!B680)-SEARCH("-",'Bittrex Data'!B680,1)+1))-1))</f>
        <v/>
      </c>
      <c r="F680" t="str">
        <f>IF('Bittrex Data'!C680="","",IF('Bittrex Data'!C680="Limit_Sell",'Bittrex Data'!G680-'Bittrex Data'!F680,IF('Bittrex Data'!C680="Limit_Buy",'Bittrex Data'!G680+'Bittrex Data'!F680,"")))</f>
        <v/>
      </c>
      <c r="G680" t="str">
        <f>IF('Bittrex Data'!B680="","",'Bittrex Data'!D680)</f>
        <v/>
      </c>
      <c r="H680" t="str">
        <f>IF('Bittrex Data'!C680="","",IF(Bittrex!C680="Buy",Bittrex!D680,IF(Bittrex!C680="Sale",Bittrex!E680,IF(AND(Bittrex!C680="Trade",'Bittrex Data'!C680="Limit_Sell"),Bittrex!E680,IF(AND(Bittrex!C680="Trade",'Bittrex Data'!C680="Limit_Buy"),Bittrex!D680,"")))))</f>
        <v/>
      </c>
      <c r="I680" t="str">
        <f>IF('Bittrex Data'!C680="","",IF(Bittrex!C680="Buy",F680,IF(C680="Sale",Bittrex!G680,IF(AND(C680="Trade",'Bittrex Data'!C680="Limit_Sell"),Bittrex!G680,IF(AND(Bittrex!C680="Trade",'Bittrex Data'!C680="Limit_Buy"),F680,"")))))</f>
        <v/>
      </c>
      <c r="J680" t="str">
        <f>IF('Bittrex Data'!B680="","",IF('Bittrex Data'!B680="","",IF(Bittrex!H680=Bittrex!E680,D680,Bittrex!E680)))</f>
        <v/>
      </c>
      <c r="K680" t="str">
        <f>IF('Bittrex Data'!B680="","",IF(Bittrex!I680=Bittrex!G680,Bittrex!F680,Bittrex!G680))</f>
        <v/>
      </c>
    </row>
    <row r="681" spans="3:11" x14ac:dyDescent="0.2">
      <c r="C681" t="str">
        <f>IF('Bittrex Data'!A681="","",IF(AND('Bittrex Data'!C681="LIMIT_SELL",Bittrex!D681="USD"),"Sale",IF(AND('Bittrex Data'!C681="LIMIT_BUY",Bittrex!D681="USD"),"Buy","Trade")))</f>
        <v/>
      </c>
      <c r="D681" t="str">
        <f>IF('Bittrex Data'!B681="","",LEFT(LEFT('Bittrex Data'!B681,SEARCH("-",'Bittrex Data'!B681,1)),LEN(LEFT('Bittrex Data'!B681,SEARCH("-",'Bittrex Data'!B681,1)))-1))</f>
        <v/>
      </c>
      <c r="E681" t="str">
        <f>IF('Bittrex Data'!B681="","",RIGHT(RIGHT('Bittrex Data'!B681,LEN('Bittrex Data'!B681)-SEARCH("-",'Bittrex Data'!B681,1)+1),LEN(RIGHT('Bittrex Data'!B681,LEN('Bittrex Data'!B681)-SEARCH("-",'Bittrex Data'!B681,1)+1))-1))</f>
        <v/>
      </c>
      <c r="F681" t="str">
        <f>IF('Bittrex Data'!C681="","",IF('Bittrex Data'!C681="Limit_Sell",'Bittrex Data'!G681-'Bittrex Data'!F681,IF('Bittrex Data'!C681="Limit_Buy",'Bittrex Data'!G681+'Bittrex Data'!F681,"")))</f>
        <v/>
      </c>
      <c r="G681" t="str">
        <f>IF('Bittrex Data'!B681="","",'Bittrex Data'!D681)</f>
        <v/>
      </c>
      <c r="H681" t="str">
        <f>IF('Bittrex Data'!C681="","",IF(Bittrex!C681="Buy",Bittrex!D681,IF(Bittrex!C681="Sale",Bittrex!E681,IF(AND(Bittrex!C681="Trade",'Bittrex Data'!C681="Limit_Sell"),Bittrex!E681,IF(AND(Bittrex!C681="Trade",'Bittrex Data'!C681="Limit_Buy"),Bittrex!D681,"")))))</f>
        <v/>
      </c>
      <c r="I681" t="str">
        <f>IF('Bittrex Data'!C681="","",IF(Bittrex!C681="Buy",F681,IF(C681="Sale",Bittrex!G681,IF(AND(C681="Trade",'Bittrex Data'!C681="Limit_Sell"),Bittrex!G681,IF(AND(Bittrex!C681="Trade",'Bittrex Data'!C681="Limit_Buy"),F681,"")))))</f>
        <v/>
      </c>
      <c r="J681" t="str">
        <f>IF('Bittrex Data'!B681="","",IF('Bittrex Data'!B681="","",IF(Bittrex!H681=Bittrex!E681,D681,Bittrex!E681)))</f>
        <v/>
      </c>
      <c r="K681" t="str">
        <f>IF('Bittrex Data'!B681="","",IF(Bittrex!I681=Bittrex!G681,Bittrex!F681,Bittrex!G681))</f>
        <v/>
      </c>
    </row>
    <row r="682" spans="3:11" x14ac:dyDescent="0.2">
      <c r="C682" t="str">
        <f>IF('Bittrex Data'!A682="","",IF(AND('Bittrex Data'!C682="LIMIT_SELL",Bittrex!D682="USD"),"Sale",IF(AND('Bittrex Data'!C682="LIMIT_BUY",Bittrex!D682="USD"),"Buy","Trade")))</f>
        <v/>
      </c>
      <c r="D682" t="str">
        <f>IF('Bittrex Data'!B682="","",LEFT(LEFT('Bittrex Data'!B682,SEARCH("-",'Bittrex Data'!B682,1)),LEN(LEFT('Bittrex Data'!B682,SEARCH("-",'Bittrex Data'!B682,1)))-1))</f>
        <v/>
      </c>
      <c r="E682" t="str">
        <f>IF('Bittrex Data'!B682="","",RIGHT(RIGHT('Bittrex Data'!B682,LEN('Bittrex Data'!B682)-SEARCH("-",'Bittrex Data'!B682,1)+1),LEN(RIGHT('Bittrex Data'!B682,LEN('Bittrex Data'!B682)-SEARCH("-",'Bittrex Data'!B682,1)+1))-1))</f>
        <v/>
      </c>
      <c r="F682" t="str">
        <f>IF('Bittrex Data'!C682="","",IF('Bittrex Data'!C682="Limit_Sell",'Bittrex Data'!G682-'Bittrex Data'!F682,IF('Bittrex Data'!C682="Limit_Buy",'Bittrex Data'!G682+'Bittrex Data'!F682,"")))</f>
        <v/>
      </c>
      <c r="G682" t="str">
        <f>IF('Bittrex Data'!B682="","",'Bittrex Data'!D682)</f>
        <v/>
      </c>
      <c r="H682" t="str">
        <f>IF('Bittrex Data'!C682="","",IF(Bittrex!C682="Buy",Bittrex!D682,IF(Bittrex!C682="Sale",Bittrex!E682,IF(AND(Bittrex!C682="Trade",'Bittrex Data'!C682="Limit_Sell"),Bittrex!E682,IF(AND(Bittrex!C682="Trade",'Bittrex Data'!C682="Limit_Buy"),Bittrex!D682,"")))))</f>
        <v/>
      </c>
      <c r="I682" t="str">
        <f>IF('Bittrex Data'!C682="","",IF(Bittrex!C682="Buy",F682,IF(C682="Sale",Bittrex!G682,IF(AND(C682="Trade",'Bittrex Data'!C682="Limit_Sell"),Bittrex!G682,IF(AND(Bittrex!C682="Trade",'Bittrex Data'!C682="Limit_Buy"),F682,"")))))</f>
        <v/>
      </c>
      <c r="J682" t="str">
        <f>IF('Bittrex Data'!B682="","",IF('Bittrex Data'!B682="","",IF(Bittrex!H682=Bittrex!E682,D682,Bittrex!E682)))</f>
        <v/>
      </c>
      <c r="K682" t="str">
        <f>IF('Bittrex Data'!B682="","",IF(Bittrex!I682=Bittrex!G682,Bittrex!F682,Bittrex!G682))</f>
        <v/>
      </c>
    </row>
    <row r="683" spans="3:11" x14ac:dyDescent="0.2">
      <c r="C683" t="str">
        <f>IF('Bittrex Data'!A683="","",IF(AND('Bittrex Data'!C683="LIMIT_SELL",Bittrex!D683="USD"),"Sale",IF(AND('Bittrex Data'!C683="LIMIT_BUY",Bittrex!D683="USD"),"Buy","Trade")))</f>
        <v/>
      </c>
      <c r="D683" t="str">
        <f>IF('Bittrex Data'!B683="","",LEFT(LEFT('Bittrex Data'!B683,SEARCH("-",'Bittrex Data'!B683,1)),LEN(LEFT('Bittrex Data'!B683,SEARCH("-",'Bittrex Data'!B683,1)))-1))</f>
        <v/>
      </c>
      <c r="E683" t="str">
        <f>IF('Bittrex Data'!B683="","",RIGHT(RIGHT('Bittrex Data'!B683,LEN('Bittrex Data'!B683)-SEARCH("-",'Bittrex Data'!B683,1)+1),LEN(RIGHT('Bittrex Data'!B683,LEN('Bittrex Data'!B683)-SEARCH("-",'Bittrex Data'!B683,1)+1))-1))</f>
        <v/>
      </c>
      <c r="F683" t="str">
        <f>IF('Bittrex Data'!C683="","",IF('Bittrex Data'!C683="Limit_Sell",'Bittrex Data'!G683-'Bittrex Data'!F683,IF('Bittrex Data'!C683="Limit_Buy",'Bittrex Data'!G683+'Bittrex Data'!F683,"")))</f>
        <v/>
      </c>
      <c r="G683" t="str">
        <f>IF('Bittrex Data'!B683="","",'Bittrex Data'!D683)</f>
        <v/>
      </c>
      <c r="H683" t="str">
        <f>IF('Bittrex Data'!C683="","",IF(Bittrex!C683="Buy",Bittrex!D683,IF(Bittrex!C683="Sale",Bittrex!E683,IF(AND(Bittrex!C683="Trade",'Bittrex Data'!C683="Limit_Sell"),Bittrex!E683,IF(AND(Bittrex!C683="Trade",'Bittrex Data'!C683="Limit_Buy"),Bittrex!D683,"")))))</f>
        <v/>
      </c>
      <c r="I683" t="str">
        <f>IF('Bittrex Data'!C683="","",IF(Bittrex!C683="Buy",F683,IF(C683="Sale",Bittrex!G683,IF(AND(C683="Trade",'Bittrex Data'!C683="Limit_Sell"),Bittrex!G683,IF(AND(Bittrex!C683="Trade",'Bittrex Data'!C683="Limit_Buy"),F683,"")))))</f>
        <v/>
      </c>
      <c r="J683" t="str">
        <f>IF('Bittrex Data'!B683="","",IF('Bittrex Data'!B683="","",IF(Bittrex!H683=Bittrex!E683,D683,Bittrex!E683)))</f>
        <v/>
      </c>
      <c r="K683" t="str">
        <f>IF('Bittrex Data'!B683="","",IF(Bittrex!I683=Bittrex!G683,Bittrex!F683,Bittrex!G683))</f>
        <v/>
      </c>
    </row>
    <row r="684" spans="3:11" x14ac:dyDescent="0.2">
      <c r="C684" t="str">
        <f>IF('Bittrex Data'!A684="","",IF(AND('Bittrex Data'!C684="LIMIT_SELL",Bittrex!D684="USD"),"Sale",IF(AND('Bittrex Data'!C684="LIMIT_BUY",Bittrex!D684="USD"),"Buy","Trade")))</f>
        <v/>
      </c>
      <c r="D684" t="str">
        <f>IF('Bittrex Data'!B684="","",LEFT(LEFT('Bittrex Data'!B684,SEARCH("-",'Bittrex Data'!B684,1)),LEN(LEFT('Bittrex Data'!B684,SEARCH("-",'Bittrex Data'!B684,1)))-1))</f>
        <v/>
      </c>
      <c r="E684" t="str">
        <f>IF('Bittrex Data'!B684="","",RIGHT(RIGHT('Bittrex Data'!B684,LEN('Bittrex Data'!B684)-SEARCH("-",'Bittrex Data'!B684,1)+1),LEN(RIGHT('Bittrex Data'!B684,LEN('Bittrex Data'!B684)-SEARCH("-",'Bittrex Data'!B684,1)+1))-1))</f>
        <v/>
      </c>
      <c r="F684" t="str">
        <f>IF('Bittrex Data'!C684="","",IF('Bittrex Data'!C684="Limit_Sell",'Bittrex Data'!G684-'Bittrex Data'!F684,IF('Bittrex Data'!C684="Limit_Buy",'Bittrex Data'!G684+'Bittrex Data'!F684,"")))</f>
        <v/>
      </c>
      <c r="G684" t="str">
        <f>IF('Bittrex Data'!B684="","",'Bittrex Data'!D684)</f>
        <v/>
      </c>
      <c r="H684" t="str">
        <f>IF('Bittrex Data'!C684="","",IF(Bittrex!C684="Buy",Bittrex!D684,IF(Bittrex!C684="Sale",Bittrex!E684,IF(AND(Bittrex!C684="Trade",'Bittrex Data'!C684="Limit_Sell"),Bittrex!E684,IF(AND(Bittrex!C684="Trade",'Bittrex Data'!C684="Limit_Buy"),Bittrex!D684,"")))))</f>
        <v/>
      </c>
      <c r="I684" t="str">
        <f>IF('Bittrex Data'!C684="","",IF(Bittrex!C684="Buy",F684,IF(C684="Sale",Bittrex!G684,IF(AND(C684="Trade",'Bittrex Data'!C684="Limit_Sell"),Bittrex!G684,IF(AND(Bittrex!C684="Trade",'Bittrex Data'!C684="Limit_Buy"),F684,"")))))</f>
        <v/>
      </c>
      <c r="J684" t="str">
        <f>IF('Bittrex Data'!B684="","",IF('Bittrex Data'!B684="","",IF(Bittrex!H684=Bittrex!E684,D684,Bittrex!E684)))</f>
        <v/>
      </c>
      <c r="K684" t="str">
        <f>IF('Bittrex Data'!B684="","",IF(Bittrex!I684=Bittrex!G684,Bittrex!F684,Bittrex!G684))</f>
        <v/>
      </c>
    </row>
    <row r="685" spans="3:11" x14ac:dyDescent="0.2">
      <c r="C685" t="str">
        <f>IF('Bittrex Data'!A685="","",IF(AND('Bittrex Data'!C685="LIMIT_SELL",Bittrex!D685="USD"),"Sale",IF(AND('Bittrex Data'!C685="LIMIT_BUY",Bittrex!D685="USD"),"Buy","Trade")))</f>
        <v/>
      </c>
      <c r="D685" t="str">
        <f>IF('Bittrex Data'!B685="","",LEFT(LEFT('Bittrex Data'!B685,SEARCH("-",'Bittrex Data'!B685,1)),LEN(LEFT('Bittrex Data'!B685,SEARCH("-",'Bittrex Data'!B685,1)))-1))</f>
        <v/>
      </c>
      <c r="E685" t="str">
        <f>IF('Bittrex Data'!B685="","",RIGHT(RIGHT('Bittrex Data'!B685,LEN('Bittrex Data'!B685)-SEARCH("-",'Bittrex Data'!B685,1)+1),LEN(RIGHT('Bittrex Data'!B685,LEN('Bittrex Data'!B685)-SEARCH("-",'Bittrex Data'!B685,1)+1))-1))</f>
        <v/>
      </c>
      <c r="F685" t="str">
        <f>IF('Bittrex Data'!C685="","",IF('Bittrex Data'!C685="Limit_Sell",'Bittrex Data'!G685-'Bittrex Data'!F685,IF('Bittrex Data'!C685="Limit_Buy",'Bittrex Data'!G685+'Bittrex Data'!F685,"")))</f>
        <v/>
      </c>
      <c r="G685" t="str">
        <f>IF('Bittrex Data'!B685="","",'Bittrex Data'!D685)</f>
        <v/>
      </c>
      <c r="H685" t="str">
        <f>IF('Bittrex Data'!C685="","",IF(Bittrex!C685="Buy",Bittrex!D685,IF(Bittrex!C685="Sale",Bittrex!E685,IF(AND(Bittrex!C685="Trade",'Bittrex Data'!C685="Limit_Sell"),Bittrex!E685,IF(AND(Bittrex!C685="Trade",'Bittrex Data'!C685="Limit_Buy"),Bittrex!D685,"")))))</f>
        <v/>
      </c>
      <c r="I685" t="str">
        <f>IF('Bittrex Data'!C685="","",IF(Bittrex!C685="Buy",F685,IF(C685="Sale",Bittrex!G685,IF(AND(C685="Trade",'Bittrex Data'!C685="Limit_Sell"),Bittrex!G685,IF(AND(Bittrex!C685="Trade",'Bittrex Data'!C685="Limit_Buy"),F685,"")))))</f>
        <v/>
      </c>
      <c r="J685" t="str">
        <f>IF('Bittrex Data'!B685="","",IF('Bittrex Data'!B685="","",IF(Bittrex!H685=Bittrex!E685,D685,Bittrex!E685)))</f>
        <v/>
      </c>
      <c r="K685" t="str">
        <f>IF('Bittrex Data'!B685="","",IF(Bittrex!I685=Bittrex!G685,Bittrex!F685,Bittrex!G685))</f>
        <v/>
      </c>
    </row>
    <row r="686" spans="3:11" x14ac:dyDescent="0.2">
      <c r="C686" t="str">
        <f>IF('Bittrex Data'!A686="","",IF(AND('Bittrex Data'!C686="LIMIT_SELL",Bittrex!D686="USD"),"Sale",IF(AND('Bittrex Data'!C686="LIMIT_BUY",Bittrex!D686="USD"),"Buy","Trade")))</f>
        <v/>
      </c>
      <c r="D686" t="str">
        <f>IF('Bittrex Data'!B686="","",LEFT(LEFT('Bittrex Data'!B686,SEARCH("-",'Bittrex Data'!B686,1)),LEN(LEFT('Bittrex Data'!B686,SEARCH("-",'Bittrex Data'!B686,1)))-1))</f>
        <v/>
      </c>
      <c r="E686" t="str">
        <f>IF('Bittrex Data'!B686="","",RIGHT(RIGHT('Bittrex Data'!B686,LEN('Bittrex Data'!B686)-SEARCH("-",'Bittrex Data'!B686,1)+1),LEN(RIGHT('Bittrex Data'!B686,LEN('Bittrex Data'!B686)-SEARCH("-",'Bittrex Data'!B686,1)+1))-1))</f>
        <v/>
      </c>
      <c r="F686" t="str">
        <f>IF('Bittrex Data'!C686="","",IF('Bittrex Data'!C686="Limit_Sell",'Bittrex Data'!G686-'Bittrex Data'!F686,IF('Bittrex Data'!C686="Limit_Buy",'Bittrex Data'!G686+'Bittrex Data'!F686,"")))</f>
        <v/>
      </c>
      <c r="G686" t="str">
        <f>IF('Bittrex Data'!B686="","",'Bittrex Data'!D686)</f>
        <v/>
      </c>
      <c r="H686" t="str">
        <f>IF('Bittrex Data'!C686="","",IF(Bittrex!C686="Buy",Bittrex!D686,IF(Bittrex!C686="Sale",Bittrex!E686,IF(AND(Bittrex!C686="Trade",'Bittrex Data'!C686="Limit_Sell"),Bittrex!E686,IF(AND(Bittrex!C686="Trade",'Bittrex Data'!C686="Limit_Buy"),Bittrex!D686,"")))))</f>
        <v/>
      </c>
      <c r="I686" t="str">
        <f>IF('Bittrex Data'!C686="","",IF(Bittrex!C686="Buy",F686,IF(C686="Sale",Bittrex!G686,IF(AND(C686="Trade",'Bittrex Data'!C686="Limit_Sell"),Bittrex!G686,IF(AND(Bittrex!C686="Trade",'Bittrex Data'!C686="Limit_Buy"),F686,"")))))</f>
        <v/>
      </c>
      <c r="J686" t="str">
        <f>IF('Bittrex Data'!B686="","",IF('Bittrex Data'!B686="","",IF(Bittrex!H686=Bittrex!E686,D686,Bittrex!E686)))</f>
        <v/>
      </c>
      <c r="K686" t="str">
        <f>IF('Bittrex Data'!B686="","",IF(Bittrex!I686=Bittrex!G686,Bittrex!F686,Bittrex!G686))</f>
        <v/>
      </c>
    </row>
    <row r="687" spans="3:11" x14ac:dyDescent="0.2">
      <c r="C687" t="str">
        <f>IF('Bittrex Data'!A687="","",IF(AND('Bittrex Data'!C687="LIMIT_SELL",Bittrex!D687="USD"),"Sale",IF(AND('Bittrex Data'!C687="LIMIT_BUY",Bittrex!D687="USD"),"Buy","Trade")))</f>
        <v/>
      </c>
      <c r="D687" t="str">
        <f>IF('Bittrex Data'!B687="","",LEFT(LEFT('Bittrex Data'!B687,SEARCH("-",'Bittrex Data'!B687,1)),LEN(LEFT('Bittrex Data'!B687,SEARCH("-",'Bittrex Data'!B687,1)))-1))</f>
        <v/>
      </c>
      <c r="E687" t="str">
        <f>IF('Bittrex Data'!B687="","",RIGHT(RIGHT('Bittrex Data'!B687,LEN('Bittrex Data'!B687)-SEARCH("-",'Bittrex Data'!B687,1)+1),LEN(RIGHT('Bittrex Data'!B687,LEN('Bittrex Data'!B687)-SEARCH("-",'Bittrex Data'!B687,1)+1))-1))</f>
        <v/>
      </c>
      <c r="F687" t="str">
        <f>IF('Bittrex Data'!C687="","",IF('Bittrex Data'!C687="Limit_Sell",'Bittrex Data'!G687-'Bittrex Data'!F687,IF('Bittrex Data'!C687="Limit_Buy",'Bittrex Data'!G687+'Bittrex Data'!F687,"")))</f>
        <v/>
      </c>
      <c r="G687" t="str">
        <f>IF('Bittrex Data'!B687="","",'Bittrex Data'!D687)</f>
        <v/>
      </c>
      <c r="H687" t="str">
        <f>IF('Bittrex Data'!C687="","",IF(Bittrex!C687="Buy",Bittrex!D687,IF(Bittrex!C687="Sale",Bittrex!E687,IF(AND(Bittrex!C687="Trade",'Bittrex Data'!C687="Limit_Sell"),Bittrex!E687,IF(AND(Bittrex!C687="Trade",'Bittrex Data'!C687="Limit_Buy"),Bittrex!D687,"")))))</f>
        <v/>
      </c>
      <c r="I687" t="str">
        <f>IF('Bittrex Data'!C687="","",IF(Bittrex!C687="Buy",F687,IF(C687="Sale",Bittrex!G687,IF(AND(C687="Trade",'Bittrex Data'!C687="Limit_Sell"),Bittrex!G687,IF(AND(Bittrex!C687="Trade",'Bittrex Data'!C687="Limit_Buy"),F687,"")))))</f>
        <v/>
      </c>
      <c r="J687" t="str">
        <f>IF('Bittrex Data'!B687="","",IF('Bittrex Data'!B687="","",IF(Bittrex!H687=Bittrex!E687,D687,Bittrex!E687)))</f>
        <v/>
      </c>
      <c r="K687" t="str">
        <f>IF('Bittrex Data'!B687="","",IF(Bittrex!I687=Bittrex!G687,Bittrex!F687,Bittrex!G687))</f>
        <v/>
      </c>
    </row>
    <row r="688" spans="3:11" x14ac:dyDescent="0.2">
      <c r="C688" t="str">
        <f>IF('Bittrex Data'!A688="","",IF(AND('Bittrex Data'!C688="LIMIT_SELL",Bittrex!D688="USD"),"Sale",IF(AND('Bittrex Data'!C688="LIMIT_BUY",Bittrex!D688="USD"),"Buy","Trade")))</f>
        <v/>
      </c>
      <c r="D688" t="str">
        <f>IF('Bittrex Data'!B688="","",LEFT(LEFT('Bittrex Data'!B688,SEARCH("-",'Bittrex Data'!B688,1)),LEN(LEFT('Bittrex Data'!B688,SEARCH("-",'Bittrex Data'!B688,1)))-1))</f>
        <v/>
      </c>
      <c r="E688" t="str">
        <f>IF('Bittrex Data'!B688="","",RIGHT(RIGHT('Bittrex Data'!B688,LEN('Bittrex Data'!B688)-SEARCH("-",'Bittrex Data'!B688,1)+1),LEN(RIGHT('Bittrex Data'!B688,LEN('Bittrex Data'!B688)-SEARCH("-",'Bittrex Data'!B688,1)+1))-1))</f>
        <v/>
      </c>
      <c r="F688" t="str">
        <f>IF('Bittrex Data'!C688="","",IF('Bittrex Data'!C688="Limit_Sell",'Bittrex Data'!G688-'Bittrex Data'!F688,IF('Bittrex Data'!C688="Limit_Buy",'Bittrex Data'!G688+'Bittrex Data'!F688,"")))</f>
        <v/>
      </c>
      <c r="G688" t="str">
        <f>IF('Bittrex Data'!B688="","",'Bittrex Data'!D688)</f>
        <v/>
      </c>
      <c r="H688" t="str">
        <f>IF('Bittrex Data'!C688="","",IF(Bittrex!C688="Buy",Bittrex!D688,IF(Bittrex!C688="Sale",Bittrex!E688,IF(AND(Bittrex!C688="Trade",'Bittrex Data'!C688="Limit_Sell"),Bittrex!E688,IF(AND(Bittrex!C688="Trade",'Bittrex Data'!C688="Limit_Buy"),Bittrex!D688,"")))))</f>
        <v/>
      </c>
      <c r="I688" t="str">
        <f>IF('Bittrex Data'!C688="","",IF(Bittrex!C688="Buy",F688,IF(C688="Sale",Bittrex!G688,IF(AND(C688="Trade",'Bittrex Data'!C688="Limit_Sell"),Bittrex!G688,IF(AND(Bittrex!C688="Trade",'Bittrex Data'!C688="Limit_Buy"),F688,"")))))</f>
        <v/>
      </c>
      <c r="J688" t="str">
        <f>IF('Bittrex Data'!B688="","",IF('Bittrex Data'!B688="","",IF(Bittrex!H688=Bittrex!E688,D688,Bittrex!E688)))</f>
        <v/>
      </c>
      <c r="K688" t="str">
        <f>IF('Bittrex Data'!B688="","",IF(Bittrex!I688=Bittrex!G688,Bittrex!F688,Bittrex!G688))</f>
        <v/>
      </c>
    </row>
    <row r="689" spans="3:11" x14ac:dyDescent="0.2">
      <c r="C689" t="str">
        <f>IF('Bittrex Data'!A689="","",IF(AND('Bittrex Data'!C689="LIMIT_SELL",Bittrex!D689="USD"),"Sale",IF(AND('Bittrex Data'!C689="LIMIT_BUY",Bittrex!D689="USD"),"Buy","Trade")))</f>
        <v/>
      </c>
      <c r="D689" t="str">
        <f>IF('Bittrex Data'!B689="","",LEFT(LEFT('Bittrex Data'!B689,SEARCH("-",'Bittrex Data'!B689,1)),LEN(LEFT('Bittrex Data'!B689,SEARCH("-",'Bittrex Data'!B689,1)))-1))</f>
        <v/>
      </c>
      <c r="E689" t="str">
        <f>IF('Bittrex Data'!B689="","",RIGHT(RIGHT('Bittrex Data'!B689,LEN('Bittrex Data'!B689)-SEARCH("-",'Bittrex Data'!B689,1)+1),LEN(RIGHT('Bittrex Data'!B689,LEN('Bittrex Data'!B689)-SEARCH("-",'Bittrex Data'!B689,1)+1))-1))</f>
        <v/>
      </c>
      <c r="F689" t="str">
        <f>IF('Bittrex Data'!C689="","",IF('Bittrex Data'!C689="Limit_Sell",'Bittrex Data'!G689-'Bittrex Data'!F689,IF('Bittrex Data'!C689="Limit_Buy",'Bittrex Data'!G689+'Bittrex Data'!F689,"")))</f>
        <v/>
      </c>
      <c r="G689" t="str">
        <f>IF('Bittrex Data'!B689="","",'Bittrex Data'!D689)</f>
        <v/>
      </c>
      <c r="H689" t="str">
        <f>IF('Bittrex Data'!C689="","",IF(Bittrex!C689="Buy",Bittrex!D689,IF(Bittrex!C689="Sale",Bittrex!E689,IF(AND(Bittrex!C689="Trade",'Bittrex Data'!C689="Limit_Sell"),Bittrex!E689,IF(AND(Bittrex!C689="Trade",'Bittrex Data'!C689="Limit_Buy"),Bittrex!D689,"")))))</f>
        <v/>
      </c>
      <c r="I689" t="str">
        <f>IF('Bittrex Data'!C689="","",IF(Bittrex!C689="Buy",F689,IF(C689="Sale",Bittrex!G689,IF(AND(C689="Trade",'Bittrex Data'!C689="Limit_Sell"),Bittrex!G689,IF(AND(Bittrex!C689="Trade",'Bittrex Data'!C689="Limit_Buy"),F689,"")))))</f>
        <v/>
      </c>
      <c r="J689" t="str">
        <f>IF('Bittrex Data'!B689="","",IF('Bittrex Data'!B689="","",IF(Bittrex!H689=Bittrex!E689,D689,Bittrex!E689)))</f>
        <v/>
      </c>
      <c r="K689" t="str">
        <f>IF('Bittrex Data'!B689="","",IF(Bittrex!I689=Bittrex!G689,Bittrex!F689,Bittrex!G689))</f>
        <v/>
      </c>
    </row>
    <row r="690" spans="3:11" x14ac:dyDescent="0.2">
      <c r="C690" t="str">
        <f>IF('Bittrex Data'!A690="","",IF(AND('Bittrex Data'!C690="LIMIT_SELL",Bittrex!D690="USD"),"Sale",IF(AND('Bittrex Data'!C690="LIMIT_BUY",Bittrex!D690="USD"),"Buy","Trade")))</f>
        <v/>
      </c>
      <c r="D690" t="str">
        <f>IF('Bittrex Data'!B690="","",LEFT(LEFT('Bittrex Data'!B690,SEARCH("-",'Bittrex Data'!B690,1)),LEN(LEFT('Bittrex Data'!B690,SEARCH("-",'Bittrex Data'!B690,1)))-1))</f>
        <v/>
      </c>
      <c r="E690" t="str">
        <f>IF('Bittrex Data'!B690="","",RIGHT(RIGHT('Bittrex Data'!B690,LEN('Bittrex Data'!B690)-SEARCH("-",'Bittrex Data'!B690,1)+1),LEN(RIGHT('Bittrex Data'!B690,LEN('Bittrex Data'!B690)-SEARCH("-",'Bittrex Data'!B690,1)+1))-1))</f>
        <v/>
      </c>
      <c r="F690" t="str">
        <f>IF('Bittrex Data'!C690="","",IF('Bittrex Data'!C690="Limit_Sell",'Bittrex Data'!G690-'Bittrex Data'!F690,IF('Bittrex Data'!C690="Limit_Buy",'Bittrex Data'!G690+'Bittrex Data'!F690,"")))</f>
        <v/>
      </c>
      <c r="G690" t="str">
        <f>IF('Bittrex Data'!B690="","",'Bittrex Data'!D690)</f>
        <v/>
      </c>
      <c r="H690" t="str">
        <f>IF('Bittrex Data'!C690="","",IF(Bittrex!C690="Buy",Bittrex!D690,IF(Bittrex!C690="Sale",Bittrex!E690,IF(AND(Bittrex!C690="Trade",'Bittrex Data'!C690="Limit_Sell"),Bittrex!E690,IF(AND(Bittrex!C690="Trade",'Bittrex Data'!C690="Limit_Buy"),Bittrex!D690,"")))))</f>
        <v/>
      </c>
      <c r="I690" t="str">
        <f>IF('Bittrex Data'!C690="","",IF(Bittrex!C690="Buy",F690,IF(C690="Sale",Bittrex!G690,IF(AND(C690="Trade",'Bittrex Data'!C690="Limit_Sell"),Bittrex!G690,IF(AND(Bittrex!C690="Trade",'Bittrex Data'!C690="Limit_Buy"),F690,"")))))</f>
        <v/>
      </c>
      <c r="J690" t="str">
        <f>IF('Bittrex Data'!B690="","",IF('Bittrex Data'!B690="","",IF(Bittrex!H690=Bittrex!E690,D690,Bittrex!E690)))</f>
        <v/>
      </c>
      <c r="K690" t="str">
        <f>IF('Bittrex Data'!B690="","",IF(Bittrex!I690=Bittrex!G690,Bittrex!F690,Bittrex!G690))</f>
        <v/>
      </c>
    </row>
    <row r="691" spans="3:11" x14ac:dyDescent="0.2">
      <c r="C691" t="str">
        <f>IF('Bittrex Data'!A691="","",IF(AND('Bittrex Data'!C691="LIMIT_SELL",Bittrex!D691="USD"),"Sale",IF(AND('Bittrex Data'!C691="LIMIT_BUY",Bittrex!D691="USD"),"Buy","Trade")))</f>
        <v/>
      </c>
      <c r="D691" t="str">
        <f>IF('Bittrex Data'!B691="","",LEFT(LEFT('Bittrex Data'!B691,SEARCH("-",'Bittrex Data'!B691,1)),LEN(LEFT('Bittrex Data'!B691,SEARCH("-",'Bittrex Data'!B691,1)))-1))</f>
        <v/>
      </c>
      <c r="E691" t="str">
        <f>IF('Bittrex Data'!B691="","",RIGHT(RIGHT('Bittrex Data'!B691,LEN('Bittrex Data'!B691)-SEARCH("-",'Bittrex Data'!B691,1)+1),LEN(RIGHT('Bittrex Data'!B691,LEN('Bittrex Data'!B691)-SEARCH("-",'Bittrex Data'!B691,1)+1))-1))</f>
        <v/>
      </c>
      <c r="F691" t="str">
        <f>IF('Bittrex Data'!C691="","",IF('Bittrex Data'!C691="Limit_Sell",'Bittrex Data'!G691-'Bittrex Data'!F691,IF('Bittrex Data'!C691="Limit_Buy",'Bittrex Data'!G691+'Bittrex Data'!F691,"")))</f>
        <v/>
      </c>
      <c r="G691" t="str">
        <f>IF('Bittrex Data'!B691="","",'Bittrex Data'!D691)</f>
        <v/>
      </c>
      <c r="H691" t="str">
        <f>IF('Bittrex Data'!C691="","",IF(Bittrex!C691="Buy",Bittrex!D691,IF(Bittrex!C691="Sale",Bittrex!E691,IF(AND(Bittrex!C691="Trade",'Bittrex Data'!C691="Limit_Sell"),Bittrex!E691,IF(AND(Bittrex!C691="Trade",'Bittrex Data'!C691="Limit_Buy"),Bittrex!D691,"")))))</f>
        <v/>
      </c>
      <c r="I691" t="str">
        <f>IF('Bittrex Data'!C691="","",IF(Bittrex!C691="Buy",F691,IF(C691="Sale",Bittrex!G691,IF(AND(C691="Trade",'Bittrex Data'!C691="Limit_Sell"),Bittrex!G691,IF(AND(Bittrex!C691="Trade",'Bittrex Data'!C691="Limit_Buy"),F691,"")))))</f>
        <v/>
      </c>
      <c r="J691" t="str">
        <f>IF('Bittrex Data'!B691="","",IF('Bittrex Data'!B691="","",IF(Bittrex!H691=Bittrex!E691,D691,Bittrex!E691)))</f>
        <v/>
      </c>
      <c r="K691" t="str">
        <f>IF('Bittrex Data'!B691="","",IF(Bittrex!I691=Bittrex!G691,Bittrex!F691,Bittrex!G691))</f>
        <v/>
      </c>
    </row>
    <row r="692" spans="3:11" x14ac:dyDescent="0.2">
      <c r="C692" t="str">
        <f>IF('Bittrex Data'!A692="","",IF(AND('Bittrex Data'!C692="LIMIT_SELL",Bittrex!D692="USD"),"Sale",IF(AND('Bittrex Data'!C692="LIMIT_BUY",Bittrex!D692="USD"),"Buy","Trade")))</f>
        <v/>
      </c>
      <c r="D692" t="str">
        <f>IF('Bittrex Data'!B692="","",LEFT(LEFT('Bittrex Data'!B692,SEARCH("-",'Bittrex Data'!B692,1)),LEN(LEFT('Bittrex Data'!B692,SEARCH("-",'Bittrex Data'!B692,1)))-1))</f>
        <v/>
      </c>
      <c r="E692" t="str">
        <f>IF('Bittrex Data'!B692="","",RIGHT(RIGHT('Bittrex Data'!B692,LEN('Bittrex Data'!B692)-SEARCH("-",'Bittrex Data'!B692,1)+1),LEN(RIGHT('Bittrex Data'!B692,LEN('Bittrex Data'!B692)-SEARCH("-",'Bittrex Data'!B692,1)+1))-1))</f>
        <v/>
      </c>
      <c r="F692" t="str">
        <f>IF('Bittrex Data'!C692="","",IF('Bittrex Data'!C692="Limit_Sell",'Bittrex Data'!G692-'Bittrex Data'!F692,IF('Bittrex Data'!C692="Limit_Buy",'Bittrex Data'!G692+'Bittrex Data'!F692,"")))</f>
        <v/>
      </c>
      <c r="G692" t="str">
        <f>IF('Bittrex Data'!B692="","",'Bittrex Data'!D692)</f>
        <v/>
      </c>
      <c r="H692" t="str">
        <f>IF('Bittrex Data'!C692="","",IF(Bittrex!C692="Buy",Bittrex!D692,IF(Bittrex!C692="Sale",Bittrex!E692,IF(AND(Bittrex!C692="Trade",'Bittrex Data'!C692="Limit_Sell"),Bittrex!E692,IF(AND(Bittrex!C692="Trade",'Bittrex Data'!C692="Limit_Buy"),Bittrex!D692,"")))))</f>
        <v/>
      </c>
      <c r="I692" t="str">
        <f>IF('Bittrex Data'!C692="","",IF(Bittrex!C692="Buy",F692,IF(C692="Sale",Bittrex!G692,IF(AND(C692="Trade",'Bittrex Data'!C692="Limit_Sell"),Bittrex!G692,IF(AND(Bittrex!C692="Trade",'Bittrex Data'!C692="Limit_Buy"),F692,"")))))</f>
        <v/>
      </c>
      <c r="J692" t="str">
        <f>IF('Bittrex Data'!B692="","",IF('Bittrex Data'!B692="","",IF(Bittrex!H692=Bittrex!E692,D692,Bittrex!E692)))</f>
        <v/>
      </c>
      <c r="K692" t="str">
        <f>IF('Bittrex Data'!B692="","",IF(Bittrex!I692=Bittrex!G692,Bittrex!F692,Bittrex!G692))</f>
        <v/>
      </c>
    </row>
    <row r="693" spans="3:11" x14ac:dyDescent="0.2">
      <c r="C693" t="str">
        <f>IF('Bittrex Data'!A693="","",IF(AND('Bittrex Data'!C693="LIMIT_SELL",Bittrex!D693="USD"),"Sale",IF(AND('Bittrex Data'!C693="LIMIT_BUY",Bittrex!D693="USD"),"Buy","Trade")))</f>
        <v/>
      </c>
      <c r="D693" t="str">
        <f>IF('Bittrex Data'!B693="","",LEFT(LEFT('Bittrex Data'!B693,SEARCH("-",'Bittrex Data'!B693,1)),LEN(LEFT('Bittrex Data'!B693,SEARCH("-",'Bittrex Data'!B693,1)))-1))</f>
        <v/>
      </c>
      <c r="E693" t="str">
        <f>IF('Bittrex Data'!B693="","",RIGHT(RIGHT('Bittrex Data'!B693,LEN('Bittrex Data'!B693)-SEARCH("-",'Bittrex Data'!B693,1)+1),LEN(RIGHT('Bittrex Data'!B693,LEN('Bittrex Data'!B693)-SEARCH("-",'Bittrex Data'!B693,1)+1))-1))</f>
        <v/>
      </c>
      <c r="F693" t="str">
        <f>IF('Bittrex Data'!C693="","",IF('Bittrex Data'!C693="Limit_Sell",'Bittrex Data'!G693-'Bittrex Data'!F693,IF('Bittrex Data'!C693="Limit_Buy",'Bittrex Data'!G693+'Bittrex Data'!F693,"")))</f>
        <v/>
      </c>
      <c r="G693" t="str">
        <f>IF('Bittrex Data'!B693="","",'Bittrex Data'!D693)</f>
        <v/>
      </c>
      <c r="H693" t="str">
        <f>IF('Bittrex Data'!C693="","",IF(Bittrex!C693="Buy",Bittrex!D693,IF(Bittrex!C693="Sale",Bittrex!E693,IF(AND(Bittrex!C693="Trade",'Bittrex Data'!C693="Limit_Sell"),Bittrex!E693,IF(AND(Bittrex!C693="Trade",'Bittrex Data'!C693="Limit_Buy"),Bittrex!D693,"")))))</f>
        <v/>
      </c>
      <c r="I693" t="str">
        <f>IF('Bittrex Data'!C693="","",IF(Bittrex!C693="Buy",F693,IF(C693="Sale",Bittrex!G693,IF(AND(C693="Trade",'Bittrex Data'!C693="Limit_Sell"),Bittrex!G693,IF(AND(Bittrex!C693="Trade",'Bittrex Data'!C693="Limit_Buy"),F693,"")))))</f>
        <v/>
      </c>
      <c r="J693" t="str">
        <f>IF('Bittrex Data'!B693="","",IF('Bittrex Data'!B693="","",IF(Bittrex!H693=Bittrex!E693,D693,Bittrex!E693)))</f>
        <v/>
      </c>
      <c r="K693" t="str">
        <f>IF('Bittrex Data'!B693="","",IF(Bittrex!I693=Bittrex!G693,Bittrex!F693,Bittrex!G693))</f>
        <v/>
      </c>
    </row>
    <row r="694" spans="3:11" x14ac:dyDescent="0.2">
      <c r="C694" t="str">
        <f>IF('Bittrex Data'!A694="","",IF(AND('Bittrex Data'!C694="LIMIT_SELL",Bittrex!D694="USD"),"Sale",IF(AND('Bittrex Data'!C694="LIMIT_BUY",Bittrex!D694="USD"),"Buy","Trade")))</f>
        <v/>
      </c>
      <c r="D694" t="str">
        <f>IF('Bittrex Data'!B694="","",LEFT(LEFT('Bittrex Data'!B694,SEARCH("-",'Bittrex Data'!B694,1)),LEN(LEFT('Bittrex Data'!B694,SEARCH("-",'Bittrex Data'!B694,1)))-1))</f>
        <v/>
      </c>
      <c r="E694" t="str">
        <f>IF('Bittrex Data'!B694="","",RIGHT(RIGHT('Bittrex Data'!B694,LEN('Bittrex Data'!B694)-SEARCH("-",'Bittrex Data'!B694,1)+1),LEN(RIGHT('Bittrex Data'!B694,LEN('Bittrex Data'!B694)-SEARCH("-",'Bittrex Data'!B694,1)+1))-1))</f>
        <v/>
      </c>
      <c r="F694" t="str">
        <f>IF('Bittrex Data'!C694="","",IF('Bittrex Data'!C694="Limit_Sell",'Bittrex Data'!G694-'Bittrex Data'!F694,IF('Bittrex Data'!C694="Limit_Buy",'Bittrex Data'!G694+'Bittrex Data'!F694,"")))</f>
        <v/>
      </c>
      <c r="G694" t="str">
        <f>IF('Bittrex Data'!B694="","",'Bittrex Data'!D694)</f>
        <v/>
      </c>
      <c r="H694" t="str">
        <f>IF('Bittrex Data'!C694="","",IF(Bittrex!C694="Buy",Bittrex!D694,IF(Bittrex!C694="Sale",Bittrex!E694,IF(AND(Bittrex!C694="Trade",'Bittrex Data'!C694="Limit_Sell"),Bittrex!E694,IF(AND(Bittrex!C694="Trade",'Bittrex Data'!C694="Limit_Buy"),Bittrex!D694,"")))))</f>
        <v/>
      </c>
      <c r="I694" t="str">
        <f>IF('Bittrex Data'!C694="","",IF(Bittrex!C694="Buy",F694,IF(C694="Sale",Bittrex!G694,IF(AND(C694="Trade",'Bittrex Data'!C694="Limit_Sell"),Bittrex!G694,IF(AND(Bittrex!C694="Trade",'Bittrex Data'!C694="Limit_Buy"),F694,"")))))</f>
        <v/>
      </c>
      <c r="J694" t="str">
        <f>IF('Bittrex Data'!B694="","",IF('Bittrex Data'!B694="","",IF(Bittrex!H694=Bittrex!E694,D694,Bittrex!E694)))</f>
        <v/>
      </c>
      <c r="K694" t="str">
        <f>IF('Bittrex Data'!B694="","",IF(Bittrex!I694=Bittrex!G694,Bittrex!F694,Bittrex!G694))</f>
        <v/>
      </c>
    </row>
    <row r="695" spans="3:11" x14ac:dyDescent="0.2">
      <c r="C695" t="str">
        <f>IF('Bittrex Data'!A695="","",IF(AND('Bittrex Data'!C695="LIMIT_SELL",Bittrex!D695="USD"),"Sale",IF(AND('Bittrex Data'!C695="LIMIT_BUY",Bittrex!D695="USD"),"Buy","Trade")))</f>
        <v/>
      </c>
      <c r="D695" t="str">
        <f>IF('Bittrex Data'!B695="","",LEFT(LEFT('Bittrex Data'!B695,SEARCH("-",'Bittrex Data'!B695,1)),LEN(LEFT('Bittrex Data'!B695,SEARCH("-",'Bittrex Data'!B695,1)))-1))</f>
        <v/>
      </c>
      <c r="E695" t="str">
        <f>IF('Bittrex Data'!B695="","",RIGHT(RIGHT('Bittrex Data'!B695,LEN('Bittrex Data'!B695)-SEARCH("-",'Bittrex Data'!B695,1)+1),LEN(RIGHT('Bittrex Data'!B695,LEN('Bittrex Data'!B695)-SEARCH("-",'Bittrex Data'!B695,1)+1))-1))</f>
        <v/>
      </c>
      <c r="F695" t="str">
        <f>IF('Bittrex Data'!C695="","",IF('Bittrex Data'!C695="Limit_Sell",'Bittrex Data'!G695-'Bittrex Data'!F695,IF('Bittrex Data'!C695="Limit_Buy",'Bittrex Data'!G695+'Bittrex Data'!F695,"")))</f>
        <v/>
      </c>
      <c r="G695" t="str">
        <f>IF('Bittrex Data'!B695="","",'Bittrex Data'!D695)</f>
        <v/>
      </c>
      <c r="H695" t="str">
        <f>IF('Bittrex Data'!C695="","",IF(Bittrex!C695="Buy",Bittrex!D695,IF(Bittrex!C695="Sale",Bittrex!E695,IF(AND(Bittrex!C695="Trade",'Bittrex Data'!C695="Limit_Sell"),Bittrex!E695,IF(AND(Bittrex!C695="Trade",'Bittrex Data'!C695="Limit_Buy"),Bittrex!D695,"")))))</f>
        <v/>
      </c>
      <c r="I695" t="str">
        <f>IF('Bittrex Data'!C695="","",IF(Bittrex!C695="Buy",F695,IF(C695="Sale",Bittrex!G695,IF(AND(C695="Trade",'Bittrex Data'!C695="Limit_Sell"),Bittrex!G695,IF(AND(Bittrex!C695="Trade",'Bittrex Data'!C695="Limit_Buy"),F695,"")))))</f>
        <v/>
      </c>
      <c r="J695" t="str">
        <f>IF('Bittrex Data'!B695="","",IF('Bittrex Data'!B695="","",IF(Bittrex!H695=Bittrex!E695,D695,Bittrex!E695)))</f>
        <v/>
      </c>
      <c r="K695" t="str">
        <f>IF('Bittrex Data'!B695="","",IF(Bittrex!I695=Bittrex!G695,Bittrex!F695,Bittrex!G695))</f>
        <v/>
      </c>
    </row>
    <row r="696" spans="3:11" x14ac:dyDescent="0.2">
      <c r="C696" t="str">
        <f>IF('Bittrex Data'!A696="","",IF(AND('Bittrex Data'!C696="LIMIT_SELL",Bittrex!D696="USD"),"Sale",IF(AND('Bittrex Data'!C696="LIMIT_BUY",Bittrex!D696="USD"),"Buy","Trade")))</f>
        <v/>
      </c>
      <c r="D696" t="str">
        <f>IF('Bittrex Data'!B696="","",LEFT(LEFT('Bittrex Data'!B696,SEARCH("-",'Bittrex Data'!B696,1)),LEN(LEFT('Bittrex Data'!B696,SEARCH("-",'Bittrex Data'!B696,1)))-1))</f>
        <v/>
      </c>
      <c r="E696" t="str">
        <f>IF('Bittrex Data'!B696="","",RIGHT(RIGHT('Bittrex Data'!B696,LEN('Bittrex Data'!B696)-SEARCH("-",'Bittrex Data'!B696,1)+1),LEN(RIGHT('Bittrex Data'!B696,LEN('Bittrex Data'!B696)-SEARCH("-",'Bittrex Data'!B696,1)+1))-1))</f>
        <v/>
      </c>
      <c r="F696" t="str">
        <f>IF('Bittrex Data'!C696="","",IF('Bittrex Data'!C696="Limit_Sell",'Bittrex Data'!G696-'Bittrex Data'!F696,IF('Bittrex Data'!C696="Limit_Buy",'Bittrex Data'!G696+'Bittrex Data'!F696,"")))</f>
        <v/>
      </c>
      <c r="G696" t="str">
        <f>IF('Bittrex Data'!B696="","",'Bittrex Data'!D696)</f>
        <v/>
      </c>
      <c r="H696" t="str">
        <f>IF('Bittrex Data'!C696="","",IF(Bittrex!C696="Buy",Bittrex!D696,IF(Bittrex!C696="Sale",Bittrex!E696,IF(AND(Bittrex!C696="Trade",'Bittrex Data'!C696="Limit_Sell"),Bittrex!E696,IF(AND(Bittrex!C696="Trade",'Bittrex Data'!C696="Limit_Buy"),Bittrex!D696,"")))))</f>
        <v/>
      </c>
      <c r="I696" t="str">
        <f>IF('Bittrex Data'!C696="","",IF(Bittrex!C696="Buy",F696,IF(C696="Sale",Bittrex!G696,IF(AND(C696="Trade",'Bittrex Data'!C696="Limit_Sell"),Bittrex!G696,IF(AND(Bittrex!C696="Trade",'Bittrex Data'!C696="Limit_Buy"),F696,"")))))</f>
        <v/>
      </c>
      <c r="J696" t="str">
        <f>IF('Bittrex Data'!B696="","",IF('Bittrex Data'!B696="","",IF(Bittrex!H696=Bittrex!E696,D696,Bittrex!E696)))</f>
        <v/>
      </c>
      <c r="K696" t="str">
        <f>IF('Bittrex Data'!B696="","",IF(Bittrex!I696=Bittrex!G696,Bittrex!F696,Bittrex!G696))</f>
        <v/>
      </c>
    </row>
    <row r="697" spans="3:11" x14ac:dyDescent="0.2">
      <c r="C697" t="str">
        <f>IF('Bittrex Data'!A697="","",IF(AND('Bittrex Data'!C697="LIMIT_SELL",Bittrex!D697="USD"),"Sale",IF(AND('Bittrex Data'!C697="LIMIT_BUY",Bittrex!D697="USD"),"Buy","Trade")))</f>
        <v/>
      </c>
      <c r="D697" t="str">
        <f>IF('Bittrex Data'!B697="","",LEFT(LEFT('Bittrex Data'!B697,SEARCH("-",'Bittrex Data'!B697,1)),LEN(LEFT('Bittrex Data'!B697,SEARCH("-",'Bittrex Data'!B697,1)))-1))</f>
        <v/>
      </c>
      <c r="E697" t="str">
        <f>IF('Bittrex Data'!B697="","",RIGHT(RIGHT('Bittrex Data'!B697,LEN('Bittrex Data'!B697)-SEARCH("-",'Bittrex Data'!B697,1)+1),LEN(RIGHT('Bittrex Data'!B697,LEN('Bittrex Data'!B697)-SEARCH("-",'Bittrex Data'!B697,1)+1))-1))</f>
        <v/>
      </c>
      <c r="F697" t="str">
        <f>IF('Bittrex Data'!C697="","",IF('Bittrex Data'!C697="Limit_Sell",'Bittrex Data'!G697-'Bittrex Data'!F697,IF('Bittrex Data'!C697="Limit_Buy",'Bittrex Data'!G697+'Bittrex Data'!F697,"")))</f>
        <v/>
      </c>
      <c r="G697" t="str">
        <f>IF('Bittrex Data'!B697="","",'Bittrex Data'!D697)</f>
        <v/>
      </c>
      <c r="H697" t="str">
        <f>IF('Bittrex Data'!C697="","",IF(Bittrex!C697="Buy",Bittrex!D697,IF(Bittrex!C697="Sale",Bittrex!E697,IF(AND(Bittrex!C697="Trade",'Bittrex Data'!C697="Limit_Sell"),Bittrex!E697,IF(AND(Bittrex!C697="Trade",'Bittrex Data'!C697="Limit_Buy"),Bittrex!D697,"")))))</f>
        <v/>
      </c>
      <c r="I697" t="str">
        <f>IF('Bittrex Data'!C697="","",IF(Bittrex!C697="Buy",F697,IF(C697="Sale",Bittrex!G697,IF(AND(C697="Trade",'Bittrex Data'!C697="Limit_Sell"),Bittrex!G697,IF(AND(Bittrex!C697="Trade",'Bittrex Data'!C697="Limit_Buy"),F697,"")))))</f>
        <v/>
      </c>
      <c r="J697" t="str">
        <f>IF('Bittrex Data'!B697="","",IF('Bittrex Data'!B697="","",IF(Bittrex!H697=Bittrex!E697,D697,Bittrex!E697)))</f>
        <v/>
      </c>
      <c r="K697" t="str">
        <f>IF('Bittrex Data'!B697="","",IF(Bittrex!I697=Bittrex!G697,Bittrex!F697,Bittrex!G697))</f>
        <v/>
      </c>
    </row>
    <row r="698" spans="3:11" x14ac:dyDescent="0.2">
      <c r="C698" t="str">
        <f>IF('Bittrex Data'!A698="","",IF(AND('Bittrex Data'!C698="LIMIT_SELL",Bittrex!D698="USD"),"Sale",IF(AND('Bittrex Data'!C698="LIMIT_BUY",Bittrex!D698="USD"),"Buy","Trade")))</f>
        <v/>
      </c>
      <c r="D698" t="str">
        <f>IF('Bittrex Data'!B698="","",LEFT(LEFT('Bittrex Data'!B698,SEARCH("-",'Bittrex Data'!B698,1)),LEN(LEFT('Bittrex Data'!B698,SEARCH("-",'Bittrex Data'!B698,1)))-1))</f>
        <v/>
      </c>
      <c r="E698" t="str">
        <f>IF('Bittrex Data'!B698="","",RIGHT(RIGHT('Bittrex Data'!B698,LEN('Bittrex Data'!B698)-SEARCH("-",'Bittrex Data'!B698,1)+1),LEN(RIGHT('Bittrex Data'!B698,LEN('Bittrex Data'!B698)-SEARCH("-",'Bittrex Data'!B698,1)+1))-1))</f>
        <v/>
      </c>
      <c r="F698" t="str">
        <f>IF('Bittrex Data'!C698="","",IF('Bittrex Data'!C698="Limit_Sell",'Bittrex Data'!G698-'Bittrex Data'!F698,IF('Bittrex Data'!C698="Limit_Buy",'Bittrex Data'!G698+'Bittrex Data'!F698,"")))</f>
        <v/>
      </c>
      <c r="G698" t="str">
        <f>IF('Bittrex Data'!B698="","",'Bittrex Data'!D698)</f>
        <v/>
      </c>
      <c r="H698" t="str">
        <f>IF('Bittrex Data'!C698="","",IF(Bittrex!C698="Buy",Bittrex!D698,IF(Bittrex!C698="Sale",Bittrex!E698,IF(AND(Bittrex!C698="Trade",'Bittrex Data'!C698="Limit_Sell"),Bittrex!E698,IF(AND(Bittrex!C698="Trade",'Bittrex Data'!C698="Limit_Buy"),Bittrex!D698,"")))))</f>
        <v/>
      </c>
      <c r="I698" t="str">
        <f>IF('Bittrex Data'!C698="","",IF(Bittrex!C698="Buy",F698,IF(C698="Sale",Bittrex!G698,IF(AND(C698="Trade",'Bittrex Data'!C698="Limit_Sell"),Bittrex!G698,IF(AND(Bittrex!C698="Trade",'Bittrex Data'!C698="Limit_Buy"),F698,"")))))</f>
        <v/>
      </c>
      <c r="J698" t="str">
        <f>IF('Bittrex Data'!B698="","",IF('Bittrex Data'!B698="","",IF(Bittrex!H698=Bittrex!E698,D698,Bittrex!E698)))</f>
        <v/>
      </c>
      <c r="K698" t="str">
        <f>IF('Bittrex Data'!B698="","",IF(Bittrex!I698=Bittrex!G698,Bittrex!F698,Bittrex!G698))</f>
        <v/>
      </c>
    </row>
    <row r="699" spans="3:11" x14ac:dyDescent="0.2">
      <c r="C699" t="str">
        <f>IF('Bittrex Data'!A699="","",IF(AND('Bittrex Data'!C699="LIMIT_SELL",Bittrex!D699="USD"),"Sale",IF(AND('Bittrex Data'!C699="LIMIT_BUY",Bittrex!D699="USD"),"Buy","Trade")))</f>
        <v/>
      </c>
      <c r="D699" t="str">
        <f>IF('Bittrex Data'!B699="","",LEFT(LEFT('Bittrex Data'!B699,SEARCH("-",'Bittrex Data'!B699,1)),LEN(LEFT('Bittrex Data'!B699,SEARCH("-",'Bittrex Data'!B699,1)))-1))</f>
        <v/>
      </c>
      <c r="E699" t="str">
        <f>IF('Bittrex Data'!B699="","",RIGHT(RIGHT('Bittrex Data'!B699,LEN('Bittrex Data'!B699)-SEARCH("-",'Bittrex Data'!B699,1)+1),LEN(RIGHT('Bittrex Data'!B699,LEN('Bittrex Data'!B699)-SEARCH("-",'Bittrex Data'!B699,1)+1))-1))</f>
        <v/>
      </c>
      <c r="F699" t="str">
        <f>IF('Bittrex Data'!C699="","",IF('Bittrex Data'!C699="Limit_Sell",'Bittrex Data'!G699-'Bittrex Data'!F699,IF('Bittrex Data'!C699="Limit_Buy",'Bittrex Data'!G699+'Bittrex Data'!F699,"")))</f>
        <v/>
      </c>
      <c r="G699" t="str">
        <f>IF('Bittrex Data'!B699="","",'Bittrex Data'!D699)</f>
        <v/>
      </c>
      <c r="H699" t="str">
        <f>IF('Bittrex Data'!C699="","",IF(Bittrex!C699="Buy",Bittrex!D699,IF(Bittrex!C699="Sale",Bittrex!E699,IF(AND(Bittrex!C699="Trade",'Bittrex Data'!C699="Limit_Sell"),Bittrex!E699,IF(AND(Bittrex!C699="Trade",'Bittrex Data'!C699="Limit_Buy"),Bittrex!D699,"")))))</f>
        <v/>
      </c>
      <c r="I699" t="str">
        <f>IF('Bittrex Data'!C699="","",IF(Bittrex!C699="Buy",F699,IF(C699="Sale",Bittrex!G699,IF(AND(C699="Trade",'Bittrex Data'!C699="Limit_Sell"),Bittrex!G699,IF(AND(Bittrex!C699="Trade",'Bittrex Data'!C699="Limit_Buy"),F699,"")))))</f>
        <v/>
      </c>
      <c r="J699" t="str">
        <f>IF('Bittrex Data'!B699="","",IF('Bittrex Data'!B699="","",IF(Bittrex!H699=Bittrex!E699,D699,Bittrex!E699)))</f>
        <v/>
      </c>
      <c r="K699" t="str">
        <f>IF('Bittrex Data'!B699="","",IF(Bittrex!I699=Bittrex!G699,Bittrex!F699,Bittrex!G699))</f>
        <v/>
      </c>
    </row>
    <row r="700" spans="3:11" x14ac:dyDescent="0.2">
      <c r="C700" t="str">
        <f>IF('Bittrex Data'!A700="","",IF(AND('Bittrex Data'!C700="LIMIT_SELL",Bittrex!D700="USD"),"Sale",IF(AND('Bittrex Data'!C700="LIMIT_BUY",Bittrex!D700="USD"),"Buy","Trade")))</f>
        <v/>
      </c>
      <c r="D700" t="str">
        <f>IF('Bittrex Data'!B700="","",LEFT(LEFT('Bittrex Data'!B700,SEARCH("-",'Bittrex Data'!B700,1)),LEN(LEFT('Bittrex Data'!B700,SEARCH("-",'Bittrex Data'!B700,1)))-1))</f>
        <v/>
      </c>
      <c r="E700" t="str">
        <f>IF('Bittrex Data'!B700="","",RIGHT(RIGHT('Bittrex Data'!B700,LEN('Bittrex Data'!B700)-SEARCH("-",'Bittrex Data'!B700,1)+1),LEN(RIGHT('Bittrex Data'!B700,LEN('Bittrex Data'!B700)-SEARCH("-",'Bittrex Data'!B700,1)+1))-1))</f>
        <v/>
      </c>
      <c r="F700" t="str">
        <f>IF('Bittrex Data'!C700="","",IF('Bittrex Data'!C700="Limit_Sell",'Bittrex Data'!G700-'Bittrex Data'!F700,IF('Bittrex Data'!C700="Limit_Buy",'Bittrex Data'!G700+'Bittrex Data'!F700,"")))</f>
        <v/>
      </c>
      <c r="G700" t="str">
        <f>IF('Bittrex Data'!B700="","",'Bittrex Data'!D700)</f>
        <v/>
      </c>
      <c r="H700" t="str">
        <f>IF('Bittrex Data'!C700="","",IF(Bittrex!C700="Buy",Bittrex!D700,IF(Bittrex!C700="Sale",Bittrex!E700,IF(AND(Bittrex!C700="Trade",'Bittrex Data'!C700="Limit_Sell"),Bittrex!E700,IF(AND(Bittrex!C700="Trade",'Bittrex Data'!C700="Limit_Buy"),Bittrex!D700,"")))))</f>
        <v/>
      </c>
      <c r="I700" t="str">
        <f>IF('Bittrex Data'!C700="","",IF(Bittrex!C700="Buy",F700,IF(C700="Sale",Bittrex!G700,IF(AND(C700="Trade",'Bittrex Data'!C700="Limit_Sell"),Bittrex!G700,IF(AND(Bittrex!C700="Trade",'Bittrex Data'!C700="Limit_Buy"),F700,"")))))</f>
        <v/>
      </c>
      <c r="J700" t="str">
        <f>IF('Bittrex Data'!B700="","",IF('Bittrex Data'!B700="","",IF(Bittrex!H700=Bittrex!E700,D700,Bittrex!E700)))</f>
        <v/>
      </c>
      <c r="K700" t="str">
        <f>IF('Bittrex Data'!B700="","",IF(Bittrex!I700=Bittrex!G700,Bittrex!F700,Bittrex!G700))</f>
        <v/>
      </c>
    </row>
    <row r="701" spans="3:11" x14ac:dyDescent="0.2">
      <c r="C701" t="str">
        <f>IF('Bittrex Data'!A701="","",IF(AND('Bittrex Data'!C701="LIMIT_SELL",Bittrex!D701="USD"),"Sale",IF(AND('Bittrex Data'!C701="LIMIT_BUY",Bittrex!D701="USD"),"Buy","Trade")))</f>
        <v/>
      </c>
      <c r="D701" t="str">
        <f>IF('Bittrex Data'!B701="","",LEFT(LEFT('Bittrex Data'!B701,SEARCH("-",'Bittrex Data'!B701,1)),LEN(LEFT('Bittrex Data'!B701,SEARCH("-",'Bittrex Data'!B701,1)))-1))</f>
        <v/>
      </c>
      <c r="E701" t="str">
        <f>IF('Bittrex Data'!B701="","",RIGHT(RIGHT('Bittrex Data'!B701,LEN('Bittrex Data'!B701)-SEARCH("-",'Bittrex Data'!B701,1)+1),LEN(RIGHT('Bittrex Data'!B701,LEN('Bittrex Data'!B701)-SEARCH("-",'Bittrex Data'!B701,1)+1))-1))</f>
        <v/>
      </c>
      <c r="F701" t="str">
        <f>IF('Bittrex Data'!C701="","",IF('Bittrex Data'!C701="Limit_Sell",'Bittrex Data'!G701-'Bittrex Data'!F701,IF('Bittrex Data'!C701="Limit_Buy",'Bittrex Data'!G701+'Bittrex Data'!F701,"")))</f>
        <v/>
      </c>
      <c r="G701" t="str">
        <f>IF('Bittrex Data'!B701="","",'Bittrex Data'!D701)</f>
        <v/>
      </c>
      <c r="H701" t="str">
        <f>IF('Bittrex Data'!C701="","",IF(Bittrex!C701="Buy",Bittrex!D701,IF(Bittrex!C701="Sale",Bittrex!E701,IF(AND(Bittrex!C701="Trade",'Bittrex Data'!C701="Limit_Sell"),Bittrex!E701,IF(AND(Bittrex!C701="Trade",'Bittrex Data'!C701="Limit_Buy"),Bittrex!D701,"")))))</f>
        <v/>
      </c>
      <c r="I701" t="str">
        <f>IF('Bittrex Data'!C701="","",IF(Bittrex!C701="Buy",F701,IF(C701="Sale",Bittrex!G701,IF(AND(C701="Trade",'Bittrex Data'!C701="Limit_Sell"),Bittrex!G701,IF(AND(Bittrex!C701="Trade",'Bittrex Data'!C701="Limit_Buy"),F701,"")))))</f>
        <v/>
      </c>
      <c r="J701" t="str">
        <f>IF('Bittrex Data'!B701="","",IF('Bittrex Data'!B701="","",IF(Bittrex!H701=Bittrex!E701,D701,Bittrex!E701)))</f>
        <v/>
      </c>
      <c r="K701" t="str">
        <f>IF('Bittrex Data'!B701="","",IF(Bittrex!I701=Bittrex!G701,Bittrex!F701,Bittrex!G701))</f>
        <v/>
      </c>
    </row>
    <row r="702" spans="3:11" x14ac:dyDescent="0.2">
      <c r="C702" t="str">
        <f>IF('Bittrex Data'!A702="","",IF(AND('Bittrex Data'!C702="LIMIT_SELL",Bittrex!D702="USD"),"Sale",IF(AND('Bittrex Data'!C702="LIMIT_BUY",Bittrex!D702="USD"),"Buy","Trade")))</f>
        <v/>
      </c>
      <c r="D702" t="str">
        <f>IF('Bittrex Data'!B702="","",LEFT(LEFT('Bittrex Data'!B702,SEARCH("-",'Bittrex Data'!B702,1)),LEN(LEFT('Bittrex Data'!B702,SEARCH("-",'Bittrex Data'!B702,1)))-1))</f>
        <v/>
      </c>
      <c r="E702" t="str">
        <f>IF('Bittrex Data'!B702="","",RIGHT(RIGHT('Bittrex Data'!B702,LEN('Bittrex Data'!B702)-SEARCH("-",'Bittrex Data'!B702,1)+1),LEN(RIGHT('Bittrex Data'!B702,LEN('Bittrex Data'!B702)-SEARCH("-",'Bittrex Data'!B702,1)+1))-1))</f>
        <v/>
      </c>
      <c r="F702" t="str">
        <f>IF('Bittrex Data'!C702="","",IF('Bittrex Data'!C702="Limit_Sell",'Bittrex Data'!G702-'Bittrex Data'!F702,IF('Bittrex Data'!C702="Limit_Buy",'Bittrex Data'!G702+'Bittrex Data'!F702,"")))</f>
        <v/>
      </c>
      <c r="G702" t="str">
        <f>IF('Bittrex Data'!B702="","",'Bittrex Data'!D702)</f>
        <v/>
      </c>
      <c r="H702" t="str">
        <f>IF('Bittrex Data'!C702="","",IF(Bittrex!C702="Buy",Bittrex!D702,IF(Bittrex!C702="Sale",Bittrex!E702,IF(AND(Bittrex!C702="Trade",'Bittrex Data'!C702="Limit_Sell"),Bittrex!E702,IF(AND(Bittrex!C702="Trade",'Bittrex Data'!C702="Limit_Buy"),Bittrex!D702,"")))))</f>
        <v/>
      </c>
      <c r="I702" t="str">
        <f>IF('Bittrex Data'!C702="","",IF(Bittrex!C702="Buy",F702,IF(C702="Sale",Bittrex!G702,IF(AND(C702="Trade",'Bittrex Data'!C702="Limit_Sell"),Bittrex!G702,IF(AND(Bittrex!C702="Trade",'Bittrex Data'!C702="Limit_Buy"),F702,"")))))</f>
        <v/>
      </c>
      <c r="J702" t="str">
        <f>IF('Bittrex Data'!B702="","",IF('Bittrex Data'!B702="","",IF(Bittrex!H702=Bittrex!E702,D702,Bittrex!E702)))</f>
        <v/>
      </c>
      <c r="K702" t="str">
        <f>IF('Bittrex Data'!B702="","",IF(Bittrex!I702=Bittrex!G702,Bittrex!F702,Bittrex!G702))</f>
        <v/>
      </c>
    </row>
    <row r="703" spans="3:11" x14ac:dyDescent="0.2">
      <c r="C703" t="str">
        <f>IF('Bittrex Data'!A703="","",IF(AND('Bittrex Data'!C703="LIMIT_SELL",Bittrex!D703="USD"),"Sale",IF(AND('Bittrex Data'!C703="LIMIT_BUY",Bittrex!D703="USD"),"Buy","Trade")))</f>
        <v/>
      </c>
      <c r="D703" t="str">
        <f>IF('Bittrex Data'!B703="","",LEFT(LEFT('Bittrex Data'!B703,SEARCH("-",'Bittrex Data'!B703,1)),LEN(LEFT('Bittrex Data'!B703,SEARCH("-",'Bittrex Data'!B703,1)))-1))</f>
        <v/>
      </c>
      <c r="E703" t="str">
        <f>IF('Bittrex Data'!B703="","",RIGHT(RIGHT('Bittrex Data'!B703,LEN('Bittrex Data'!B703)-SEARCH("-",'Bittrex Data'!B703,1)+1),LEN(RIGHT('Bittrex Data'!B703,LEN('Bittrex Data'!B703)-SEARCH("-",'Bittrex Data'!B703,1)+1))-1))</f>
        <v/>
      </c>
      <c r="F703" t="str">
        <f>IF('Bittrex Data'!C703="","",IF('Bittrex Data'!C703="Limit_Sell",'Bittrex Data'!G703-'Bittrex Data'!F703,IF('Bittrex Data'!C703="Limit_Buy",'Bittrex Data'!G703+'Bittrex Data'!F703,"")))</f>
        <v/>
      </c>
      <c r="G703" t="str">
        <f>IF('Bittrex Data'!B703="","",'Bittrex Data'!D703)</f>
        <v/>
      </c>
      <c r="H703" t="str">
        <f>IF('Bittrex Data'!C703="","",IF(Bittrex!C703="Buy",Bittrex!D703,IF(Bittrex!C703="Sale",Bittrex!E703,IF(AND(Bittrex!C703="Trade",'Bittrex Data'!C703="Limit_Sell"),Bittrex!E703,IF(AND(Bittrex!C703="Trade",'Bittrex Data'!C703="Limit_Buy"),Bittrex!D703,"")))))</f>
        <v/>
      </c>
      <c r="I703" t="str">
        <f>IF('Bittrex Data'!C703="","",IF(Bittrex!C703="Buy",F703,IF(C703="Sale",Bittrex!G703,IF(AND(C703="Trade",'Bittrex Data'!C703="Limit_Sell"),Bittrex!G703,IF(AND(Bittrex!C703="Trade",'Bittrex Data'!C703="Limit_Buy"),F703,"")))))</f>
        <v/>
      </c>
      <c r="J703" t="str">
        <f>IF('Bittrex Data'!B703="","",IF('Bittrex Data'!B703="","",IF(Bittrex!H703=Bittrex!E703,D703,Bittrex!E703)))</f>
        <v/>
      </c>
      <c r="K703" t="str">
        <f>IF('Bittrex Data'!B703="","",IF(Bittrex!I703=Bittrex!G703,Bittrex!F703,Bittrex!G703))</f>
        <v/>
      </c>
    </row>
    <row r="704" spans="3:11" x14ac:dyDescent="0.2">
      <c r="C704" t="str">
        <f>IF('Bittrex Data'!A704="","",IF(AND('Bittrex Data'!C704="LIMIT_SELL",Bittrex!D704="USD"),"Sale",IF(AND('Bittrex Data'!C704="LIMIT_BUY",Bittrex!D704="USD"),"Buy","Trade")))</f>
        <v/>
      </c>
      <c r="D704" t="str">
        <f>IF('Bittrex Data'!B704="","",LEFT(LEFT('Bittrex Data'!B704,SEARCH("-",'Bittrex Data'!B704,1)),LEN(LEFT('Bittrex Data'!B704,SEARCH("-",'Bittrex Data'!B704,1)))-1))</f>
        <v/>
      </c>
      <c r="E704" t="str">
        <f>IF('Bittrex Data'!B704="","",RIGHT(RIGHT('Bittrex Data'!B704,LEN('Bittrex Data'!B704)-SEARCH("-",'Bittrex Data'!B704,1)+1),LEN(RIGHT('Bittrex Data'!B704,LEN('Bittrex Data'!B704)-SEARCH("-",'Bittrex Data'!B704,1)+1))-1))</f>
        <v/>
      </c>
      <c r="F704" t="str">
        <f>IF('Bittrex Data'!C704="","",IF('Bittrex Data'!C704="Limit_Sell",'Bittrex Data'!G704-'Bittrex Data'!F704,IF('Bittrex Data'!C704="Limit_Buy",'Bittrex Data'!G704+'Bittrex Data'!F704,"")))</f>
        <v/>
      </c>
      <c r="G704" t="str">
        <f>IF('Bittrex Data'!B704="","",'Bittrex Data'!D704)</f>
        <v/>
      </c>
      <c r="H704" t="str">
        <f>IF('Bittrex Data'!C704="","",IF(Bittrex!C704="Buy",Bittrex!D704,IF(Bittrex!C704="Sale",Bittrex!E704,IF(AND(Bittrex!C704="Trade",'Bittrex Data'!C704="Limit_Sell"),Bittrex!E704,IF(AND(Bittrex!C704="Trade",'Bittrex Data'!C704="Limit_Buy"),Bittrex!D704,"")))))</f>
        <v/>
      </c>
      <c r="I704" t="str">
        <f>IF('Bittrex Data'!C704="","",IF(Bittrex!C704="Buy",F704,IF(C704="Sale",Bittrex!G704,IF(AND(C704="Trade",'Bittrex Data'!C704="Limit_Sell"),Bittrex!G704,IF(AND(Bittrex!C704="Trade",'Bittrex Data'!C704="Limit_Buy"),F704,"")))))</f>
        <v/>
      </c>
      <c r="J704" t="str">
        <f>IF('Bittrex Data'!B704="","",IF('Bittrex Data'!B704="","",IF(Bittrex!H704=Bittrex!E704,D704,Bittrex!E704)))</f>
        <v/>
      </c>
      <c r="K704" t="str">
        <f>IF('Bittrex Data'!B704="","",IF(Bittrex!I704=Bittrex!G704,Bittrex!F704,Bittrex!G704))</f>
        <v/>
      </c>
    </row>
    <row r="705" spans="3:11" x14ac:dyDescent="0.2">
      <c r="C705" t="str">
        <f>IF('Bittrex Data'!A705="","",IF(AND('Bittrex Data'!C705="LIMIT_SELL",Bittrex!D705="USD"),"Sale",IF(AND('Bittrex Data'!C705="LIMIT_BUY",Bittrex!D705="USD"),"Buy","Trade")))</f>
        <v/>
      </c>
      <c r="D705" t="str">
        <f>IF('Bittrex Data'!B705="","",LEFT(LEFT('Bittrex Data'!B705,SEARCH("-",'Bittrex Data'!B705,1)),LEN(LEFT('Bittrex Data'!B705,SEARCH("-",'Bittrex Data'!B705,1)))-1))</f>
        <v/>
      </c>
      <c r="E705" t="str">
        <f>IF('Bittrex Data'!B705="","",RIGHT(RIGHT('Bittrex Data'!B705,LEN('Bittrex Data'!B705)-SEARCH("-",'Bittrex Data'!B705,1)+1),LEN(RIGHT('Bittrex Data'!B705,LEN('Bittrex Data'!B705)-SEARCH("-",'Bittrex Data'!B705,1)+1))-1))</f>
        <v/>
      </c>
      <c r="F705" t="str">
        <f>IF('Bittrex Data'!C705="","",IF('Bittrex Data'!C705="Limit_Sell",'Bittrex Data'!G705-'Bittrex Data'!F705,IF('Bittrex Data'!C705="Limit_Buy",'Bittrex Data'!G705+'Bittrex Data'!F705,"")))</f>
        <v/>
      </c>
      <c r="G705" t="str">
        <f>IF('Bittrex Data'!B705="","",'Bittrex Data'!D705)</f>
        <v/>
      </c>
      <c r="H705" t="str">
        <f>IF('Bittrex Data'!C705="","",IF(Bittrex!C705="Buy",Bittrex!D705,IF(Bittrex!C705="Sale",Bittrex!E705,IF(AND(Bittrex!C705="Trade",'Bittrex Data'!C705="Limit_Sell"),Bittrex!E705,IF(AND(Bittrex!C705="Trade",'Bittrex Data'!C705="Limit_Buy"),Bittrex!D705,"")))))</f>
        <v/>
      </c>
      <c r="I705" t="str">
        <f>IF('Bittrex Data'!C705="","",IF(Bittrex!C705="Buy",F705,IF(C705="Sale",Bittrex!G705,IF(AND(C705="Trade",'Bittrex Data'!C705="Limit_Sell"),Bittrex!G705,IF(AND(Bittrex!C705="Trade",'Bittrex Data'!C705="Limit_Buy"),F705,"")))))</f>
        <v/>
      </c>
      <c r="J705" t="str">
        <f>IF('Bittrex Data'!B705="","",IF('Bittrex Data'!B705="","",IF(Bittrex!H705=Bittrex!E705,D705,Bittrex!E705)))</f>
        <v/>
      </c>
      <c r="K705" t="str">
        <f>IF('Bittrex Data'!B705="","",IF(Bittrex!I705=Bittrex!G705,Bittrex!F705,Bittrex!G705))</f>
        <v/>
      </c>
    </row>
    <row r="706" spans="3:11" x14ac:dyDescent="0.2">
      <c r="C706" t="str">
        <f>IF('Bittrex Data'!A706="","",IF(AND('Bittrex Data'!C706="LIMIT_SELL",Bittrex!D706="USD"),"Sale",IF(AND('Bittrex Data'!C706="LIMIT_BUY",Bittrex!D706="USD"),"Buy","Trade")))</f>
        <v/>
      </c>
      <c r="D706" t="str">
        <f>IF('Bittrex Data'!B706="","",LEFT(LEFT('Bittrex Data'!B706,SEARCH("-",'Bittrex Data'!B706,1)),LEN(LEFT('Bittrex Data'!B706,SEARCH("-",'Bittrex Data'!B706,1)))-1))</f>
        <v/>
      </c>
      <c r="E706" t="str">
        <f>IF('Bittrex Data'!B706="","",RIGHT(RIGHT('Bittrex Data'!B706,LEN('Bittrex Data'!B706)-SEARCH("-",'Bittrex Data'!B706,1)+1),LEN(RIGHT('Bittrex Data'!B706,LEN('Bittrex Data'!B706)-SEARCH("-",'Bittrex Data'!B706,1)+1))-1))</f>
        <v/>
      </c>
      <c r="F706" t="str">
        <f>IF('Bittrex Data'!C706="","",IF('Bittrex Data'!C706="Limit_Sell",'Bittrex Data'!G706-'Bittrex Data'!F706,IF('Bittrex Data'!C706="Limit_Buy",'Bittrex Data'!G706+'Bittrex Data'!F706,"")))</f>
        <v/>
      </c>
      <c r="G706" t="str">
        <f>IF('Bittrex Data'!B706="","",'Bittrex Data'!D706)</f>
        <v/>
      </c>
      <c r="H706" t="str">
        <f>IF('Bittrex Data'!C706="","",IF(Bittrex!C706="Buy",Bittrex!D706,IF(Bittrex!C706="Sale",Bittrex!E706,IF(AND(Bittrex!C706="Trade",'Bittrex Data'!C706="Limit_Sell"),Bittrex!E706,IF(AND(Bittrex!C706="Trade",'Bittrex Data'!C706="Limit_Buy"),Bittrex!D706,"")))))</f>
        <v/>
      </c>
      <c r="I706" t="str">
        <f>IF('Bittrex Data'!C706="","",IF(Bittrex!C706="Buy",F706,IF(C706="Sale",Bittrex!G706,IF(AND(C706="Trade",'Bittrex Data'!C706="Limit_Sell"),Bittrex!G706,IF(AND(Bittrex!C706="Trade",'Bittrex Data'!C706="Limit_Buy"),F706,"")))))</f>
        <v/>
      </c>
      <c r="J706" t="str">
        <f>IF('Bittrex Data'!B706="","",IF('Bittrex Data'!B706="","",IF(Bittrex!H706=Bittrex!E706,D706,Bittrex!E706)))</f>
        <v/>
      </c>
      <c r="K706" t="str">
        <f>IF('Bittrex Data'!B706="","",IF(Bittrex!I706=Bittrex!G706,Bittrex!F706,Bittrex!G706))</f>
        <v/>
      </c>
    </row>
    <row r="707" spans="3:11" x14ac:dyDescent="0.2">
      <c r="C707" t="str">
        <f>IF('Bittrex Data'!A707="","",IF(AND('Bittrex Data'!C707="LIMIT_SELL",Bittrex!D707="USD"),"Sale",IF(AND('Bittrex Data'!C707="LIMIT_BUY",Bittrex!D707="USD"),"Buy","Trade")))</f>
        <v/>
      </c>
      <c r="D707" t="str">
        <f>IF('Bittrex Data'!B707="","",LEFT(LEFT('Bittrex Data'!B707,SEARCH("-",'Bittrex Data'!B707,1)),LEN(LEFT('Bittrex Data'!B707,SEARCH("-",'Bittrex Data'!B707,1)))-1))</f>
        <v/>
      </c>
      <c r="E707" t="str">
        <f>IF('Bittrex Data'!B707="","",RIGHT(RIGHT('Bittrex Data'!B707,LEN('Bittrex Data'!B707)-SEARCH("-",'Bittrex Data'!B707,1)+1),LEN(RIGHT('Bittrex Data'!B707,LEN('Bittrex Data'!B707)-SEARCH("-",'Bittrex Data'!B707,1)+1))-1))</f>
        <v/>
      </c>
      <c r="F707" t="str">
        <f>IF('Bittrex Data'!C707="","",IF('Bittrex Data'!C707="Limit_Sell",'Bittrex Data'!G707-'Bittrex Data'!F707,IF('Bittrex Data'!C707="Limit_Buy",'Bittrex Data'!G707+'Bittrex Data'!F707,"")))</f>
        <v/>
      </c>
      <c r="G707" t="str">
        <f>IF('Bittrex Data'!B707="","",'Bittrex Data'!D707)</f>
        <v/>
      </c>
      <c r="H707" t="str">
        <f>IF('Bittrex Data'!C707="","",IF(Bittrex!C707="Buy",Bittrex!D707,IF(Bittrex!C707="Sale",Bittrex!E707,IF(AND(Bittrex!C707="Trade",'Bittrex Data'!C707="Limit_Sell"),Bittrex!E707,IF(AND(Bittrex!C707="Trade",'Bittrex Data'!C707="Limit_Buy"),Bittrex!D707,"")))))</f>
        <v/>
      </c>
      <c r="I707" t="str">
        <f>IF('Bittrex Data'!C707="","",IF(Bittrex!C707="Buy",F707,IF(C707="Sale",Bittrex!G707,IF(AND(C707="Trade",'Bittrex Data'!C707="Limit_Sell"),Bittrex!G707,IF(AND(Bittrex!C707="Trade",'Bittrex Data'!C707="Limit_Buy"),F707,"")))))</f>
        <v/>
      </c>
      <c r="J707" t="str">
        <f>IF('Bittrex Data'!B707="","",IF('Bittrex Data'!B707="","",IF(Bittrex!H707=Bittrex!E707,D707,Bittrex!E707)))</f>
        <v/>
      </c>
      <c r="K707" t="str">
        <f>IF('Bittrex Data'!B707="","",IF(Bittrex!I707=Bittrex!G707,Bittrex!F707,Bittrex!G707))</f>
        <v/>
      </c>
    </row>
    <row r="708" spans="3:11" x14ac:dyDescent="0.2">
      <c r="C708" t="str">
        <f>IF('Bittrex Data'!A708="","",IF(AND('Bittrex Data'!C708="LIMIT_SELL",Bittrex!D708="USD"),"Sale",IF(AND('Bittrex Data'!C708="LIMIT_BUY",Bittrex!D708="USD"),"Buy","Trade")))</f>
        <v/>
      </c>
      <c r="D708" t="str">
        <f>IF('Bittrex Data'!B708="","",LEFT(LEFT('Bittrex Data'!B708,SEARCH("-",'Bittrex Data'!B708,1)),LEN(LEFT('Bittrex Data'!B708,SEARCH("-",'Bittrex Data'!B708,1)))-1))</f>
        <v/>
      </c>
      <c r="E708" t="str">
        <f>IF('Bittrex Data'!B708="","",RIGHT(RIGHT('Bittrex Data'!B708,LEN('Bittrex Data'!B708)-SEARCH("-",'Bittrex Data'!B708,1)+1),LEN(RIGHT('Bittrex Data'!B708,LEN('Bittrex Data'!B708)-SEARCH("-",'Bittrex Data'!B708,1)+1))-1))</f>
        <v/>
      </c>
      <c r="F708" t="str">
        <f>IF('Bittrex Data'!C708="","",IF('Bittrex Data'!C708="Limit_Sell",'Bittrex Data'!G708-'Bittrex Data'!F708,IF('Bittrex Data'!C708="Limit_Buy",'Bittrex Data'!G708+'Bittrex Data'!F708,"")))</f>
        <v/>
      </c>
      <c r="G708" t="str">
        <f>IF('Bittrex Data'!B708="","",'Bittrex Data'!D708)</f>
        <v/>
      </c>
      <c r="H708" t="str">
        <f>IF('Bittrex Data'!C708="","",IF(Bittrex!C708="Buy",Bittrex!D708,IF(Bittrex!C708="Sale",Bittrex!E708,IF(AND(Bittrex!C708="Trade",'Bittrex Data'!C708="Limit_Sell"),Bittrex!E708,IF(AND(Bittrex!C708="Trade",'Bittrex Data'!C708="Limit_Buy"),Bittrex!D708,"")))))</f>
        <v/>
      </c>
      <c r="I708" t="str">
        <f>IF('Bittrex Data'!C708="","",IF(Bittrex!C708="Buy",F708,IF(C708="Sale",Bittrex!G708,IF(AND(C708="Trade",'Bittrex Data'!C708="Limit_Sell"),Bittrex!G708,IF(AND(Bittrex!C708="Trade",'Bittrex Data'!C708="Limit_Buy"),F708,"")))))</f>
        <v/>
      </c>
      <c r="J708" t="str">
        <f>IF('Bittrex Data'!B708="","",IF('Bittrex Data'!B708="","",IF(Bittrex!H708=Bittrex!E708,D708,Bittrex!E708)))</f>
        <v/>
      </c>
      <c r="K708" t="str">
        <f>IF('Bittrex Data'!B708="","",IF(Bittrex!I708=Bittrex!G708,Bittrex!F708,Bittrex!G708))</f>
        <v/>
      </c>
    </row>
    <row r="709" spans="3:11" x14ac:dyDescent="0.2">
      <c r="C709" t="str">
        <f>IF('Bittrex Data'!A709="","",IF(AND('Bittrex Data'!C709="LIMIT_SELL",Bittrex!D709="USD"),"Sale",IF(AND('Bittrex Data'!C709="LIMIT_BUY",Bittrex!D709="USD"),"Buy","Trade")))</f>
        <v/>
      </c>
      <c r="D709" t="str">
        <f>IF('Bittrex Data'!B709="","",LEFT(LEFT('Bittrex Data'!B709,SEARCH("-",'Bittrex Data'!B709,1)),LEN(LEFT('Bittrex Data'!B709,SEARCH("-",'Bittrex Data'!B709,1)))-1))</f>
        <v/>
      </c>
      <c r="E709" t="str">
        <f>IF('Bittrex Data'!B709="","",RIGHT(RIGHT('Bittrex Data'!B709,LEN('Bittrex Data'!B709)-SEARCH("-",'Bittrex Data'!B709,1)+1),LEN(RIGHT('Bittrex Data'!B709,LEN('Bittrex Data'!B709)-SEARCH("-",'Bittrex Data'!B709,1)+1))-1))</f>
        <v/>
      </c>
      <c r="F709" t="str">
        <f>IF('Bittrex Data'!C709="","",IF('Bittrex Data'!C709="Limit_Sell",'Bittrex Data'!G709-'Bittrex Data'!F709,IF('Bittrex Data'!C709="Limit_Buy",'Bittrex Data'!G709+'Bittrex Data'!F709,"")))</f>
        <v/>
      </c>
      <c r="G709" t="str">
        <f>IF('Bittrex Data'!B709="","",'Bittrex Data'!D709)</f>
        <v/>
      </c>
      <c r="H709" t="str">
        <f>IF('Bittrex Data'!C709="","",IF(Bittrex!C709="Buy",Bittrex!D709,IF(Bittrex!C709="Sale",Bittrex!E709,IF(AND(Bittrex!C709="Trade",'Bittrex Data'!C709="Limit_Sell"),Bittrex!E709,IF(AND(Bittrex!C709="Trade",'Bittrex Data'!C709="Limit_Buy"),Bittrex!D709,"")))))</f>
        <v/>
      </c>
      <c r="I709" t="str">
        <f>IF('Bittrex Data'!C709="","",IF(Bittrex!C709="Buy",F709,IF(C709="Sale",Bittrex!G709,IF(AND(C709="Trade",'Bittrex Data'!C709="Limit_Sell"),Bittrex!G709,IF(AND(Bittrex!C709="Trade",'Bittrex Data'!C709="Limit_Buy"),F709,"")))))</f>
        <v/>
      </c>
      <c r="J709" t="str">
        <f>IF('Bittrex Data'!B709="","",IF('Bittrex Data'!B709="","",IF(Bittrex!H709=Bittrex!E709,D709,Bittrex!E709)))</f>
        <v/>
      </c>
      <c r="K709" t="str">
        <f>IF('Bittrex Data'!B709="","",IF(Bittrex!I709=Bittrex!G709,Bittrex!F709,Bittrex!G709))</f>
        <v/>
      </c>
    </row>
    <row r="710" spans="3:11" x14ac:dyDescent="0.2">
      <c r="C710" t="str">
        <f>IF('Bittrex Data'!A710="","",IF(AND('Bittrex Data'!C710="LIMIT_SELL",Bittrex!D710="USD"),"Sale",IF(AND('Bittrex Data'!C710="LIMIT_BUY",Bittrex!D710="USD"),"Buy","Trade")))</f>
        <v/>
      </c>
      <c r="D710" t="str">
        <f>IF('Bittrex Data'!B710="","",LEFT(LEFT('Bittrex Data'!B710,SEARCH("-",'Bittrex Data'!B710,1)),LEN(LEFT('Bittrex Data'!B710,SEARCH("-",'Bittrex Data'!B710,1)))-1))</f>
        <v/>
      </c>
      <c r="E710" t="str">
        <f>IF('Bittrex Data'!B710="","",RIGHT(RIGHT('Bittrex Data'!B710,LEN('Bittrex Data'!B710)-SEARCH("-",'Bittrex Data'!B710,1)+1),LEN(RIGHT('Bittrex Data'!B710,LEN('Bittrex Data'!B710)-SEARCH("-",'Bittrex Data'!B710,1)+1))-1))</f>
        <v/>
      </c>
      <c r="F710" t="str">
        <f>IF('Bittrex Data'!C710="","",IF('Bittrex Data'!C710="Limit_Sell",'Bittrex Data'!G710-'Bittrex Data'!F710,IF('Bittrex Data'!C710="Limit_Buy",'Bittrex Data'!G710+'Bittrex Data'!F710,"")))</f>
        <v/>
      </c>
      <c r="G710" t="str">
        <f>IF('Bittrex Data'!B710="","",'Bittrex Data'!D710)</f>
        <v/>
      </c>
      <c r="H710" t="str">
        <f>IF('Bittrex Data'!C710="","",IF(Bittrex!C710="Buy",Bittrex!D710,IF(Bittrex!C710="Sale",Bittrex!E710,IF(AND(Bittrex!C710="Trade",'Bittrex Data'!C710="Limit_Sell"),Bittrex!E710,IF(AND(Bittrex!C710="Trade",'Bittrex Data'!C710="Limit_Buy"),Bittrex!D710,"")))))</f>
        <v/>
      </c>
      <c r="I710" t="str">
        <f>IF('Bittrex Data'!C710="","",IF(Bittrex!C710="Buy",F710,IF(C710="Sale",Bittrex!G710,IF(AND(C710="Trade",'Bittrex Data'!C710="Limit_Sell"),Bittrex!G710,IF(AND(Bittrex!C710="Trade",'Bittrex Data'!C710="Limit_Buy"),F710,"")))))</f>
        <v/>
      </c>
      <c r="J710" t="str">
        <f>IF('Bittrex Data'!B710="","",IF('Bittrex Data'!B710="","",IF(Bittrex!H710=Bittrex!E710,D710,Bittrex!E710)))</f>
        <v/>
      </c>
      <c r="K710" t="str">
        <f>IF('Bittrex Data'!B710="","",IF(Bittrex!I710=Bittrex!G710,Bittrex!F710,Bittrex!G710))</f>
        <v/>
      </c>
    </row>
    <row r="711" spans="3:11" x14ac:dyDescent="0.2">
      <c r="C711" t="str">
        <f>IF('Bittrex Data'!A711="","",IF(AND('Bittrex Data'!C711="LIMIT_SELL",Bittrex!D711="USD"),"Sale",IF(AND('Bittrex Data'!C711="LIMIT_BUY",Bittrex!D711="USD"),"Buy","Trade")))</f>
        <v/>
      </c>
      <c r="D711" t="str">
        <f>IF('Bittrex Data'!B711="","",LEFT(LEFT('Bittrex Data'!B711,SEARCH("-",'Bittrex Data'!B711,1)),LEN(LEFT('Bittrex Data'!B711,SEARCH("-",'Bittrex Data'!B711,1)))-1))</f>
        <v/>
      </c>
      <c r="E711" t="str">
        <f>IF('Bittrex Data'!B711="","",RIGHT(RIGHT('Bittrex Data'!B711,LEN('Bittrex Data'!B711)-SEARCH("-",'Bittrex Data'!B711,1)+1),LEN(RIGHT('Bittrex Data'!B711,LEN('Bittrex Data'!B711)-SEARCH("-",'Bittrex Data'!B711,1)+1))-1))</f>
        <v/>
      </c>
      <c r="F711" t="str">
        <f>IF('Bittrex Data'!C711="","",IF('Bittrex Data'!C711="Limit_Sell",'Bittrex Data'!G711-'Bittrex Data'!F711,IF('Bittrex Data'!C711="Limit_Buy",'Bittrex Data'!G711+'Bittrex Data'!F711,"")))</f>
        <v/>
      </c>
      <c r="G711" t="str">
        <f>IF('Bittrex Data'!B711="","",'Bittrex Data'!D711)</f>
        <v/>
      </c>
      <c r="H711" t="str">
        <f>IF('Bittrex Data'!C711="","",IF(Bittrex!C711="Buy",Bittrex!D711,IF(Bittrex!C711="Sale",Bittrex!E711,IF(AND(Bittrex!C711="Trade",'Bittrex Data'!C711="Limit_Sell"),Bittrex!E711,IF(AND(Bittrex!C711="Trade",'Bittrex Data'!C711="Limit_Buy"),Bittrex!D711,"")))))</f>
        <v/>
      </c>
      <c r="I711" t="str">
        <f>IF('Bittrex Data'!C711="","",IF(Bittrex!C711="Buy",F711,IF(C711="Sale",Bittrex!G711,IF(AND(C711="Trade",'Bittrex Data'!C711="Limit_Sell"),Bittrex!G711,IF(AND(Bittrex!C711="Trade",'Bittrex Data'!C711="Limit_Buy"),F711,"")))))</f>
        <v/>
      </c>
      <c r="J711" t="str">
        <f>IF('Bittrex Data'!B711="","",IF('Bittrex Data'!B711="","",IF(Bittrex!H711=Bittrex!E711,D711,Bittrex!E711)))</f>
        <v/>
      </c>
      <c r="K711" t="str">
        <f>IF('Bittrex Data'!B711="","",IF(Bittrex!I711=Bittrex!G711,Bittrex!F711,Bittrex!G711))</f>
        <v/>
      </c>
    </row>
    <row r="712" spans="3:11" x14ac:dyDescent="0.2">
      <c r="C712" t="str">
        <f>IF('Bittrex Data'!A712="","",IF(AND('Bittrex Data'!C712="LIMIT_SELL",Bittrex!D712="USD"),"Sale",IF(AND('Bittrex Data'!C712="LIMIT_BUY",Bittrex!D712="USD"),"Buy","Trade")))</f>
        <v/>
      </c>
      <c r="D712" t="str">
        <f>IF('Bittrex Data'!B712="","",LEFT(LEFT('Bittrex Data'!B712,SEARCH("-",'Bittrex Data'!B712,1)),LEN(LEFT('Bittrex Data'!B712,SEARCH("-",'Bittrex Data'!B712,1)))-1))</f>
        <v/>
      </c>
      <c r="E712" t="str">
        <f>IF('Bittrex Data'!B712="","",RIGHT(RIGHT('Bittrex Data'!B712,LEN('Bittrex Data'!B712)-SEARCH("-",'Bittrex Data'!B712,1)+1),LEN(RIGHT('Bittrex Data'!B712,LEN('Bittrex Data'!B712)-SEARCH("-",'Bittrex Data'!B712,1)+1))-1))</f>
        <v/>
      </c>
      <c r="F712" t="str">
        <f>IF('Bittrex Data'!C712="","",IF('Bittrex Data'!C712="Limit_Sell",'Bittrex Data'!G712-'Bittrex Data'!F712,IF('Bittrex Data'!C712="Limit_Buy",'Bittrex Data'!G712+'Bittrex Data'!F712,"")))</f>
        <v/>
      </c>
      <c r="G712" t="str">
        <f>IF('Bittrex Data'!B712="","",'Bittrex Data'!D712)</f>
        <v/>
      </c>
      <c r="H712" t="str">
        <f>IF('Bittrex Data'!C712="","",IF(Bittrex!C712="Buy",Bittrex!D712,IF(Bittrex!C712="Sale",Bittrex!E712,IF(AND(Bittrex!C712="Trade",'Bittrex Data'!C712="Limit_Sell"),Bittrex!E712,IF(AND(Bittrex!C712="Trade",'Bittrex Data'!C712="Limit_Buy"),Bittrex!D712,"")))))</f>
        <v/>
      </c>
      <c r="I712" t="str">
        <f>IF('Bittrex Data'!C712="","",IF(Bittrex!C712="Buy",F712,IF(C712="Sale",Bittrex!G712,IF(AND(C712="Trade",'Bittrex Data'!C712="Limit_Sell"),Bittrex!G712,IF(AND(Bittrex!C712="Trade",'Bittrex Data'!C712="Limit_Buy"),F712,"")))))</f>
        <v/>
      </c>
      <c r="J712" t="str">
        <f>IF('Bittrex Data'!B712="","",IF('Bittrex Data'!B712="","",IF(Bittrex!H712=Bittrex!E712,D712,Bittrex!E712)))</f>
        <v/>
      </c>
      <c r="K712" t="str">
        <f>IF('Bittrex Data'!B712="","",IF(Bittrex!I712=Bittrex!G712,Bittrex!F712,Bittrex!G712))</f>
        <v/>
      </c>
    </row>
    <row r="713" spans="3:11" x14ac:dyDescent="0.2">
      <c r="C713" t="str">
        <f>IF('Bittrex Data'!A713="","",IF(AND('Bittrex Data'!C713="LIMIT_SELL",Bittrex!D713="USD"),"Sale",IF(AND('Bittrex Data'!C713="LIMIT_BUY",Bittrex!D713="USD"),"Buy","Trade")))</f>
        <v/>
      </c>
      <c r="D713" t="str">
        <f>IF('Bittrex Data'!B713="","",LEFT(LEFT('Bittrex Data'!B713,SEARCH("-",'Bittrex Data'!B713,1)),LEN(LEFT('Bittrex Data'!B713,SEARCH("-",'Bittrex Data'!B713,1)))-1))</f>
        <v/>
      </c>
      <c r="E713" t="str">
        <f>IF('Bittrex Data'!B713="","",RIGHT(RIGHT('Bittrex Data'!B713,LEN('Bittrex Data'!B713)-SEARCH("-",'Bittrex Data'!B713,1)+1),LEN(RIGHT('Bittrex Data'!B713,LEN('Bittrex Data'!B713)-SEARCH("-",'Bittrex Data'!B713,1)+1))-1))</f>
        <v/>
      </c>
      <c r="F713" t="str">
        <f>IF('Bittrex Data'!C713="","",IF('Bittrex Data'!C713="Limit_Sell",'Bittrex Data'!G713-'Bittrex Data'!F713,IF('Bittrex Data'!C713="Limit_Buy",'Bittrex Data'!G713+'Bittrex Data'!F713,"")))</f>
        <v/>
      </c>
      <c r="G713" t="str">
        <f>IF('Bittrex Data'!B713="","",'Bittrex Data'!D713)</f>
        <v/>
      </c>
      <c r="H713" t="str">
        <f>IF('Bittrex Data'!C713="","",IF(Bittrex!C713="Buy",Bittrex!D713,IF(Bittrex!C713="Sale",Bittrex!E713,IF(AND(Bittrex!C713="Trade",'Bittrex Data'!C713="Limit_Sell"),Bittrex!E713,IF(AND(Bittrex!C713="Trade",'Bittrex Data'!C713="Limit_Buy"),Bittrex!D713,"")))))</f>
        <v/>
      </c>
      <c r="I713" t="str">
        <f>IF('Bittrex Data'!C713="","",IF(Bittrex!C713="Buy",F713,IF(C713="Sale",Bittrex!G713,IF(AND(C713="Trade",'Bittrex Data'!C713="Limit_Sell"),Bittrex!G713,IF(AND(Bittrex!C713="Trade",'Bittrex Data'!C713="Limit_Buy"),F713,"")))))</f>
        <v/>
      </c>
      <c r="J713" t="str">
        <f>IF('Bittrex Data'!B713="","",IF('Bittrex Data'!B713="","",IF(Bittrex!H713=Bittrex!E713,D713,Bittrex!E713)))</f>
        <v/>
      </c>
      <c r="K713" t="str">
        <f>IF('Bittrex Data'!B713="","",IF(Bittrex!I713=Bittrex!G713,Bittrex!F713,Bittrex!G713))</f>
        <v/>
      </c>
    </row>
    <row r="714" spans="3:11" x14ac:dyDescent="0.2">
      <c r="C714" t="str">
        <f>IF('Bittrex Data'!A714="","",IF(AND('Bittrex Data'!C714="LIMIT_SELL",Bittrex!D714="USD"),"Sale",IF(AND('Bittrex Data'!C714="LIMIT_BUY",Bittrex!D714="USD"),"Buy","Trade")))</f>
        <v/>
      </c>
      <c r="D714" t="str">
        <f>IF('Bittrex Data'!B714="","",LEFT(LEFT('Bittrex Data'!B714,SEARCH("-",'Bittrex Data'!B714,1)),LEN(LEFT('Bittrex Data'!B714,SEARCH("-",'Bittrex Data'!B714,1)))-1))</f>
        <v/>
      </c>
      <c r="E714" t="str">
        <f>IF('Bittrex Data'!B714="","",RIGHT(RIGHT('Bittrex Data'!B714,LEN('Bittrex Data'!B714)-SEARCH("-",'Bittrex Data'!B714,1)+1),LEN(RIGHT('Bittrex Data'!B714,LEN('Bittrex Data'!B714)-SEARCH("-",'Bittrex Data'!B714,1)+1))-1))</f>
        <v/>
      </c>
      <c r="F714" t="str">
        <f>IF('Bittrex Data'!C714="","",IF('Bittrex Data'!C714="Limit_Sell",'Bittrex Data'!G714-'Bittrex Data'!F714,IF('Bittrex Data'!C714="Limit_Buy",'Bittrex Data'!G714+'Bittrex Data'!F714,"")))</f>
        <v/>
      </c>
      <c r="G714" t="str">
        <f>IF('Bittrex Data'!B714="","",'Bittrex Data'!D714)</f>
        <v/>
      </c>
      <c r="H714" t="str">
        <f>IF('Bittrex Data'!C714="","",IF(Bittrex!C714="Buy",Bittrex!D714,IF(Bittrex!C714="Sale",Bittrex!E714,IF(AND(Bittrex!C714="Trade",'Bittrex Data'!C714="Limit_Sell"),Bittrex!E714,IF(AND(Bittrex!C714="Trade",'Bittrex Data'!C714="Limit_Buy"),Bittrex!D714,"")))))</f>
        <v/>
      </c>
      <c r="I714" t="str">
        <f>IF('Bittrex Data'!C714="","",IF(Bittrex!C714="Buy",F714,IF(C714="Sale",Bittrex!G714,IF(AND(C714="Trade",'Bittrex Data'!C714="Limit_Sell"),Bittrex!G714,IF(AND(Bittrex!C714="Trade",'Bittrex Data'!C714="Limit_Buy"),F714,"")))))</f>
        <v/>
      </c>
      <c r="J714" t="str">
        <f>IF('Bittrex Data'!B714="","",IF('Bittrex Data'!B714="","",IF(Bittrex!H714=Bittrex!E714,D714,Bittrex!E714)))</f>
        <v/>
      </c>
      <c r="K714" t="str">
        <f>IF('Bittrex Data'!B714="","",IF(Bittrex!I714=Bittrex!G714,Bittrex!F714,Bittrex!G714))</f>
        <v/>
      </c>
    </row>
    <row r="715" spans="3:11" x14ac:dyDescent="0.2">
      <c r="C715" t="str">
        <f>IF('Bittrex Data'!A715="","",IF(AND('Bittrex Data'!C715="LIMIT_SELL",Bittrex!D715="USD"),"Sale",IF(AND('Bittrex Data'!C715="LIMIT_BUY",Bittrex!D715="USD"),"Buy","Trade")))</f>
        <v/>
      </c>
      <c r="D715" t="str">
        <f>IF('Bittrex Data'!B715="","",LEFT(LEFT('Bittrex Data'!B715,SEARCH("-",'Bittrex Data'!B715,1)),LEN(LEFT('Bittrex Data'!B715,SEARCH("-",'Bittrex Data'!B715,1)))-1))</f>
        <v/>
      </c>
      <c r="E715" t="str">
        <f>IF('Bittrex Data'!B715="","",RIGHT(RIGHT('Bittrex Data'!B715,LEN('Bittrex Data'!B715)-SEARCH("-",'Bittrex Data'!B715,1)+1),LEN(RIGHT('Bittrex Data'!B715,LEN('Bittrex Data'!B715)-SEARCH("-",'Bittrex Data'!B715,1)+1))-1))</f>
        <v/>
      </c>
      <c r="F715" t="str">
        <f>IF('Bittrex Data'!C715="","",IF('Bittrex Data'!C715="Limit_Sell",'Bittrex Data'!G715-'Bittrex Data'!F715,IF('Bittrex Data'!C715="Limit_Buy",'Bittrex Data'!G715+'Bittrex Data'!F715,"")))</f>
        <v/>
      </c>
      <c r="G715" t="str">
        <f>IF('Bittrex Data'!B715="","",'Bittrex Data'!D715)</f>
        <v/>
      </c>
      <c r="H715" t="str">
        <f>IF('Bittrex Data'!C715="","",IF(Bittrex!C715="Buy",Bittrex!D715,IF(Bittrex!C715="Sale",Bittrex!E715,IF(AND(Bittrex!C715="Trade",'Bittrex Data'!C715="Limit_Sell"),Bittrex!E715,IF(AND(Bittrex!C715="Trade",'Bittrex Data'!C715="Limit_Buy"),Bittrex!D715,"")))))</f>
        <v/>
      </c>
      <c r="I715" t="str">
        <f>IF('Bittrex Data'!C715="","",IF(Bittrex!C715="Buy",F715,IF(C715="Sale",Bittrex!G715,IF(AND(C715="Trade",'Bittrex Data'!C715="Limit_Sell"),Bittrex!G715,IF(AND(Bittrex!C715="Trade",'Bittrex Data'!C715="Limit_Buy"),F715,"")))))</f>
        <v/>
      </c>
      <c r="J715" t="str">
        <f>IF('Bittrex Data'!B715="","",IF('Bittrex Data'!B715="","",IF(Bittrex!H715=Bittrex!E715,D715,Bittrex!E715)))</f>
        <v/>
      </c>
      <c r="K715" t="str">
        <f>IF('Bittrex Data'!B715="","",IF(Bittrex!I715=Bittrex!G715,Bittrex!F715,Bittrex!G715))</f>
        <v/>
      </c>
    </row>
    <row r="716" spans="3:11" x14ac:dyDescent="0.2">
      <c r="C716" t="str">
        <f>IF('Bittrex Data'!A716="","",IF(AND('Bittrex Data'!C716="LIMIT_SELL",Bittrex!D716="USD"),"Sale",IF(AND('Bittrex Data'!C716="LIMIT_BUY",Bittrex!D716="USD"),"Buy","Trade")))</f>
        <v/>
      </c>
      <c r="D716" t="str">
        <f>IF('Bittrex Data'!B716="","",LEFT(LEFT('Bittrex Data'!B716,SEARCH("-",'Bittrex Data'!B716,1)),LEN(LEFT('Bittrex Data'!B716,SEARCH("-",'Bittrex Data'!B716,1)))-1))</f>
        <v/>
      </c>
      <c r="E716" t="str">
        <f>IF('Bittrex Data'!B716="","",RIGHT(RIGHT('Bittrex Data'!B716,LEN('Bittrex Data'!B716)-SEARCH("-",'Bittrex Data'!B716,1)+1),LEN(RIGHT('Bittrex Data'!B716,LEN('Bittrex Data'!B716)-SEARCH("-",'Bittrex Data'!B716,1)+1))-1))</f>
        <v/>
      </c>
      <c r="F716" t="str">
        <f>IF('Bittrex Data'!C716="","",IF('Bittrex Data'!C716="Limit_Sell",'Bittrex Data'!G716-'Bittrex Data'!F716,IF('Bittrex Data'!C716="Limit_Buy",'Bittrex Data'!G716+'Bittrex Data'!F716,"")))</f>
        <v/>
      </c>
      <c r="G716" t="str">
        <f>IF('Bittrex Data'!B716="","",'Bittrex Data'!D716)</f>
        <v/>
      </c>
      <c r="H716" t="str">
        <f>IF('Bittrex Data'!C716="","",IF(Bittrex!C716="Buy",Bittrex!D716,IF(Bittrex!C716="Sale",Bittrex!E716,IF(AND(Bittrex!C716="Trade",'Bittrex Data'!C716="Limit_Sell"),Bittrex!E716,IF(AND(Bittrex!C716="Trade",'Bittrex Data'!C716="Limit_Buy"),Bittrex!D716,"")))))</f>
        <v/>
      </c>
      <c r="I716" t="str">
        <f>IF('Bittrex Data'!C716="","",IF(Bittrex!C716="Buy",F716,IF(C716="Sale",Bittrex!G716,IF(AND(C716="Trade",'Bittrex Data'!C716="Limit_Sell"),Bittrex!G716,IF(AND(Bittrex!C716="Trade",'Bittrex Data'!C716="Limit_Buy"),F716,"")))))</f>
        <v/>
      </c>
      <c r="J716" t="str">
        <f>IF('Bittrex Data'!B716="","",IF('Bittrex Data'!B716="","",IF(Bittrex!H716=Bittrex!E716,D716,Bittrex!E716)))</f>
        <v/>
      </c>
      <c r="K716" t="str">
        <f>IF('Bittrex Data'!B716="","",IF(Bittrex!I716=Bittrex!G716,Bittrex!F716,Bittrex!G716))</f>
        <v/>
      </c>
    </row>
    <row r="717" spans="3:11" x14ac:dyDescent="0.2">
      <c r="C717" t="str">
        <f>IF('Bittrex Data'!A717="","",IF(AND('Bittrex Data'!C717="LIMIT_SELL",Bittrex!D717="USD"),"Sale",IF(AND('Bittrex Data'!C717="LIMIT_BUY",Bittrex!D717="USD"),"Buy","Trade")))</f>
        <v/>
      </c>
      <c r="D717" t="str">
        <f>IF('Bittrex Data'!B717="","",LEFT(LEFT('Bittrex Data'!B717,SEARCH("-",'Bittrex Data'!B717,1)),LEN(LEFT('Bittrex Data'!B717,SEARCH("-",'Bittrex Data'!B717,1)))-1))</f>
        <v/>
      </c>
      <c r="E717" t="str">
        <f>IF('Bittrex Data'!B717="","",RIGHT(RIGHT('Bittrex Data'!B717,LEN('Bittrex Data'!B717)-SEARCH("-",'Bittrex Data'!B717,1)+1),LEN(RIGHT('Bittrex Data'!B717,LEN('Bittrex Data'!B717)-SEARCH("-",'Bittrex Data'!B717,1)+1))-1))</f>
        <v/>
      </c>
      <c r="F717" t="str">
        <f>IF('Bittrex Data'!C717="","",IF('Bittrex Data'!C717="Limit_Sell",'Bittrex Data'!G717-'Bittrex Data'!F717,IF('Bittrex Data'!C717="Limit_Buy",'Bittrex Data'!G717+'Bittrex Data'!F717,"")))</f>
        <v/>
      </c>
      <c r="G717" t="str">
        <f>IF('Bittrex Data'!B717="","",'Bittrex Data'!D717)</f>
        <v/>
      </c>
      <c r="H717" t="str">
        <f>IF('Bittrex Data'!C717="","",IF(Bittrex!C717="Buy",Bittrex!D717,IF(Bittrex!C717="Sale",Bittrex!E717,IF(AND(Bittrex!C717="Trade",'Bittrex Data'!C717="Limit_Sell"),Bittrex!E717,IF(AND(Bittrex!C717="Trade",'Bittrex Data'!C717="Limit_Buy"),Bittrex!D717,"")))))</f>
        <v/>
      </c>
      <c r="I717" t="str">
        <f>IF('Bittrex Data'!C717="","",IF(Bittrex!C717="Buy",F717,IF(C717="Sale",Bittrex!G717,IF(AND(C717="Trade",'Bittrex Data'!C717="Limit_Sell"),Bittrex!G717,IF(AND(Bittrex!C717="Trade",'Bittrex Data'!C717="Limit_Buy"),F717,"")))))</f>
        <v/>
      </c>
      <c r="J717" t="str">
        <f>IF('Bittrex Data'!B717="","",IF('Bittrex Data'!B717="","",IF(Bittrex!H717=Bittrex!E717,D717,Bittrex!E717)))</f>
        <v/>
      </c>
      <c r="K717" t="str">
        <f>IF('Bittrex Data'!B717="","",IF(Bittrex!I717=Bittrex!G717,Bittrex!F717,Bittrex!G717))</f>
        <v/>
      </c>
    </row>
    <row r="718" spans="3:11" x14ac:dyDescent="0.2">
      <c r="C718" t="str">
        <f>IF('Bittrex Data'!A718="","",IF(AND('Bittrex Data'!C718="LIMIT_SELL",Bittrex!D718="USD"),"Sale",IF(AND('Bittrex Data'!C718="LIMIT_BUY",Bittrex!D718="USD"),"Buy","Trade")))</f>
        <v/>
      </c>
      <c r="D718" t="str">
        <f>IF('Bittrex Data'!B718="","",LEFT(LEFT('Bittrex Data'!B718,SEARCH("-",'Bittrex Data'!B718,1)),LEN(LEFT('Bittrex Data'!B718,SEARCH("-",'Bittrex Data'!B718,1)))-1))</f>
        <v/>
      </c>
      <c r="E718" t="str">
        <f>IF('Bittrex Data'!B718="","",RIGHT(RIGHT('Bittrex Data'!B718,LEN('Bittrex Data'!B718)-SEARCH("-",'Bittrex Data'!B718,1)+1),LEN(RIGHT('Bittrex Data'!B718,LEN('Bittrex Data'!B718)-SEARCH("-",'Bittrex Data'!B718,1)+1))-1))</f>
        <v/>
      </c>
      <c r="F718" t="str">
        <f>IF('Bittrex Data'!C718="","",IF('Bittrex Data'!C718="Limit_Sell",'Bittrex Data'!G718-'Bittrex Data'!F718,IF('Bittrex Data'!C718="Limit_Buy",'Bittrex Data'!G718+'Bittrex Data'!F718,"")))</f>
        <v/>
      </c>
      <c r="G718" t="str">
        <f>IF('Bittrex Data'!B718="","",'Bittrex Data'!D718)</f>
        <v/>
      </c>
      <c r="H718" t="str">
        <f>IF('Bittrex Data'!C718="","",IF(Bittrex!C718="Buy",Bittrex!D718,IF(Bittrex!C718="Sale",Bittrex!E718,IF(AND(Bittrex!C718="Trade",'Bittrex Data'!C718="Limit_Sell"),Bittrex!E718,IF(AND(Bittrex!C718="Trade",'Bittrex Data'!C718="Limit_Buy"),Bittrex!D718,"")))))</f>
        <v/>
      </c>
      <c r="I718" t="str">
        <f>IF('Bittrex Data'!C718="","",IF(Bittrex!C718="Buy",F718,IF(C718="Sale",Bittrex!G718,IF(AND(C718="Trade",'Bittrex Data'!C718="Limit_Sell"),Bittrex!G718,IF(AND(Bittrex!C718="Trade",'Bittrex Data'!C718="Limit_Buy"),F718,"")))))</f>
        <v/>
      </c>
      <c r="J718" t="str">
        <f>IF('Bittrex Data'!B718="","",IF('Bittrex Data'!B718="","",IF(Bittrex!H718=Bittrex!E718,D718,Bittrex!E718)))</f>
        <v/>
      </c>
      <c r="K718" t="str">
        <f>IF('Bittrex Data'!B718="","",IF(Bittrex!I718=Bittrex!G718,Bittrex!F718,Bittrex!G718))</f>
        <v/>
      </c>
    </row>
    <row r="719" spans="3:11" x14ac:dyDescent="0.2">
      <c r="C719" t="str">
        <f>IF('Bittrex Data'!A719="","",IF(AND('Bittrex Data'!C719="LIMIT_SELL",Bittrex!D719="USD"),"Sale",IF(AND('Bittrex Data'!C719="LIMIT_BUY",Bittrex!D719="USD"),"Buy","Trade")))</f>
        <v/>
      </c>
      <c r="D719" t="str">
        <f>IF('Bittrex Data'!B719="","",LEFT(LEFT('Bittrex Data'!B719,SEARCH("-",'Bittrex Data'!B719,1)),LEN(LEFT('Bittrex Data'!B719,SEARCH("-",'Bittrex Data'!B719,1)))-1))</f>
        <v/>
      </c>
      <c r="E719" t="str">
        <f>IF('Bittrex Data'!B719="","",RIGHT(RIGHT('Bittrex Data'!B719,LEN('Bittrex Data'!B719)-SEARCH("-",'Bittrex Data'!B719,1)+1),LEN(RIGHT('Bittrex Data'!B719,LEN('Bittrex Data'!B719)-SEARCH("-",'Bittrex Data'!B719,1)+1))-1))</f>
        <v/>
      </c>
      <c r="F719" t="str">
        <f>IF('Bittrex Data'!C719="","",IF('Bittrex Data'!C719="Limit_Sell",'Bittrex Data'!G719-'Bittrex Data'!F719,IF('Bittrex Data'!C719="Limit_Buy",'Bittrex Data'!G719+'Bittrex Data'!F719,"")))</f>
        <v/>
      </c>
      <c r="G719" t="str">
        <f>IF('Bittrex Data'!B719="","",'Bittrex Data'!D719)</f>
        <v/>
      </c>
      <c r="H719" t="str">
        <f>IF('Bittrex Data'!C719="","",IF(Bittrex!C719="Buy",Bittrex!D719,IF(Bittrex!C719="Sale",Bittrex!E719,IF(AND(Bittrex!C719="Trade",'Bittrex Data'!C719="Limit_Sell"),Bittrex!E719,IF(AND(Bittrex!C719="Trade",'Bittrex Data'!C719="Limit_Buy"),Bittrex!D719,"")))))</f>
        <v/>
      </c>
      <c r="I719" t="str">
        <f>IF('Bittrex Data'!C719="","",IF(Bittrex!C719="Buy",F719,IF(C719="Sale",Bittrex!G719,IF(AND(C719="Trade",'Bittrex Data'!C719="Limit_Sell"),Bittrex!G719,IF(AND(Bittrex!C719="Trade",'Bittrex Data'!C719="Limit_Buy"),F719,"")))))</f>
        <v/>
      </c>
      <c r="J719" t="str">
        <f>IF('Bittrex Data'!B719="","",IF('Bittrex Data'!B719="","",IF(Bittrex!H719=Bittrex!E719,D719,Bittrex!E719)))</f>
        <v/>
      </c>
      <c r="K719" t="str">
        <f>IF('Bittrex Data'!B719="","",IF(Bittrex!I719=Bittrex!G719,Bittrex!F719,Bittrex!G719))</f>
        <v/>
      </c>
    </row>
    <row r="720" spans="3:11" x14ac:dyDescent="0.2">
      <c r="C720" t="str">
        <f>IF('Bittrex Data'!A720="","",IF(AND('Bittrex Data'!C720="LIMIT_SELL",Bittrex!D720="USD"),"Sale",IF(AND('Bittrex Data'!C720="LIMIT_BUY",Bittrex!D720="USD"),"Buy","Trade")))</f>
        <v/>
      </c>
      <c r="D720" t="str">
        <f>IF('Bittrex Data'!B720="","",LEFT(LEFT('Bittrex Data'!B720,SEARCH("-",'Bittrex Data'!B720,1)),LEN(LEFT('Bittrex Data'!B720,SEARCH("-",'Bittrex Data'!B720,1)))-1))</f>
        <v/>
      </c>
      <c r="E720" t="str">
        <f>IF('Bittrex Data'!B720="","",RIGHT(RIGHT('Bittrex Data'!B720,LEN('Bittrex Data'!B720)-SEARCH("-",'Bittrex Data'!B720,1)+1),LEN(RIGHT('Bittrex Data'!B720,LEN('Bittrex Data'!B720)-SEARCH("-",'Bittrex Data'!B720,1)+1))-1))</f>
        <v/>
      </c>
      <c r="F720" t="str">
        <f>IF('Bittrex Data'!C720="","",IF('Bittrex Data'!C720="Limit_Sell",'Bittrex Data'!G720-'Bittrex Data'!F720,IF('Bittrex Data'!C720="Limit_Buy",'Bittrex Data'!G720+'Bittrex Data'!F720,"")))</f>
        <v/>
      </c>
      <c r="G720" t="str">
        <f>IF('Bittrex Data'!B720="","",'Bittrex Data'!D720)</f>
        <v/>
      </c>
      <c r="H720" t="str">
        <f>IF('Bittrex Data'!C720="","",IF(Bittrex!C720="Buy",Bittrex!D720,IF(Bittrex!C720="Sale",Bittrex!E720,IF(AND(Bittrex!C720="Trade",'Bittrex Data'!C720="Limit_Sell"),Bittrex!E720,IF(AND(Bittrex!C720="Trade",'Bittrex Data'!C720="Limit_Buy"),Bittrex!D720,"")))))</f>
        <v/>
      </c>
      <c r="I720" t="str">
        <f>IF('Bittrex Data'!C720="","",IF(Bittrex!C720="Buy",F720,IF(C720="Sale",Bittrex!G720,IF(AND(C720="Trade",'Bittrex Data'!C720="Limit_Sell"),Bittrex!G720,IF(AND(Bittrex!C720="Trade",'Bittrex Data'!C720="Limit_Buy"),F720,"")))))</f>
        <v/>
      </c>
      <c r="J720" t="str">
        <f>IF('Bittrex Data'!B720="","",IF('Bittrex Data'!B720="","",IF(Bittrex!H720=Bittrex!E720,D720,Bittrex!E720)))</f>
        <v/>
      </c>
      <c r="K720" t="str">
        <f>IF('Bittrex Data'!B720="","",IF(Bittrex!I720=Bittrex!G720,Bittrex!F720,Bittrex!G720))</f>
        <v/>
      </c>
    </row>
    <row r="721" spans="3:11" x14ac:dyDescent="0.2">
      <c r="C721" t="str">
        <f>IF('Bittrex Data'!A721="","",IF(AND('Bittrex Data'!C721="LIMIT_SELL",Bittrex!D721="USD"),"Sale",IF(AND('Bittrex Data'!C721="LIMIT_BUY",Bittrex!D721="USD"),"Buy","Trade")))</f>
        <v/>
      </c>
      <c r="D721" t="str">
        <f>IF('Bittrex Data'!B721="","",LEFT(LEFT('Bittrex Data'!B721,SEARCH("-",'Bittrex Data'!B721,1)),LEN(LEFT('Bittrex Data'!B721,SEARCH("-",'Bittrex Data'!B721,1)))-1))</f>
        <v/>
      </c>
      <c r="E721" t="str">
        <f>IF('Bittrex Data'!B721="","",RIGHT(RIGHT('Bittrex Data'!B721,LEN('Bittrex Data'!B721)-SEARCH("-",'Bittrex Data'!B721,1)+1),LEN(RIGHT('Bittrex Data'!B721,LEN('Bittrex Data'!B721)-SEARCH("-",'Bittrex Data'!B721,1)+1))-1))</f>
        <v/>
      </c>
      <c r="F721" t="str">
        <f>IF('Bittrex Data'!C721="","",IF('Bittrex Data'!C721="Limit_Sell",'Bittrex Data'!G721-'Bittrex Data'!F721,IF('Bittrex Data'!C721="Limit_Buy",'Bittrex Data'!G721+'Bittrex Data'!F721,"")))</f>
        <v/>
      </c>
      <c r="G721" t="str">
        <f>IF('Bittrex Data'!B721="","",'Bittrex Data'!D721)</f>
        <v/>
      </c>
      <c r="H721" t="str">
        <f>IF('Bittrex Data'!C721="","",IF(Bittrex!C721="Buy",Bittrex!D721,IF(Bittrex!C721="Sale",Bittrex!E721,IF(AND(Bittrex!C721="Trade",'Bittrex Data'!C721="Limit_Sell"),Bittrex!E721,IF(AND(Bittrex!C721="Trade",'Bittrex Data'!C721="Limit_Buy"),Bittrex!D721,"")))))</f>
        <v/>
      </c>
      <c r="I721" t="str">
        <f>IF('Bittrex Data'!C721="","",IF(Bittrex!C721="Buy",F721,IF(C721="Sale",Bittrex!G721,IF(AND(C721="Trade",'Bittrex Data'!C721="Limit_Sell"),Bittrex!G721,IF(AND(Bittrex!C721="Trade",'Bittrex Data'!C721="Limit_Buy"),F721,"")))))</f>
        <v/>
      </c>
      <c r="J721" t="str">
        <f>IF('Bittrex Data'!B721="","",IF('Bittrex Data'!B721="","",IF(Bittrex!H721=Bittrex!E721,D721,Bittrex!E721)))</f>
        <v/>
      </c>
      <c r="K721" t="str">
        <f>IF('Bittrex Data'!B721="","",IF(Bittrex!I721=Bittrex!G721,Bittrex!F721,Bittrex!G721))</f>
        <v/>
      </c>
    </row>
    <row r="722" spans="3:11" x14ac:dyDescent="0.2">
      <c r="C722" t="str">
        <f>IF('Bittrex Data'!A722="","",IF(AND('Bittrex Data'!C722="LIMIT_SELL",Bittrex!D722="USD"),"Sale",IF(AND('Bittrex Data'!C722="LIMIT_BUY",Bittrex!D722="USD"),"Buy","Trade")))</f>
        <v/>
      </c>
      <c r="D722" t="str">
        <f>IF('Bittrex Data'!B722="","",LEFT(LEFT('Bittrex Data'!B722,SEARCH("-",'Bittrex Data'!B722,1)),LEN(LEFT('Bittrex Data'!B722,SEARCH("-",'Bittrex Data'!B722,1)))-1))</f>
        <v/>
      </c>
      <c r="E722" t="str">
        <f>IF('Bittrex Data'!B722="","",RIGHT(RIGHT('Bittrex Data'!B722,LEN('Bittrex Data'!B722)-SEARCH("-",'Bittrex Data'!B722,1)+1),LEN(RIGHT('Bittrex Data'!B722,LEN('Bittrex Data'!B722)-SEARCH("-",'Bittrex Data'!B722,1)+1))-1))</f>
        <v/>
      </c>
      <c r="F722" t="str">
        <f>IF('Bittrex Data'!C722="","",IF('Bittrex Data'!C722="Limit_Sell",'Bittrex Data'!G722-'Bittrex Data'!F722,IF('Bittrex Data'!C722="Limit_Buy",'Bittrex Data'!G722+'Bittrex Data'!F722,"")))</f>
        <v/>
      </c>
      <c r="G722" t="str">
        <f>IF('Bittrex Data'!B722="","",'Bittrex Data'!D722)</f>
        <v/>
      </c>
      <c r="H722" t="str">
        <f>IF('Bittrex Data'!C722="","",IF(Bittrex!C722="Buy",Bittrex!D722,IF(Bittrex!C722="Sale",Bittrex!E722,IF(AND(Bittrex!C722="Trade",'Bittrex Data'!C722="Limit_Sell"),Bittrex!E722,IF(AND(Bittrex!C722="Trade",'Bittrex Data'!C722="Limit_Buy"),Bittrex!D722,"")))))</f>
        <v/>
      </c>
      <c r="I722" t="str">
        <f>IF('Bittrex Data'!C722="","",IF(Bittrex!C722="Buy",F722,IF(C722="Sale",Bittrex!G722,IF(AND(C722="Trade",'Bittrex Data'!C722="Limit_Sell"),Bittrex!G722,IF(AND(Bittrex!C722="Trade",'Bittrex Data'!C722="Limit_Buy"),F722,"")))))</f>
        <v/>
      </c>
      <c r="J722" t="str">
        <f>IF('Bittrex Data'!B722="","",IF('Bittrex Data'!B722="","",IF(Bittrex!H722=Bittrex!E722,D722,Bittrex!E722)))</f>
        <v/>
      </c>
      <c r="K722" t="str">
        <f>IF('Bittrex Data'!B722="","",IF(Bittrex!I722=Bittrex!G722,Bittrex!F722,Bittrex!G722))</f>
        <v/>
      </c>
    </row>
    <row r="723" spans="3:11" x14ac:dyDescent="0.2">
      <c r="C723" t="str">
        <f>IF('Bittrex Data'!A723="","",IF(AND('Bittrex Data'!C723="LIMIT_SELL",Bittrex!D723="USD"),"Sale",IF(AND('Bittrex Data'!C723="LIMIT_BUY",Bittrex!D723="USD"),"Buy","Trade")))</f>
        <v/>
      </c>
      <c r="D723" t="str">
        <f>IF('Bittrex Data'!B723="","",LEFT(LEFT('Bittrex Data'!B723,SEARCH("-",'Bittrex Data'!B723,1)),LEN(LEFT('Bittrex Data'!B723,SEARCH("-",'Bittrex Data'!B723,1)))-1))</f>
        <v/>
      </c>
      <c r="E723" t="str">
        <f>IF('Bittrex Data'!B723="","",RIGHT(RIGHT('Bittrex Data'!B723,LEN('Bittrex Data'!B723)-SEARCH("-",'Bittrex Data'!B723,1)+1),LEN(RIGHT('Bittrex Data'!B723,LEN('Bittrex Data'!B723)-SEARCH("-",'Bittrex Data'!B723,1)+1))-1))</f>
        <v/>
      </c>
      <c r="F723" t="str">
        <f>IF('Bittrex Data'!C723="","",IF('Bittrex Data'!C723="Limit_Sell",'Bittrex Data'!G723-'Bittrex Data'!F723,IF('Bittrex Data'!C723="Limit_Buy",'Bittrex Data'!G723+'Bittrex Data'!F723,"")))</f>
        <v/>
      </c>
      <c r="G723" t="str">
        <f>IF('Bittrex Data'!B723="","",'Bittrex Data'!D723)</f>
        <v/>
      </c>
      <c r="H723" t="str">
        <f>IF('Bittrex Data'!C723="","",IF(Bittrex!C723="Buy",Bittrex!D723,IF(Bittrex!C723="Sale",Bittrex!E723,IF(AND(Bittrex!C723="Trade",'Bittrex Data'!C723="Limit_Sell"),Bittrex!E723,IF(AND(Bittrex!C723="Trade",'Bittrex Data'!C723="Limit_Buy"),Bittrex!D723,"")))))</f>
        <v/>
      </c>
      <c r="I723" t="str">
        <f>IF('Bittrex Data'!C723="","",IF(Bittrex!C723="Buy",F723,IF(C723="Sale",Bittrex!G723,IF(AND(C723="Trade",'Bittrex Data'!C723="Limit_Sell"),Bittrex!G723,IF(AND(Bittrex!C723="Trade",'Bittrex Data'!C723="Limit_Buy"),F723,"")))))</f>
        <v/>
      </c>
      <c r="J723" t="str">
        <f>IF('Bittrex Data'!B723="","",IF('Bittrex Data'!B723="","",IF(Bittrex!H723=Bittrex!E723,D723,Bittrex!E723)))</f>
        <v/>
      </c>
      <c r="K723" t="str">
        <f>IF('Bittrex Data'!B723="","",IF(Bittrex!I723=Bittrex!G723,Bittrex!F723,Bittrex!G723))</f>
        <v/>
      </c>
    </row>
    <row r="724" spans="3:11" x14ac:dyDescent="0.2">
      <c r="C724" t="str">
        <f>IF('Bittrex Data'!A724="","",IF(AND('Bittrex Data'!C724="LIMIT_SELL",Bittrex!D724="USD"),"Sale",IF(AND('Bittrex Data'!C724="LIMIT_BUY",Bittrex!D724="USD"),"Buy","Trade")))</f>
        <v/>
      </c>
      <c r="D724" t="str">
        <f>IF('Bittrex Data'!B724="","",LEFT(LEFT('Bittrex Data'!B724,SEARCH("-",'Bittrex Data'!B724,1)),LEN(LEFT('Bittrex Data'!B724,SEARCH("-",'Bittrex Data'!B724,1)))-1))</f>
        <v/>
      </c>
      <c r="E724" t="str">
        <f>IF('Bittrex Data'!B724="","",RIGHT(RIGHT('Bittrex Data'!B724,LEN('Bittrex Data'!B724)-SEARCH("-",'Bittrex Data'!B724,1)+1),LEN(RIGHT('Bittrex Data'!B724,LEN('Bittrex Data'!B724)-SEARCH("-",'Bittrex Data'!B724,1)+1))-1))</f>
        <v/>
      </c>
      <c r="F724" t="str">
        <f>IF('Bittrex Data'!C724="","",IF('Bittrex Data'!C724="Limit_Sell",'Bittrex Data'!G724-'Bittrex Data'!F724,IF('Bittrex Data'!C724="Limit_Buy",'Bittrex Data'!G724+'Bittrex Data'!F724,"")))</f>
        <v/>
      </c>
      <c r="G724" t="str">
        <f>IF('Bittrex Data'!B724="","",'Bittrex Data'!D724)</f>
        <v/>
      </c>
      <c r="H724" t="str">
        <f>IF('Bittrex Data'!C724="","",IF(Bittrex!C724="Buy",Bittrex!D724,IF(Bittrex!C724="Sale",Bittrex!E724,IF(AND(Bittrex!C724="Trade",'Bittrex Data'!C724="Limit_Sell"),Bittrex!E724,IF(AND(Bittrex!C724="Trade",'Bittrex Data'!C724="Limit_Buy"),Bittrex!D724,"")))))</f>
        <v/>
      </c>
      <c r="I724" t="str">
        <f>IF('Bittrex Data'!C724="","",IF(Bittrex!C724="Buy",F724,IF(C724="Sale",Bittrex!G724,IF(AND(C724="Trade",'Bittrex Data'!C724="Limit_Sell"),Bittrex!G724,IF(AND(Bittrex!C724="Trade",'Bittrex Data'!C724="Limit_Buy"),F724,"")))))</f>
        <v/>
      </c>
      <c r="J724" t="str">
        <f>IF('Bittrex Data'!B724="","",IF('Bittrex Data'!B724="","",IF(Bittrex!H724=Bittrex!E724,D724,Bittrex!E724)))</f>
        <v/>
      </c>
      <c r="K724" t="str">
        <f>IF('Bittrex Data'!B724="","",IF(Bittrex!I724=Bittrex!G724,Bittrex!F724,Bittrex!G724))</f>
        <v/>
      </c>
    </row>
    <row r="725" spans="3:11" x14ac:dyDescent="0.2">
      <c r="C725" t="str">
        <f>IF('Bittrex Data'!A725="","",IF(AND('Bittrex Data'!C725="LIMIT_SELL",Bittrex!D725="USD"),"Sale",IF(AND('Bittrex Data'!C725="LIMIT_BUY",Bittrex!D725="USD"),"Buy","Trade")))</f>
        <v/>
      </c>
      <c r="D725" t="str">
        <f>IF('Bittrex Data'!B725="","",LEFT(LEFT('Bittrex Data'!B725,SEARCH("-",'Bittrex Data'!B725,1)),LEN(LEFT('Bittrex Data'!B725,SEARCH("-",'Bittrex Data'!B725,1)))-1))</f>
        <v/>
      </c>
      <c r="E725" t="str">
        <f>IF('Bittrex Data'!B725="","",RIGHT(RIGHT('Bittrex Data'!B725,LEN('Bittrex Data'!B725)-SEARCH("-",'Bittrex Data'!B725,1)+1),LEN(RIGHT('Bittrex Data'!B725,LEN('Bittrex Data'!B725)-SEARCH("-",'Bittrex Data'!B725,1)+1))-1))</f>
        <v/>
      </c>
      <c r="F725" t="str">
        <f>IF('Bittrex Data'!C725="","",IF('Bittrex Data'!C725="Limit_Sell",'Bittrex Data'!G725-'Bittrex Data'!F725,IF('Bittrex Data'!C725="Limit_Buy",'Bittrex Data'!G725+'Bittrex Data'!F725,"")))</f>
        <v/>
      </c>
      <c r="G725" t="str">
        <f>IF('Bittrex Data'!B725="","",'Bittrex Data'!D725)</f>
        <v/>
      </c>
      <c r="H725" t="str">
        <f>IF('Bittrex Data'!C725="","",IF(Bittrex!C725="Buy",Bittrex!D725,IF(Bittrex!C725="Sale",Bittrex!E725,IF(AND(Bittrex!C725="Trade",'Bittrex Data'!C725="Limit_Sell"),Bittrex!E725,IF(AND(Bittrex!C725="Trade",'Bittrex Data'!C725="Limit_Buy"),Bittrex!D725,"")))))</f>
        <v/>
      </c>
      <c r="I725" t="str">
        <f>IF('Bittrex Data'!C725="","",IF(Bittrex!C725="Buy",F725,IF(C725="Sale",Bittrex!G725,IF(AND(C725="Trade",'Bittrex Data'!C725="Limit_Sell"),Bittrex!G725,IF(AND(Bittrex!C725="Trade",'Bittrex Data'!C725="Limit_Buy"),F725,"")))))</f>
        <v/>
      </c>
      <c r="J725" t="str">
        <f>IF('Bittrex Data'!B725="","",IF('Bittrex Data'!B725="","",IF(Bittrex!H725=Bittrex!E725,D725,Bittrex!E725)))</f>
        <v/>
      </c>
      <c r="K725" t="str">
        <f>IF('Bittrex Data'!B725="","",IF(Bittrex!I725=Bittrex!G725,Bittrex!F725,Bittrex!G725))</f>
        <v/>
      </c>
    </row>
    <row r="726" spans="3:11" x14ac:dyDescent="0.2">
      <c r="C726" t="str">
        <f>IF('Bittrex Data'!A726="","",IF(AND('Bittrex Data'!C726="LIMIT_SELL",Bittrex!D726="USD"),"Sale",IF(AND('Bittrex Data'!C726="LIMIT_BUY",Bittrex!D726="USD"),"Buy","Trade")))</f>
        <v/>
      </c>
      <c r="D726" t="str">
        <f>IF('Bittrex Data'!B726="","",LEFT(LEFT('Bittrex Data'!B726,SEARCH("-",'Bittrex Data'!B726,1)),LEN(LEFT('Bittrex Data'!B726,SEARCH("-",'Bittrex Data'!B726,1)))-1))</f>
        <v/>
      </c>
      <c r="E726" t="str">
        <f>IF('Bittrex Data'!B726="","",RIGHT(RIGHT('Bittrex Data'!B726,LEN('Bittrex Data'!B726)-SEARCH("-",'Bittrex Data'!B726,1)+1),LEN(RIGHT('Bittrex Data'!B726,LEN('Bittrex Data'!B726)-SEARCH("-",'Bittrex Data'!B726,1)+1))-1))</f>
        <v/>
      </c>
      <c r="F726" t="str">
        <f>IF('Bittrex Data'!C726="","",IF('Bittrex Data'!C726="Limit_Sell",'Bittrex Data'!G726-'Bittrex Data'!F726,IF('Bittrex Data'!C726="Limit_Buy",'Bittrex Data'!G726+'Bittrex Data'!F726,"")))</f>
        <v/>
      </c>
      <c r="G726" t="str">
        <f>IF('Bittrex Data'!B726="","",'Bittrex Data'!D726)</f>
        <v/>
      </c>
      <c r="H726" t="str">
        <f>IF('Bittrex Data'!C726="","",IF(Bittrex!C726="Buy",Bittrex!D726,IF(Bittrex!C726="Sale",Bittrex!E726,IF(AND(Bittrex!C726="Trade",'Bittrex Data'!C726="Limit_Sell"),Bittrex!E726,IF(AND(Bittrex!C726="Trade",'Bittrex Data'!C726="Limit_Buy"),Bittrex!D726,"")))))</f>
        <v/>
      </c>
      <c r="I726" t="str">
        <f>IF('Bittrex Data'!C726="","",IF(Bittrex!C726="Buy",F726,IF(C726="Sale",Bittrex!G726,IF(AND(C726="Trade",'Bittrex Data'!C726="Limit_Sell"),Bittrex!G726,IF(AND(Bittrex!C726="Trade",'Bittrex Data'!C726="Limit_Buy"),F726,"")))))</f>
        <v/>
      </c>
      <c r="J726" t="str">
        <f>IF('Bittrex Data'!B726="","",IF('Bittrex Data'!B726="","",IF(Bittrex!H726=Bittrex!E726,D726,Bittrex!E726)))</f>
        <v/>
      </c>
      <c r="K726" t="str">
        <f>IF('Bittrex Data'!B726="","",IF(Bittrex!I726=Bittrex!G726,Bittrex!F726,Bittrex!G726))</f>
        <v/>
      </c>
    </row>
    <row r="727" spans="3:11" x14ac:dyDescent="0.2">
      <c r="C727" t="str">
        <f>IF('Bittrex Data'!A727="","",IF(AND('Bittrex Data'!C727="LIMIT_SELL",Bittrex!D727="USD"),"Sale",IF(AND('Bittrex Data'!C727="LIMIT_BUY",Bittrex!D727="USD"),"Buy","Trade")))</f>
        <v/>
      </c>
      <c r="D727" t="str">
        <f>IF('Bittrex Data'!B727="","",LEFT(LEFT('Bittrex Data'!B727,SEARCH("-",'Bittrex Data'!B727,1)),LEN(LEFT('Bittrex Data'!B727,SEARCH("-",'Bittrex Data'!B727,1)))-1))</f>
        <v/>
      </c>
      <c r="E727" t="str">
        <f>IF('Bittrex Data'!B727="","",RIGHT(RIGHT('Bittrex Data'!B727,LEN('Bittrex Data'!B727)-SEARCH("-",'Bittrex Data'!B727,1)+1),LEN(RIGHT('Bittrex Data'!B727,LEN('Bittrex Data'!B727)-SEARCH("-",'Bittrex Data'!B727,1)+1))-1))</f>
        <v/>
      </c>
      <c r="F727" t="str">
        <f>IF('Bittrex Data'!C727="","",IF('Bittrex Data'!C727="Limit_Sell",'Bittrex Data'!G727-'Bittrex Data'!F727,IF('Bittrex Data'!C727="Limit_Buy",'Bittrex Data'!G727+'Bittrex Data'!F727,"")))</f>
        <v/>
      </c>
      <c r="G727" t="str">
        <f>IF('Bittrex Data'!B727="","",'Bittrex Data'!D727)</f>
        <v/>
      </c>
      <c r="H727" t="str">
        <f>IF('Bittrex Data'!C727="","",IF(Bittrex!C727="Buy",Bittrex!D727,IF(Bittrex!C727="Sale",Bittrex!E727,IF(AND(Bittrex!C727="Trade",'Bittrex Data'!C727="Limit_Sell"),Bittrex!E727,IF(AND(Bittrex!C727="Trade",'Bittrex Data'!C727="Limit_Buy"),Bittrex!D727,"")))))</f>
        <v/>
      </c>
      <c r="I727" t="str">
        <f>IF('Bittrex Data'!C727="","",IF(Bittrex!C727="Buy",F727,IF(C727="Sale",Bittrex!G727,IF(AND(C727="Trade",'Bittrex Data'!C727="Limit_Sell"),Bittrex!G727,IF(AND(Bittrex!C727="Trade",'Bittrex Data'!C727="Limit_Buy"),F727,"")))))</f>
        <v/>
      </c>
      <c r="J727" t="str">
        <f>IF('Bittrex Data'!B727="","",IF('Bittrex Data'!B727="","",IF(Bittrex!H727=Bittrex!E727,D727,Bittrex!E727)))</f>
        <v/>
      </c>
      <c r="K727" t="str">
        <f>IF('Bittrex Data'!B727="","",IF(Bittrex!I727=Bittrex!G727,Bittrex!F727,Bittrex!G727))</f>
        <v/>
      </c>
    </row>
    <row r="728" spans="3:11" x14ac:dyDescent="0.2">
      <c r="C728" t="str">
        <f>IF('Bittrex Data'!A728="","",IF(AND('Bittrex Data'!C728="LIMIT_SELL",Bittrex!D728="USD"),"Sale",IF(AND('Bittrex Data'!C728="LIMIT_BUY",Bittrex!D728="USD"),"Buy","Trade")))</f>
        <v/>
      </c>
      <c r="D728" t="str">
        <f>IF('Bittrex Data'!B728="","",LEFT(LEFT('Bittrex Data'!B728,SEARCH("-",'Bittrex Data'!B728,1)),LEN(LEFT('Bittrex Data'!B728,SEARCH("-",'Bittrex Data'!B728,1)))-1))</f>
        <v/>
      </c>
      <c r="E728" t="str">
        <f>IF('Bittrex Data'!B728="","",RIGHT(RIGHT('Bittrex Data'!B728,LEN('Bittrex Data'!B728)-SEARCH("-",'Bittrex Data'!B728,1)+1),LEN(RIGHT('Bittrex Data'!B728,LEN('Bittrex Data'!B728)-SEARCH("-",'Bittrex Data'!B728,1)+1))-1))</f>
        <v/>
      </c>
      <c r="F728" t="str">
        <f>IF('Bittrex Data'!C728="","",IF('Bittrex Data'!C728="Limit_Sell",'Bittrex Data'!G728-'Bittrex Data'!F728,IF('Bittrex Data'!C728="Limit_Buy",'Bittrex Data'!G728+'Bittrex Data'!F728,"")))</f>
        <v/>
      </c>
      <c r="G728" t="str">
        <f>IF('Bittrex Data'!B728="","",'Bittrex Data'!D728)</f>
        <v/>
      </c>
      <c r="H728" t="str">
        <f>IF('Bittrex Data'!C728="","",IF(Bittrex!C728="Buy",Bittrex!D728,IF(Bittrex!C728="Sale",Bittrex!E728,IF(AND(Bittrex!C728="Trade",'Bittrex Data'!C728="Limit_Sell"),Bittrex!E728,IF(AND(Bittrex!C728="Trade",'Bittrex Data'!C728="Limit_Buy"),Bittrex!D728,"")))))</f>
        <v/>
      </c>
      <c r="I728" t="str">
        <f>IF('Bittrex Data'!C728="","",IF(Bittrex!C728="Buy",F728,IF(C728="Sale",Bittrex!G728,IF(AND(C728="Trade",'Bittrex Data'!C728="Limit_Sell"),Bittrex!G728,IF(AND(Bittrex!C728="Trade",'Bittrex Data'!C728="Limit_Buy"),F728,"")))))</f>
        <v/>
      </c>
      <c r="J728" t="str">
        <f>IF('Bittrex Data'!B728="","",IF('Bittrex Data'!B728="","",IF(Bittrex!H728=Bittrex!E728,D728,Bittrex!E728)))</f>
        <v/>
      </c>
      <c r="K728" t="str">
        <f>IF('Bittrex Data'!B728="","",IF(Bittrex!I728=Bittrex!G728,Bittrex!F728,Bittrex!G728))</f>
        <v/>
      </c>
    </row>
    <row r="729" spans="3:11" x14ac:dyDescent="0.2">
      <c r="C729" t="str">
        <f>IF('Bittrex Data'!A729="","",IF(AND('Bittrex Data'!C729="LIMIT_SELL",Bittrex!D729="USD"),"Sale",IF(AND('Bittrex Data'!C729="LIMIT_BUY",Bittrex!D729="USD"),"Buy","Trade")))</f>
        <v/>
      </c>
      <c r="D729" t="str">
        <f>IF('Bittrex Data'!B729="","",LEFT(LEFT('Bittrex Data'!B729,SEARCH("-",'Bittrex Data'!B729,1)),LEN(LEFT('Bittrex Data'!B729,SEARCH("-",'Bittrex Data'!B729,1)))-1))</f>
        <v/>
      </c>
      <c r="E729" t="str">
        <f>IF('Bittrex Data'!B729="","",RIGHT(RIGHT('Bittrex Data'!B729,LEN('Bittrex Data'!B729)-SEARCH("-",'Bittrex Data'!B729,1)+1),LEN(RIGHT('Bittrex Data'!B729,LEN('Bittrex Data'!B729)-SEARCH("-",'Bittrex Data'!B729,1)+1))-1))</f>
        <v/>
      </c>
      <c r="F729" t="str">
        <f>IF('Bittrex Data'!C729="","",IF('Bittrex Data'!C729="Limit_Sell",'Bittrex Data'!G729-'Bittrex Data'!F729,IF('Bittrex Data'!C729="Limit_Buy",'Bittrex Data'!G729+'Bittrex Data'!F729,"")))</f>
        <v/>
      </c>
      <c r="G729" t="str">
        <f>IF('Bittrex Data'!B729="","",'Bittrex Data'!D729)</f>
        <v/>
      </c>
      <c r="H729" t="str">
        <f>IF('Bittrex Data'!C729="","",IF(Bittrex!C729="Buy",Bittrex!D729,IF(Bittrex!C729="Sale",Bittrex!E729,IF(AND(Bittrex!C729="Trade",'Bittrex Data'!C729="Limit_Sell"),Bittrex!E729,IF(AND(Bittrex!C729="Trade",'Bittrex Data'!C729="Limit_Buy"),Bittrex!D729,"")))))</f>
        <v/>
      </c>
      <c r="I729" t="str">
        <f>IF('Bittrex Data'!C729="","",IF(Bittrex!C729="Buy",F729,IF(C729="Sale",Bittrex!G729,IF(AND(C729="Trade",'Bittrex Data'!C729="Limit_Sell"),Bittrex!G729,IF(AND(Bittrex!C729="Trade",'Bittrex Data'!C729="Limit_Buy"),F729,"")))))</f>
        <v/>
      </c>
      <c r="J729" t="str">
        <f>IF('Bittrex Data'!B729="","",IF('Bittrex Data'!B729="","",IF(Bittrex!H729=Bittrex!E729,D729,Bittrex!E729)))</f>
        <v/>
      </c>
      <c r="K729" t="str">
        <f>IF('Bittrex Data'!B729="","",IF(Bittrex!I729=Bittrex!G729,Bittrex!F729,Bittrex!G729))</f>
        <v/>
      </c>
    </row>
    <row r="730" spans="3:11" x14ac:dyDescent="0.2">
      <c r="C730" t="str">
        <f>IF('Bittrex Data'!A730="","",IF(AND('Bittrex Data'!C730="LIMIT_SELL",Bittrex!D730="USD"),"Sale",IF(AND('Bittrex Data'!C730="LIMIT_BUY",Bittrex!D730="USD"),"Buy","Trade")))</f>
        <v/>
      </c>
      <c r="D730" t="str">
        <f>IF('Bittrex Data'!B730="","",LEFT(LEFT('Bittrex Data'!B730,SEARCH("-",'Bittrex Data'!B730,1)),LEN(LEFT('Bittrex Data'!B730,SEARCH("-",'Bittrex Data'!B730,1)))-1))</f>
        <v/>
      </c>
      <c r="E730" t="str">
        <f>IF('Bittrex Data'!B730="","",RIGHT(RIGHT('Bittrex Data'!B730,LEN('Bittrex Data'!B730)-SEARCH("-",'Bittrex Data'!B730,1)+1),LEN(RIGHT('Bittrex Data'!B730,LEN('Bittrex Data'!B730)-SEARCH("-",'Bittrex Data'!B730,1)+1))-1))</f>
        <v/>
      </c>
      <c r="F730" t="str">
        <f>IF('Bittrex Data'!C730="","",IF('Bittrex Data'!C730="Limit_Sell",'Bittrex Data'!G730-'Bittrex Data'!F730,IF('Bittrex Data'!C730="Limit_Buy",'Bittrex Data'!G730+'Bittrex Data'!F730,"")))</f>
        <v/>
      </c>
      <c r="G730" t="str">
        <f>IF('Bittrex Data'!B730="","",'Bittrex Data'!D730)</f>
        <v/>
      </c>
      <c r="H730" t="str">
        <f>IF('Bittrex Data'!C730="","",IF(Bittrex!C730="Buy",Bittrex!D730,IF(Bittrex!C730="Sale",Bittrex!E730,IF(AND(Bittrex!C730="Trade",'Bittrex Data'!C730="Limit_Sell"),Bittrex!E730,IF(AND(Bittrex!C730="Trade",'Bittrex Data'!C730="Limit_Buy"),Bittrex!D730,"")))))</f>
        <v/>
      </c>
      <c r="I730" t="str">
        <f>IF('Bittrex Data'!C730="","",IF(Bittrex!C730="Buy",F730,IF(C730="Sale",Bittrex!G730,IF(AND(C730="Trade",'Bittrex Data'!C730="Limit_Sell"),Bittrex!G730,IF(AND(Bittrex!C730="Trade",'Bittrex Data'!C730="Limit_Buy"),F730,"")))))</f>
        <v/>
      </c>
      <c r="J730" t="str">
        <f>IF('Bittrex Data'!B730="","",IF('Bittrex Data'!B730="","",IF(Bittrex!H730=Bittrex!E730,D730,Bittrex!E730)))</f>
        <v/>
      </c>
      <c r="K730" t="str">
        <f>IF('Bittrex Data'!B730="","",IF(Bittrex!I730=Bittrex!G730,Bittrex!F730,Bittrex!G730))</f>
        <v/>
      </c>
    </row>
    <row r="731" spans="3:11" x14ac:dyDescent="0.2">
      <c r="C731" t="str">
        <f>IF('Bittrex Data'!A731="","",IF(AND('Bittrex Data'!C731="LIMIT_SELL",Bittrex!D731="USD"),"Sale",IF(AND('Bittrex Data'!C731="LIMIT_BUY",Bittrex!D731="USD"),"Buy","Trade")))</f>
        <v/>
      </c>
      <c r="D731" t="str">
        <f>IF('Bittrex Data'!B731="","",LEFT(LEFT('Bittrex Data'!B731,SEARCH("-",'Bittrex Data'!B731,1)),LEN(LEFT('Bittrex Data'!B731,SEARCH("-",'Bittrex Data'!B731,1)))-1))</f>
        <v/>
      </c>
      <c r="E731" t="str">
        <f>IF('Bittrex Data'!B731="","",RIGHT(RIGHT('Bittrex Data'!B731,LEN('Bittrex Data'!B731)-SEARCH("-",'Bittrex Data'!B731,1)+1),LEN(RIGHT('Bittrex Data'!B731,LEN('Bittrex Data'!B731)-SEARCH("-",'Bittrex Data'!B731,1)+1))-1))</f>
        <v/>
      </c>
      <c r="F731" t="str">
        <f>IF('Bittrex Data'!C731="","",IF('Bittrex Data'!C731="Limit_Sell",'Bittrex Data'!G731-'Bittrex Data'!F731,IF('Bittrex Data'!C731="Limit_Buy",'Bittrex Data'!G731+'Bittrex Data'!F731,"")))</f>
        <v/>
      </c>
      <c r="G731" t="str">
        <f>IF('Bittrex Data'!B731="","",'Bittrex Data'!D731)</f>
        <v/>
      </c>
      <c r="H731" t="str">
        <f>IF('Bittrex Data'!C731="","",IF(Bittrex!C731="Buy",Bittrex!D731,IF(Bittrex!C731="Sale",Bittrex!E731,IF(AND(Bittrex!C731="Trade",'Bittrex Data'!C731="Limit_Sell"),Bittrex!E731,IF(AND(Bittrex!C731="Trade",'Bittrex Data'!C731="Limit_Buy"),Bittrex!D731,"")))))</f>
        <v/>
      </c>
      <c r="I731" t="str">
        <f>IF('Bittrex Data'!C731="","",IF(Bittrex!C731="Buy",F731,IF(C731="Sale",Bittrex!G731,IF(AND(C731="Trade",'Bittrex Data'!C731="Limit_Sell"),Bittrex!G731,IF(AND(Bittrex!C731="Trade",'Bittrex Data'!C731="Limit_Buy"),F731,"")))))</f>
        <v/>
      </c>
      <c r="J731" t="str">
        <f>IF('Bittrex Data'!B731="","",IF('Bittrex Data'!B731="","",IF(Bittrex!H731=Bittrex!E731,D731,Bittrex!E731)))</f>
        <v/>
      </c>
      <c r="K731" t="str">
        <f>IF('Bittrex Data'!B731="","",IF(Bittrex!I731=Bittrex!G731,Bittrex!F731,Bittrex!G731))</f>
        <v/>
      </c>
    </row>
    <row r="732" spans="3:11" x14ac:dyDescent="0.2">
      <c r="C732" t="str">
        <f>IF('Bittrex Data'!A732="","",IF(AND('Bittrex Data'!C732="LIMIT_SELL",Bittrex!D732="USD"),"Sale",IF(AND('Bittrex Data'!C732="LIMIT_BUY",Bittrex!D732="USD"),"Buy","Trade")))</f>
        <v/>
      </c>
      <c r="D732" t="str">
        <f>IF('Bittrex Data'!B732="","",LEFT(LEFT('Bittrex Data'!B732,SEARCH("-",'Bittrex Data'!B732,1)),LEN(LEFT('Bittrex Data'!B732,SEARCH("-",'Bittrex Data'!B732,1)))-1))</f>
        <v/>
      </c>
      <c r="E732" t="str">
        <f>IF('Bittrex Data'!B732="","",RIGHT(RIGHT('Bittrex Data'!B732,LEN('Bittrex Data'!B732)-SEARCH("-",'Bittrex Data'!B732,1)+1),LEN(RIGHT('Bittrex Data'!B732,LEN('Bittrex Data'!B732)-SEARCH("-",'Bittrex Data'!B732,1)+1))-1))</f>
        <v/>
      </c>
      <c r="F732" t="str">
        <f>IF('Bittrex Data'!C732="","",IF('Bittrex Data'!C732="Limit_Sell",'Bittrex Data'!G732-'Bittrex Data'!F732,IF('Bittrex Data'!C732="Limit_Buy",'Bittrex Data'!G732+'Bittrex Data'!F732,"")))</f>
        <v/>
      </c>
      <c r="G732" t="str">
        <f>IF('Bittrex Data'!B732="","",'Bittrex Data'!D732)</f>
        <v/>
      </c>
      <c r="H732" t="str">
        <f>IF('Bittrex Data'!C732="","",IF(Bittrex!C732="Buy",Bittrex!D732,IF(Bittrex!C732="Sale",Bittrex!E732,IF(AND(Bittrex!C732="Trade",'Bittrex Data'!C732="Limit_Sell"),Bittrex!E732,IF(AND(Bittrex!C732="Trade",'Bittrex Data'!C732="Limit_Buy"),Bittrex!D732,"")))))</f>
        <v/>
      </c>
      <c r="I732" t="str">
        <f>IF('Bittrex Data'!C732="","",IF(Bittrex!C732="Buy",F732,IF(C732="Sale",Bittrex!G732,IF(AND(C732="Trade",'Bittrex Data'!C732="Limit_Sell"),Bittrex!G732,IF(AND(Bittrex!C732="Trade",'Bittrex Data'!C732="Limit_Buy"),F732,"")))))</f>
        <v/>
      </c>
      <c r="J732" t="str">
        <f>IF('Bittrex Data'!B732="","",IF('Bittrex Data'!B732="","",IF(Bittrex!H732=Bittrex!E732,D732,Bittrex!E732)))</f>
        <v/>
      </c>
      <c r="K732" t="str">
        <f>IF('Bittrex Data'!B732="","",IF(Bittrex!I732=Bittrex!G732,Bittrex!F732,Bittrex!G732))</f>
        <v/>
      </c>
    </row>
    <row r="733" spans="3:11" x14ac:dyDescent="0.2">
      <c r="C733" t="str">
        <f>IF('Bittrex Data'!A733="","",IF(AND('Bittrex Data'!C733="LIMIT_SELL",Bittrex!D733="USD"),"Sale",IF(AND('Bittrex Data'!C733="LIMIT_BUY",Bittrex!D733="USD"),"Buy","Trade")))</f>
        <v/>
      </c>
      <c r="D733" t="str">
        <f>IF('Bittrex Data'!B733="","",LEFT(LEFT('Bittrex Data'!B733,SEARCH("-",'Bittrex Data'!B733,1)),LEN(LEFT('Bittrex Data'!B733,SEARCH("-",'Bittrex Data'!B733,1)))-1))</f>
        <v/>
      </c>
      <c r="E733" t="str">
        <f>IF('Bittrex Data'!B733="","",RIGHT(RIGHT('Bittrex Data'!B733,LEN('Bittrex Data'!B733)-SEARCH("-",'Bittrex Data'!B733,1)+1),LEN(RIGHT('Bittrex Data'!B733,LEN('Bittrex Data'!B733)-SEARCH("-",'Bittrex Data'!B733,1)+1))-1))</f>
        <v/>
      </c>
      <c r="F733" t="str">
        <f>IF('Bittrex Data'!C733="","",IF('Bittrex Data'!C733="Limit_Sell",'Bittrex Data'!G733-'Bittrex Data'!F733,IF('Bittrex Data'!C733="Limit_Buy",'Bittrex Data'!G733+'Bittrex Data'!F733,"")))</f>
        <v/>
      </c>
      <c r="G733" t="str">
        <f>IF('Bittrex Data'!B733="","",'Bittrex Data'!D733)</f>
        <v/>
      </c>
      <c r="H733" t="str">
        <f>IF('Bittrex Data'!C733="","",IF(Bittrex!C733="Buy",Bittrex!D733,IF(Bittrex!C733="Sale",Bittrex!E733,IF(AND(Bittrex!C733="Trade",'Bittrex Data'!C733="Limit_Sell"),Bittrex!E733,IF(AND(Bittrex!C733="Trade",'Bittrex Data'!C733="Limit_Buy"),Bittrex!D733,"")))))</f>
        <v/>
      </c>
      <c r="I733" t="str">
        <f>IF('Bittrex Data'!C733="","",IF(Bittrex!C733="Buy",F733,IF(C733="Sale",Bittrex!G733,IF(AND(C733="Trade",'Bittrex Data'!C733="Limit_Sell"),Bittrex!G733,IF(AND(Bittrex!C733="Trade",'Bittrex Data'!C733="Limit_Buy"),F733,"")))))</f>
        <v/>
      </c>
      <c r="J733" t="str">
        <f>IF('Bittrex Data'!B733="","",IF('Bittrex Data'!B733="","",IF(Bittrex!H733=Bittrex!E733,D733,Bittrex!E733)))</f>
        <v/>
      </c>
      <c r="K733" t="str">
        <f>IF('Bittrex Data'!B733="","",IF(Bittrex!I733=Bittrex!G733,Bittrex!F733,Bittrex!G733))</f>
        <v/>
      </c>
    </row>
    <row r="734" spans="3:11" x14ac:dyDescent="0.2">
      <c r="C734" t="str">
        <f>IF('Bittrex Data'!A734="","",IF(AND('Bittrex Data'!C734="LIMIT_SELL",Bittrex!D734="USD"),"Sale",IF(AND('Bittrex Data'!C734="LIMIT_BUY",Bittrex!D734="USD"),"Buy","Trade")))</f>
        <v/>
      </c>
      <c r="D734" t="str">
        <f>IF('Bittrex Data'!B734="","",LEFT(LEFT('Bittrex Data'!B734,SEARCH("-",'Bittrex Data'!B734,1)),LEN(LEFT('Bittrex Data'!B734,SEARCH("-",'Bittrex Data'!B734,1)))-1))</f>
        <v/>
      </c>
      <c r="E734" t="str">
        <f>IF('Bittrex Data'!B734="","",RIGHT(RIGHT('Bittrex Data'!B734,LEN('Bittrex Data'!B734)-SEARCH("-",'Bittrex Data'!B734,1)+1),LEN(RIGHT('Bittrex Data'!B734,LEN('Bittrex Data'!B734)-SEARCH("-",'Bittrex Data'!B734,1)+1))-1))</f>
        <v/>
      </c>
      <c r="F734" t="str">
        <f>IF('Bittrex Data'!C734="","",IF('Bittrex Data'!C734="Limit_Sell",'Bittrex Data'!G734-'Bittrex Data'!F734,IF('Bittrex Data'!C734="Limit_Buy",'Bittrex Data'!G734+'Bittrex Data'!F734,"")))</f>
        <v/>
      </c>
      <c r="G734" t="str">
        <f>IF('Bittrex Data'!B734="","",'Bittrex Data'!D734)</f>
        <v/>
      </c>
      <c r="H734" t="str">
        <f>IF('Bittrex Data'!C734="","",IF(Bittrex!C734="Buy",Bittrex!D734,IF(Bittrex!C734="Sale",Bittrex!E734,IF(AND(Bittrex!C734="Trade",'Bittrex Data'!C734="Limit_Sell"),Bittrex!E734,IF(AND(Bittrex!C734="Trade",'Bittrex Data'!C734="Limit_Buy"),Bittrex!D734,"")))))</f>
        <v/>
      </c>
      <c r="I734" t="str">
        <f>IF('Bittrex Data'!C734="","",IF(Bittrex!C734="Buy",F734,IF(C734="Sale",Bittrex!G734,IF(AND(C734="Trade",'Bittrex Data'!C734="Limit_Sell"),Bittrex!G734,IF(AND(Bittrex!C734="Trade",'Bittrex Data'!C734="Limit_Buy"),F734,"")))))</f>
        <v/>
      </c>
      <c r="J734" t="str">
        <f>IF('Bittrex Data'!B734="","",IF('Bittrex Data'!B734="","",IF(Bittrex!H734=Bittrex!E734,D734,Bittrex!E734)))</f>
        <v/>
      </c>
      <c r="K734" t="str">
        <f>IF('Bittrex Data'!B734="","",IF(Bittrex!I734=Bittrex!G734,Bittrex!F734,Bittrex!G734))</f>
        <v/>
      </c>
    </row>
    <row r="735" spans="3:11" x14ac:dyDescent="0.2">
      <c r="C735" t="str">
        <f>IF('Bittrex Data'!A735="","",IF(AND('Bittrex Data'!C735="LIMIT_SELL",Bittrex!D735="USD"),"Sale",IF(AND('Bittrex Data'!C735="LIMIT_BUY",Bittrex!D735="USD"),"Buy","Trade")))</f>
        <v/>
      </c>
      <c r="D735" t="str">
        <f>IF('Bittrex Data'!B735="","",LEFT(LEFT('Bittrex Data'!B735,SEARCH("-",'Bittrex Data'!B735,1)),LEN(LEFT('Bittrex Data'!B735,SEARCH("-",'Bittrex Data'!B735,1)))-1))</f>
        <v/>
      </c>
      <c r="E735" t="str">
        <f>IF('Bittrex Data'!B735="","",RIGHT(RIGHT('Bittrex Data'!B735,LEN('Bittrex Data'!B735)-SEARCH("-",'Bittrex Data'!B735,1)+1),LEN(RIGHT('Bittrex Data'!B735,LEN('Bittrex Data'!B735)-SEARCH("-",'Bittrex Data'!B735,1)+1))-1))</f>
        <v/>
      </c>
      <c r="F735" t="str">
        <f>IF('Bittrex Data'!C735="","",IF('Bittrex Data'!C735="Limit_Sell",'Bittrex Data'!G735-'Bittrex Data'!F735,IF('Bittrex Data'!C735="Limit_Buy",'Bittrex Data'!G735+'Bittrex Data'!F735,"")))</f>
        <v/>
      </c>
      <c r="G735" t="str">
        <f>IF('Bittrex Data'!B735="","",'Bittrex Data'!D735)</f>
        <v/>
      </c>
      <c r="H735" t="str">
        <f>IF('Bittrex Data'!C735="","",IF(Bittrex!C735="Buy",Bittrex!D735,IF(Bittrex!C735="Sale",Bittrex!E735,IF(AND(Bittrex!C735="Trade",'Bittrex Data'!C735="Limit_Sell"),Bittrex!E735,IF(AND(Bittrex!C735="Trade",'Bittrex Data'!C735="Limit_Buy"),Bittrex!D735,"")))))</f>
        <v/>
      </c>
      <c r="I735" t="str">
        <f>IF('Bittrex Data'!C735="","",IF(Bittrex!C735="Buy",F735,IF(C735="Sale",Bittrex!G735,IF(AND(C735="Trade",'Bittrex Data'!C735="Limit_Sell"),Bittrex!G735,IF(AND(Bittrex!C735="Trade",'Bittrex Data'!C735="Limit_Buy"),F735,"")))))</f>
        <v/>
      </c>
      <c r="J735" t="str">
        <f>IF('Bittrex Data'!B735="","",IF('Bittrex Data'!B735="","",IF(Bittrex!H735=Bittrex!E735,D735,Bittrex!E735)))</f>
        <v/>
      </c>
      <c r="K735" t="str">
        <f>IF('Bittrex Data'!B735="","",IF(Bittrex!I735=Bittrex!G735,Bittrex!F735,Bittrex!G735))</f>
        <v/>
      </c>
    </row>
    <row r="736" spans="3:11" x14ac:dyDescent="0.2">
      <c r="C736" t="str">
        <f>IF('Bittrex Data'!A736="","",IF(AND('Bittrex Data'!C736="LIMIT_SELL",Bittrex!D736="USD"),"Sale",IF(AND('Bittrex Data'!C736="LIMIT_BUY",Bittrex!D736="USD"),"Buy","Trade")))</f>
        <v/>
      </c>
      <c r="D736" t="str">
        <f>IF('Bittrex Data'!B736="","",LEFT(LEFT('Bittrex Data'!B736,SEARCH("-",'Bittrex Data'!B736,1)),LEN(LEFT('Bittrex Data'!B736,SEARCH("-",'Bittrex Data'!B736,1)))-1))</f>
        <v/>
      </c>
      <c r="E736" t="str">
        <f>IF('Bittrex Data'!B736="","",RIGHT(RIGHT('Bittrex Data'!B736,LEN('Bittrex Data'!B736)-SEARCH("-",'Bittrex Data'!B736,1)+1),LEN(RIGHT('Bittrex Data'!B736,LEN('Bittrex Data'!B736)-SEARCH("-",'Bittrex Data'!B736,1)+1))-1))</f>
        <v/>
      </c>
      <c r="F736" t="str">
        <f>IF('Bittrex Data'!C736="","",IF('Bittrex Data'!C736="Limit_Sell",'Bittrex Data'!G736-'Bittrex Data'!F736,IF('Bittrex Data'!C736="Limit_Buy",'Bittrex Data'!G736+'Bittrex Data'!F736,"")))</f>
        <v/>
      </c>
      <c r="G736" t="str">
        <f>IF('Bittrex Data'!B736="","",'Bittrex Data'!D736)</f>
        <v/>
      </c>
      <c r="H736" t="str">
        <f>IF('Bittrex Data'!C736="","",IF(Bittrex!C736="Buy",Bittrex!D736,IF(Bittrex!C736="Sale",Bittrex!E736,IF(AND(Bittrex!C736="Trade",'Bittrex Data'!C736="Limit_Sell"),Bittrex!E736,IF(AND(Bittrex!C736="Trade",'Bittrex Data'!C736="Limit_Buy"),Bittrex!D736,"")))))</f>
        <v/>
      </c>
      <c r="I736" t="str">
        <f>IF('Bittrex Data'!C736="","",IF(Bittrex!C736="Buy",F736,IF(C736="Sale",Bittrex!G736,IF(AND(C736="Trade",'Bittrex Data'!C736="Limit_Sell"),Bittrex!G736,IF(AND(Bittrex!C736="Trade",'Bittrex Data'!C736="Limit_Buy"),F736,"")))))</f>
        <v/>
      </c>
      <c r="J736" t="str">
        <f>IF('Bittrex Data'!B736="","",IF('Bittrex Data'!B736="","",IF(Bittrex!H736=Bittrex!E736,D736,Bittrex!E736)))</f>
        <v/>
      </c>
      <c r="K736" t="str">
        <f>IF('Bittrex Data'!B736="","",IF(Bittrex!I736=Bittrex!G736,Bittrex!F736,Bittrex!G736))</f>
        <v/>
      </c>
    </row>
    <row r="737" spans="3:11" x14ac:dyDescent="0.2">
      <c r="C737" t="str">
        <f>IF('Bittrex Data'!A737="","",IF(AND('Bittrex Data'!C737="LIMIT_SELL",Bittrex!D737="USD"),"Sale",IF(AND('Bittrex Data'!C737="LIMIT_BUY",Bittrex!D737="USD"),"Buy","Trade")))</f>
        <v/>
      </c>
      <c r="D737" t="str">
        <f>IF('Bittrex Data'!B737="","",LEFT(LEFT('Bittrex Data'!B737,SEARCH("-",'Bittrex Data'!B737,1)),LEN(LEFT('Bittrex Data'!B737,SEARCH("-",'Bittrex Data'!B737,1)))-1))</f>
        <v/>
      </c>
      <c r="E737" t="str">
        <f>IF('Bittrex Data'!B737="","",RIGHT(RIGHT('Bittrex Data'!B737,LEN('Bittrex Data'!B737)-SEARCH("-",'Bittrex Data'!B737,1)+1),LEN(RIGHT('Bittrex Data'!B737,LEN('Bittrex Data'!B737)-SEARCH("-",'Bittrex Data'!B737,1)+1))-1))</f>
        <v/>
      </c>
      <c r="F737" t="str">
        <f>IF('Bittrex Data'!C737="","",IF('Bittrex Data'!C737="Limit_Sell",'Bittrex Data'!G737-'Bittrex Data'!F737,IF('Bittrex Data'!C737="Limit_Buy",'Bittrex Data'!G737+'Bittrex Data'!F737,"")))</f>
        <v/>
      </c>
      <c r="G737" t="str">
        <f>IF('Bittrex Data'!B737="","",'Bittrex Data'!D737)</f>
        <v/>
      </c>
      <c r="H737" t="str">
        <f>IF('Bittrex Data'!C737="","",IF(Bittrex!C737="Buy",Bittrex!D737,IF(Bittrex!C737="Sale",Bittrex!E737,IF(AND(Bittrex!C737="Trade",'Bittrex Data'!C737="Limit_Sell"),Bittrex!E737,IF(AND(Bittrex!C737="Trade",'Bittrex Data'!C737="Limit_Buy"),Bittrex!D737,"")))))</f>
        <v/>
      </c>
      <c r="I737" t="str">
        <f>IF('Bittrex Data'!C737="","",IF(Bittrex!C737="Buy",F737,IF(C737="Sale",Bittrex!G737,IF(AND(C737="Trade",'Bittrex Data'!C737="Limit_Sell"),Bittrex!G737,IF(AND(Bittrex!C737="Trade",'Bittrex Data'!C737="Limit_Buy"),F737,"")))))</f>
        <v/>
      </c>
      <c r="J737" t="str">
        <f>IF('Bittrex Data'!B737="","",IF('Bittrex Data'!B737="","",IF(Bittrex!H737=Bittrex!E737,D737,Bittrex!E737)))</f>
        <v/>
      </c>
      <c r="K737" t="str">
        <f>IF('Bittrex Data'!B737="","",IF(Bittrex!I737=Bittrex!G737,Bittrex!F737,Bittrex!G737))</f>
        <v/>
      </c>
    </row>
    <row r="738" spans="3:11" x14ac:dyDescent="0.2">
      <c r="C738" t="str">
        <f>IF('Bittrex Data'!A738="","",IF(AND('Bittrex Data'!C738="LIMIT_SELL",Bittrex!D738="USD"),"Sale",IF(AND('Bittrex Data'!C738="LIMIT_BUY",Bittrex!D738="USD"),"Buy","Trade")))</f>
        <v/>
      </c>
      <c r="D738" t="str">
        <f>IF('Bittrex Data'!B738="","",LEFT(LEFT('Bittrex Data'!B738,SEARCH("-",'Bittrex Data'!B738,1)),LEN(LEFT('Bittrex Data'!B738,SEARCH("-",'Bittrex Data'!B738,1)))-1))</f>
        <v/>
      </c>
      <c r="E738" t="str">
        <f>IF('Bittrex Data'!B738="","",RIGHT(RIGHT('Bittrex Data'!B738,LEN('Bittrex Data'!B738)-SEARCH("-",'Bittrex Data'!B738,1)+1),LEN(RIGHT('Bittrex Data'!B738,LEN('Bittrex Data'!B738)-SEARCH("-",'Bittrex Data'!B738,1)+1))-1))</f>
        <v/>
      </c>
      <c r="F738" t="str">
        <f>IF('Bittrex Data'!C738="","",IF('Bittrex Data'!C738="Limit_Sell",'Bittrex Data'!G738-'Bittrex Data'!F738,IF('Bittrex Data'!C738="Limit_Buy",'Bittrex Data'!G738+'Bittrex Data'!F738,"")))</f>
        <v/>
      </c>
      <c r="G738" t="str">
        <f>IF('Bittrex Data'!B738="","",'Bittrex Data'!D738)</f>
        <v/>
      </c>
      <c r="H738" t="str">
        <f>IF('Bittrex Data'!C738="","",IF(Bittrex!C738="Buy",Bittrex!D738,IF(Bittrex!C738="Sale",Bittrex!E738,IF(AND(Bittrex!C738="Trade",'Bittrex Data'!C738="Limit_Sell"),Bittrex!E738,IF(AND(Bittrex!C738="Trade",'Bittrex Data'!C738="Limit_Buy"),Bittrex!D738,"")))))</f>
        <v/>
      </c>
      <c r="I738" t="str">
        <f>IF('Bittrex Data'!C738="","",IF(Bittrex!C738="Buy",F738,IF(C738="Sale",Bittrex!G738,IF(AND(C738="Trade",'Bittrex Data'!C738="Limit_Sell"),Bittrex!G738,IF(AND(Bittrex!C738="Trade",'Bittrex Data'!C738="Limit_Buy"),F738,"")))))</f>
        <v/>
      </c>
      <c r="J738" t="str">
        <f>IF('Bittrex Data'!B738="","",IF('Bittrex Data'!B738="","",IF(Bittrex!H738=Bittrex!E738,D738,Bittrex!E738)))</f>
        <v/>
      </c>
      <c r="K738" t="str">
        <f>IF('Bittrex Data'!B738="","",IF(Bittrex!I738=Bittrex!G738,Bittrex!F738,Bittrex!G738))</f>
        <v/>
      </c>
    </row>
    <row r="739" spans="3:11" x14ac:dyDescent="0.2">
      <c r="C739" t="str">
        <f>IF('Bittrex Data'!A739="","",IF(AND('Bittrex Data'!C739="LIMIT_SELL",Bittrex!D739="USD"),"Sale",IF(AND('Bittrex Data'!C739="LIMIT_BUY",Bittrex!D739="USD"),"Buy","Trade")))</f>
        <v/>
      </c>
      <c r="D739" t="str">
        <f>IF('Bittrex Data'!B739="","",LEFT(LEFT('Bittrex Data'!B739,SEARCH("-",'Bittrex Data'!B739,1)),LEN(LEFT('Bittrex Data'!B739,SEARCH("-",'Bittrex Data'!B739,1)))-1))</f>
        <v/>
      </c>
      <c r="E739" t="str">
        <f>IF('Bittrex Data'!B739="","",RIGHT(RIGHT('Bittrex Data'!B739,LEN('Bittrex Data'!B739)-SEARCH("-",'Bittrex Data'!B739,1)+1),LEN(RIGHT('Bittrex Data'!B739,LEN('Bittrex Data'!B739)-SEARCH("-",'Bittrex Data'!B739,1)+1))-1))</f>
        <v/>
      </c>
      <c r="F739" t="str">
        <f>IF('Bittrex Data'!C739="","",IF('Bittrex Data'!C739="Limit_Sell",'Bittrex Data'!G739-'Bittrex Data'!F739,IF('Bittrex Data'!C739="Limit_Buy",'Bittrex Data'!G739+'Bittrex Data'!F739,"")))</f>
        <v/>
      </c>
      <c r="G739" t="str">
        <f>IF('Bittrex Data'!B739="","",'Bittrex Data'!D739)</f>
        <v/>
      </c>
      <c r="H739" t="str">
        <f>IF('Bittrex Data'!C739="","",IF(Bittrex!C739="Buy",Bittrex!D739,IF(Bittrex!C739="Sale",Bittrex!E739,IF(AND(Bittrex!C739="Trade",'Bittrex Data'!C739="Limit_Sell"),Bittrex!E739,IF(AND(Bittrex!C739="Trade",'Bittrex Data'!C739="Limit_Buy"),Bittrex!D739,"")))))</f>
        <v/>
      </c>
      <c r="I739" t="str">
        <f>IF('Bittrex Data'!C739="","",IF(Bittrex!C739="Buy",F739,IF(C739="Sale",Bittrex!G739,IF(AND(C739="Trade",'Bittrex Data'!C739="Limit_Sell"),Bittrex!G739,IF(AND(Bittrex!C739="Trade",'Bittrex Data'!C739="Limit_Buy"),F739,"")))))</f>
        <v/>
      </c>
      <c r="J739" t="str">
        <f>IF('Bittrex Data'!B739="","",IF('Bittrex Data'!B739="","",IF(Bittrex!H739=Bittrex!E739,D739,Bittrex!E739)))</f>
        <v/>
      </c>
      <c r="K739" t="str">
        <f>IF('Bittrex Data'!B739="","",IF(Bittrex!I739=Bittrex!G739,Bittrex!F739,Bittrex!G739))</f>
        <v/>
      </c>
    </row>
    <row r="740" spans="3:11" x14ac:dyDescent="0.2">
      <c r="C740" t="str">
        <f>IF('Bittrex Data'!A740="","",IF(AND('Bittrex Data'!C740="LIMIT_SELL",Bittrex!D740="USD"),"Sale",IF(AND('Bittrex Data'!C740="LIMIT_BUY",Bittrex!D740="USD"),"Buy","Trade")))</f>
        <v/>
      </c>
      <c r="D740" t="str">
        <f>IF('Bittrex Data'!B740="","",LEFT(LEFT('Bittrex Data'!B740,SEARCH("-",'Bittrex Data'!B740,1)),LEN(LEFT('Bittrex Data'!B740,SEARCH("-",'Bittrex Data'!B740,1)))-1))</f>
        <v/>
      </c>
      <c r="E740" t="str">
        <f>IF('Bittrex Data'!B740="","",RIGHT(RIGHT('Bittrex Data'!B740,LEN('Bittrex Data'!B740)-SEARCH("-",'Bittrex Data'!B740,1)+1),LEN(RIGHT('Bittrex Data'!B740,LEN('Bittrex Data'!B740)-SEARCH("-",'Bittrex Data'!B740,1)+1))-1))</f>
        <v/>
      </c>
      <c r="F740" t="str">
        <f>IF('Bittrex Data'!C740="","",IF('Bittrex Data'!C740="Limit_Sell",'Bittrex Data'!G740-'Bittrex Data'!F740,IF('Bittrex Data'!C740="Limit_Buy",'Bittrex Data'!G740+'Bittrex Data'!F740,"")))</f>
        <v/>
      </c>
      <c r="G740" t="str">
        <f>IF('Bittrex Data'!B740="","",'Bittrex Data'!D740)</f>
        <v/>
      </c>
      <c r="H740" t="str">
        <f>IF('Bittrex Data'!C740="","",IF(Bittrex!C740="Buy",Bittrex!D740,IF(Bittrex!C740="Sale",Bittrex!E740,IF(AND(Bittrex!C740="Trade",'Bittrex Data'!C740="Limit_Sell"),Bittrex!E740,IF(AND(Bittrex!C740="Trade",'Bittrex Data'!C740="Limit_Buy"),Bittrex!D740,"")))))</f>
        <v/>
      </c>
      <c r="I740" t="str">
        <f>IF('Bittrex Data'!C740="","",IF(Bittrex!C740="Buy",F740,IF(C740="Sale",Bittrex!G740,IF(AND(C740="Trade",'Bittrex Data'!C740="Limit_Sell"),Bittrex!G740,IF(AND(Bittrex!C740="Trade",'Bittrex Data'!C740="Limit_Buy"),F740,"")))))</f>
        <v/>
      </c>
      <c r="J740" t="str">
        <f>IF('Bittrex Data'!B740="","",IF('Bittrex Data'!B740="","",IF(Bittrex!H740=Bittrex!E740,D740,Bittrex!E740)))</f>
        <v/>
      </c>
      <c r="K740" t="str">
        <f>IF('Bittrex Data'!B740="","",IF(Bittrex!I740=Bittrex!G740,Bittrex!F740,Bittrex!G740))</f>
        <v/>
      </c>
    </row>
    <row r="741" spans="3:11" x14ac:dyDescent="0.2">
      <c r="C741" t="str">
        <f>IF('Bittrex Data'!A741="","",IF(AND('Bittrex Data'!C741="LIMIT_SELL",Bittrex!D741="USD"),"Sale",IF(AND('Bittrex Data'!C741="LIMIT_BUY",Bittrex!D741="USD"),"Buy","Trade")))</f>
        <v/>
      </c>
      <c r="D741" t="str">
        <f>IF('Bittrex Data'!B741="","",LEFT(LEFT('Bittrex Data'!B741,SEARCH("-",'Bittrex Data'!B741,1)),LEN(LEFT('Bittrex Data'!B741,SEARCH("-",'Bittrex Data'!B741,1)))-1))</f>
        <v/>
      </c>
      <c r="E741" t="str">
        <f>IF('Bittrex Data'!B741="","",RIGHT(RIGHT('Bittrex Data'!B741,LEN('Bittrex Data'!B741)-SEARCH("-",'Bittrex Data'!B741,1)+1),LEN(RIGHT('Bittrex Data'!B741,LEN('Bittrex Data'!B741)-SEARCH("-",'Bittrex Data'!B741,1)+1))-1))</f>
        <v/>
      </c>
      <c r="F741" t="str">
        <f>IF('Bittrex Data'!C741="","",IF('Bittrex Data'!C741="Limit_Sell",'Bittrex Data'!G741-'Bittrex Data'!F741,IF('Bittrex Data'!C741="Limit_Buy",'Bittrex Data'!G741+'Bittrex Data'!F741,"")))</f>
        <v/>
      </c>
      <c r="G741" t="str">
        <f>IF('Bittrex Data'!B741="","",'Bittrex Data'!D741)</f>
        <v/>
      </c>
      <c r="H741" t="str">
        <f>IF('Bittrex Data'!C741="","",IF(Bittrex!C741="Buy",Bittrex!D741,IF(Bittrex!C741="Sale",Bittrex!E741,IF(AND(Bittrex!C741="Trade",'Bittrex Data'!C741="Limit_Sell"),Bittrex!E741,IF(AND(Bittrex!C741="Trade",'Bittrex Data'!C741="Limit_Buy"),Bittrex!D741,"")))))</f>
        <v/>
      </c>
      <c r="I741" t="str">
        <f>IF('Bittrex Data'!C741="","",IF(Bittrex!C741="Buy",F741,IF(C741="Sale",Bittrex!G741,IF(AND(C741="Trade",'Bittrex Data'!C741="Limit_Sell"),Bittrex!G741,IF(AND(Bittrex!C741="Trade",'Bittrex Data'!C741="Limit_Buy"),F741,"")))))</f>
        <v/>
      </c>
      <c r="J741" t="str">
        <f>IF('Bittrex Data'!B741="","",IF('Bittrex Data'!B741="","",IF(Bittrex!H741=Bittrex!E741,D741,Bittrex!E741)))</f>
        <v/>
      </c>
      <c r="K741" t="str">
        <f>IF('Bittrex Data'!B741="","",IF(Bittrex!I741=Bittrex!G741,Bittrex!F741,Bittrex!G741))</f>
        <v/>
      </c>
    </row>
    <row r="742" spans="3:11" x14ac:dyDescent="0.2">
      <c r="C742" t="str">
        <f>IF('Bittrex Data'!A742="","",IF(AND('Bittrex Data'!C742="LIMIT_SELL",Bittrex!D742="USD"),"Sale",IF(AND('Bittrex Data'!C742="LIMIT_BUY",Bittrex!D742="USD"),"Buy","Trade")))</f>
        <v/>
      </c>
      <c r="D742" t="str">
        <f>IF('Bittrex Data'!B742="","",LEFT(LEFT('Bittrex Data'!B742,SEARCH("-",'Bittrex Data'!B742,1)),LEN(LEFT('Bittrex Data'!B742,SEARCH("-",'Bittrex Data'!B742,1)))-1))</f>
        <v/>
      </c>
      <c r="E742" t="str">
        <f>IF('Bittrex Data'!B742="","",RIGHT(RIGHT('Bittrex Data'!B742,LEN('Bittrex Data'!B742)-SEARCH("-",'Bittrex Data'!B742,1)+1),LEN(RIGHT('Bittrex Data'!B742,LEN('Bittrex Data'!B742)-SEARCH("-",'Bittrex Data'!B742,1)+1))-1))</f>
        <v/>
      </c>
      <c r="F742" t="str">
        <f>IF('Bittrex Data'!C742="","",IF('Bittrex Data'!C742="Limit_Sell",'Bittrex Data'!G742-'Bittrex Data'!F742,IF('Bittrex Data'!C742="Limit_Buy",'Bittrex Data'!G742+'Bittrex Data'!F742,"")))</f>
        <v/>
      </c>
      <c r="G742" t="str">
        <f>IF('Bittrex Data'!B742="","",'Bittrex Data'!D742)</f>
        <v/>
      </c>
      <c r="H742" t="str">
        <f>IF('Bittrex Data'!C742="","",IF(Bittrex!C742="Buy",Bittrex!D742,IF(Bittrex!C742="Sale",Bittrex!E742,IF(AND(Bittrex!C742="Trade",'Bittrex Data'!C742="Limit_Sell"),Bittrex!E742,IF(AND(Bittrex!C742="Trade",'Bittrex Data'!C742="Limit_Buy"),Bittrex!D742,"")))))</f>
        <v/>
      </c>
      <c r="I742" t="str">
        <f>IF('Bittrex Data'!C742="","",IF(Bittrex!C742="Buy",F742,IF(C742="Sale",Bittrex!G742,IF(AND(C742="Trade",'Bittrex Data'!C742="Limit_Sell"),Bittrex!G742,IF(AND(Bittrex!C742="Trade",'Bittrex Data'!C742="Limit_Buy"),F742,"")))))</f>
        <v/>
      </c>
      <c r="J742" t="str">
        <f>IF('Bittrex Data'!B742="","",IF('Bittrex Data'!B742="","",IF(Bittrex!H742=Bittrex!E742,D742,Bittrex!E742)))</f>
        <v/>
      </c>
      <c r="K742" t="str">
        <f>IF('Bittrex Data'!B742="","",IF(Bittrex!I742=Bittrex!G742,Bittrex!F742,Bittrex!G742))</f>
        <v/>
      </c>
    </row>
    <row r="743" spans="3:11" x14ac:dyDescent="0.2">
      <c r="C743" t="str">
        <f>IF('Bittrex Data'!A743="","",IF(AND('Bittrex Data'!C743="LIMIT_SELL",Bittrex!D743="USD"),"Sale",IF(AND('Bittrex Data'!C743="LIMIT_BUY",Bittrex!D743="USD"),"Buy","Trade")))</f>
        <v/>
      </c>
      <c r="D743" t="str">
        <f>IF('Bittrex Data'!B743="","",LEFT(LEFT('Bittrex Data'!B743,SEARCH("-",'Bittrex Data'!B743,1)),LEN(LEFT('Bittrex Data'!B743,SEARCH("-",'Bittrex Data'!B743,1)))-1))</f>
        <v/>
      </c>
      <c r="E743" t="str">
        <f>IF('Bittrex Data'!B743="","",RIGHT(RIGHT('Bittrex Data'!B743,LEN('Bittrex Data'!B743)-SEARCH("-",'Bittrex Data'!B743,1)+1),LEN(RIGHT('Bittrex Data'!B743,LEN('Bittrex Data'!B743)-SEARCH("-",'Bittrex Data'!B743,1)+1))-1))</f>
        <v/>
      </c>
      <c r="F743" t="str">
        <f>IF('Bittrex Data'!C743="","",IF('Bittrex Data'!C743="Limit_Sell",'Bittrex Data'!G743-'Bittrex Data'!F743,IF('Bittrex Data'!C743="Limit_Buy",'Bittrex Data'!G743+'Bittrex Data'!F743,"")))</f>
        <v/>
      </c>
      <c r="G743" t="str">
        <f>IF('Bittrex Data'!B743="","",'Bittrex Data'!D743)</f>
        <v/>
      </c>
      <c r="H743" t="str">
        <f>IF('Bittrex Data'!C743="","",IF(Bittrex!C743="Buy",Bittrex!D743,IF(Bittrex!C743="Sale",Bittrex!E743,IF(AND(Bittrex!C743="Trade",'Bittrex Data'!C743="Limit_Sell"),Bittrex!E743,IF(AND(Bittrex!C743="Trade",'Bittrex Data'!C743="Limit_Buy"),Bittrex!D743,"")))))</f>
        <v/>
      </c>
      <c r="I743" t="str">
        <f>IF('Bittrex Data'!C743="","",IF(Bittrex!C743="Buy",F743,IF(C743="Sale",Bittrex!G743,IF(AND(C743="Trade",'Bittrex Data'!C743="Limit_Sell"),Bittrex!G743,IF(AND(Bittrex!C743="Trade",'Bittrex Data'!C743="Limit_Buy"),F743,"")))))</f>
        <v/>
      </c>
      <c r="J743" t="str">
        <f>IF('Bittrex Data'!B743="","",IF('Bittrex Data'!B743="","",IF(Bittrex!H743=Bittrex!E743,D743,Bittrex!E743)))</f>
        <v/>
      </c>
      <c r="K743" t="str">
        <f>IF('Bittrex Data'!B743="","",IF(Bittrex!I743=Bittrex!G743,Bittrex!F743,Bittrex!G743))</f>
        <v/>
      </c>
    </row>
    <row r="744" spans="3:11" x14ac:dyDescent="0.2">
      <c r="C744" t="str">
        <f>IF('Bittrex Data'!A744="","",IF(AND('Bittrex Data'!C744="LIMIT_SELL",Bittrex!D744="USD"),"Sale",IF(AND('Bittrex Data'!C744="LIMIT_BUY",Bittrex!D744="USD"),"Buy","Trade")))</f>
        <v/>
      </c>
      <c r="D744" t="str">
        <f>IF('Bittrex Data'!B744="","",LEFT(LEFT('Bittrex Data'!B744,SEARCH("-",'Bittrex Data'!B744,1)),LEN(LEFT('Bittrex Data'!B744,SEARCH("-",'Bittrex Data'!B744,1)))-1))</f>
        <v/>
      </c>
      <c r="E744" t="str">
        <f>IF('Bittrex Data'!B744="","",RIGHT(RIGHT('Bittrex Data'!B744,LEN('Bittrex Data'!B744)-SEARCH("-",'Bittrex Data'!B744,1)+1),LEN(RIGHT('Bittrex Data'!B744,LEN('Bittrex Data'!B744)-SEARCH("-",'Bittrex Data'!B744,1)+1))-1))</f>
        <v/>
      </c>
      <c r="F744" t="str">
        <f>IF('Bittrex Data'!C744="","",IF('Bittrex Data'!C744="Limit_Sell",'Bittrex Data'!G744-'Bittrex Data'!F744,IF('Bittrex Data'!C744="Limit_Buy",'Bittrex Data'!G744+'Bittrex Data'!F744,"")))</f>
        <v/>
      </c>
      <c r="G744" t="str">
        <f>IF('Bittrex Data'!B744="","",'Bittrex Data'!D744)</f>
        <v/>
      </c>
      <c r="H744" t="str">
        <f>IF('Bittrex Data'!C744="","",IF(Bittrex!C744="Buy",Bittrex!D744,IF(Bittrex!C744="Sale",Bittrex!E744,IF(AND(Bittrex!C744="Trade",'Bittrex Data'!C744="Limit_Sell"),Bittrex!E744,IF(AND(Bittrex!C744="Trade",'Bittrex Data'!C744="Limit_Buy"),Bittrex!D744,"")))))</f>
        <v/>
      </c>
      <c r="I744" t="str">
        <f>IF('Bittrex Data'!C744="","",IF(Bittrex!C744="Buy",F744,IF(C744="Sale",Bittrex!G744,IF(AND(C744="Trade",'Bittrex Data'!C744="Limit_Sell"),Bittrex!G744,IF(AND(Bittrex!C744="Trade",'Bittrex Data'!C744="Limit_Buy"),F744,"")))))</f>
        <v/>
      </c>
      <c r="J744" t="str">
        <f>IF('Bittrex Data'!B744="","",IF('Bittrex Data'!B744="","",IF(Bittrex!H744=Bittrex!E744,D744,Bittrex!E744)))</f>
        <v/>
      </c>
      <c r="K744" t="str">
        <f>IF('Bittrex Data'!B744="","",IF(Bittrex!I744=Bittrex!G744,Bittrex!F744,Bittrex!G744))</f>
        <v/>
      </c>
    </row>
    <row r="745" spans="3:11" x14ac:dyDescent="0.2">
      <c r="C745" t="str">
        <f>IF('Bittrex Data'!A745="","",IF(AND('Bittrex Data'!C745="LIMIT_SELL",Bittrex!D745="USD"),"Sale",IF(AND('Bittrex Data'!C745="LIMIT_BUY",Bittrex!D745="USD"),"Buy","Trade")))</f>
        <v/>
      </c>
      <c r="D745" t="str">
        <f>IF('Bittrex Data'!B745="","",LEFT(LEFT('Bittrex Data'!B745,SEARCH("-",'Bittrex Data'!B745,1)),LEN(LEFT('Bittrex Data'!B745,SEARCH("-",'Bittrex Data'!B745,1)))-1))</f>
        <v/>
      </c>
      <c r="E745" t="str">
        <f>IF('Bittrex Data'!B745="","",RIGHT(RIGHT('Bittrex Data'!B745,LEN('Bittrex Data'!B745)-SEARCH("-",'Bittrex Data'!B745,1)+1),LEN(RIGHT('Bittrex Data'!B745,LEN('Bittrex Data'!B745)-SEARCH("-",'Bittrex Data'!B745,1)+1))-1))</f>
        <v/>
      </c>
      <c r="F745" t="str">
        <f>IF('Bittrex Data'!C745="","",IF('Bittrex Data'!C745="Limit_Sell",'Bittrex Data'!G745-'Bittrex Data'!F745,IF('Bittrex Data'!C745="Limit_Buy",'Bittrex Data'!G745+'Bittrex Data'!F745,"")))</f>
        <v/>
      </c>
      <c r="G745" t="str">
        <f>IF('Bittrex Data'!B745="","",'Bittrex Data'!D745)</f>
        <v/>
      </c>
      <c r="H745" t="str">
        <f>IF('Bittrex Data'!C745="","",IF(Bittrex!C745="Buy",Bittrex!D745,IF(Bittrex!C745="Sale",Bittrex!E745,IF(AND(Bittrex!C745="Trade",'Bittrex Data'!C745="Limit_Sell"),Bittrex!E745,IF(AND(Bittrex!C745="Trade",'Bittrex Data'!C745="Limit_Buy"),Bittrex!D745,"")))))</f>
        <v/>
      </c>
      <c r="I745" t="str">
        <f>IF('Bittrex Data'!C745="","",IF(Bittrex!C745="Buy",F745,IF(C745="Sale",Bittrex!G745,IF(AND(C745="Trade",'Bittrex Data'!C745="Limit_Sell"),Bittrex!G745,IF(AND(Bittrex!C745="Trade",'Bittrex Data'!C745="Limit_Buy"),F745,"")))))</f>
        <v/>
      </c>
      <c r="J745" t="str">
        <f>IF('Bittrex Data'!B745="","",IF('Bittrex Data'!B745="","",IF(Bittrex!H745=Bittrex!E745,D745,Bittrex!E745)))</f>
        <v/>
      </c>
      <c r="K745" t="str">
        <f>IF('Bittrex Data'!B745="","",IF(Bittrex!I745=Bittrex!G745,Bittrex!F745,Bittrex!G745))</f>
        <v/>
      </c>
    </row>
    <row r="746" spans="3:11" x14ac:dyDescent="0.2">
      <c r="C746" t="str">
        <f>IF('Bittrex Data'!A746="","",IF(AND('Bittrex Data'!C746="LIMIT_SELL",Bittrex!D746="USD"),"Sale",IF(AND('Bittrex Data'!C746="LIMIT_BUY",Bittrex!D746="USD"),"Buy","Trade")))</f>
        <v/>
      </c>
      <c r="D746" t="str">
        <f>IF('Bittrex Data'!B746="","",LEFT(LEFT('Bittrex Data'!B746,SEARCH("-",'Bittrex Data'!B746,1)),LEN(LEFT('Bittrex Data'!B746,SEARCH("-",'Bittrex Data'!B746,1)))-1))</f>
        <v/>
      </c>
      <c r="E746" t="str">
        <f>IF('Bittrex Data'!B746="","",RIGHT(RIGHT('Bittrex Data'!B746,LEN('Bittrex Data'!B746)-SEARCH("-",'Bittrex Data'!B746,1)+1),LEN(RIGHT('Bittrex Data'!B746,LEN('Bittrex Data'!B746)-SEARCH("-",'Bittrex Data'!B746,1)+1))-1))</f>
        <v/>
      </c>
      <c r="F746" t="str">
        <f>IF('Bittrex Data'!C746="","",IF('Bittrex Data'!C746="Limit_Sell",'Bittrex Data'!G746-'Bittrex Data'!F746,IF('Bittrex Data'!C746="Limit_Buy",'Bittrex Data'!G746+'Bittrex Data'!F746,"")))</f>
        <v/>
      </c>
      <c r="G746" t="str">
        <f>IF('Bittrex Data'!B746="","",'Bittrex Data'!D746)</f>
        <v/>
      </c>
      <c r="H746" t="str">
        <f>IF('Bittrex Data'!C746="","",IF(Bittrex!C746="Buy",Bittrex!D746,IF(Bittrex!C746="Sale",Bittrex!E746,IF(AND(Bittrex!C746="Trade",'Bittrex Data'!C746="Limit_Sell"),Bittrex!E746,IF(AND(Bittrex!C746="Trade",'Bittrex Data'!C746="Limit_Buy"),Bittrex!D746,"")))))</f>
        <v/>
      </c>
      <c r="I746" t="str">
        <f>IF('Bittrex Data'!C746="","",IF(Bittrex!C746="Buy",F746,IF(C746="Sale",Bittrex!G746,IF(AND(C746="Trade",'Bittrex Data'!C746="Limit_Sell"),Bittrex!G746,IF(AND(Bittrex!C746="Trade",'Bittrex Data'!C746="Limit_Buy"),F746,"")))))</f>
        <v/>
      </c>
      <c r="J746" t="str">
        <f>IF('Bittrex Data'!B746="","",IF('Bittrex Data'!B746="","",IF(Bittrex!H746=Bittrex!E746,D746,Bittrex!E746)))</f>
        <v/>
      </c>
      <c r="K746" t="str">
        <f>IF('Bittrex Data'!B746="","",IF(Bittrex!I746=Bittrex!G746,Bittrex!F746,Bittrex!G746))</f>
        <v/>
      </c>
    </row>
    <row r="747" spans="3:11" x14ac:dyDescent="0.2">
      <c r="C747" t="str">
        <f>IF('Bittrex Data'!A747="","",IF(AND('Bittrex Data'!C747="LIMIT_SELL",Bittrex!D747="USD"),"Sale",IF(AND('Bittrex Data'!C747="LIMIT_BUY",Bittrex!D747="USD"),"Buy","Trade")))</f>
        <v/>
      </c>
      <c r="D747" t="str">
        <f>IF('Bittrex Data'!B747="","",LEFT(LEFT('Bittrex Data'!B747,SEARCH("-",'Bittrex Data'!B747,1)),LEN(LEFT('Bittrex Data'!B747,SEARCH("-",'Bittrex Data'!B747,1)))-1))</f>
        <v/>
      </c>
      <c r="E747" t="str">
        <f>IF('Bittrex Data'!B747="","",RIGHT(RIGHT('Bittrex Data'!B747,LEN('Bittrex Data'!B747)-SEARCH("-",'Bittrex Data'!B747,1)+1),LEN(RIGHT('Bittrex Data'!B747,LEN('Bittrex Data'!B747)-SEARCH("-",'Bittrex Data'!B747,1)+1))-1))</f>
        <v/>
      </c>
      <c r="F747" t="str">
        <f>IF('Bittrex Data'!C747="","",IF('Bittrex Data'!C747="Limit_Sell",'Bittrex Data'!G747-'Bittrex Data'!F747,IF('Bittrex Data'!C747="Limit_Buy",'Bittrex Data'!G747+'Bittrex Data'!F747,"")))</f>
        <v/>
      </c>
      <c r="G747" t="str">
        <f>IF('Bittrex Data'!B747="","",'Bittrex Data'!D747)</f>
        <v/>
      </c>
      <c r="H747" t="str">
        <f>IF('Bittrex Data'!C747="","",IF(Bittrex!C747="Buy",Bittrex!D747,IF(Bittrex!C747="Sale",Bittrex!E747,IF(AND(Bittrex!C747="Trade",'Bittrex Data'!C747="Limit_Sell"),Bittrex!E747,IF(AND(Bittrex!C747="Trade",'Bittrex Data'!C747="Limit_Buy"),Bittrex!D747,"")))))</f>
        <v/>
      </c>
      <c r="I747" t="str">
        <f>IF('Bittrex Data'!C747="","",IF(Bittrex!C747="Buy",F747,IF(C747="Sale",Bittrex!G747,IF(AND(C747="Trade",'Bittrex Data'!C747="Limit_Sell"),Bittrex!G747,IF(AND(Bittrex!C747="Trade",'Bittrex Data'!C747="Limit_Buy"),F747,"")))))</f>
        <v/>
      </c>
      <c r="J747" t="str">
        <f>IF('Bittrex Data'!B747="","",IF('Bittrex Data'!B747="","",IF(Bittrex!H747=Bittrex!E747,D747,Bittrex!E747)))</f>
        <v/>
      </c>
      <c r="K747" t="str">
        <f>IF('Bittrex Data'!B747="","",IF(Bittrex!I747=Bittrex!G747,Bittrex!F747,Bittrex!G747))</f>
        <v/>
      </c>
    </row>
    <row r="748" spans="3:11" x14ac:dyDescent="0.2">
      <c r="C748" t="str">
        <f>IF('Bittrex Data'!A748="","",IF(AND('Bittrex Data'!C748="LIMIT_SELL",Bittrex!D748="USD"),"Sale",IF(AND('Bittrex Data'!C748="LIMIT_BUY",Bittrex!D748="USD"),"Buy","Trade")))</f>
        <v/>
      </c>
      <c r="D748" t="str">
        <f>IF('Bittrex Data'!B748="","",LEFT(LEFT('Bittrex Data'!B748,SEARCH("-",'Bittrex Data'!B748,1)),LEN(LEFT('Bittrex Data'!B748,SEARCH("-",'Bittrex Data'!B748,1)))-1))</f>
        <v/>
      </c>
      <c r="E748" t="str">
        <f>IF('Bittrex Data'!B748="","",RIGHT(RIGHT('Bittrex Data'!B748,LEN('Bittrex Data'!B748)-SEARCH("-",'Bittrex Data'!B748,1)+1),LEN(RIGHT('Bittrex Data'!B748,LEN('Bittrex Data'!B748)-SEARCH("-",'Bittrex Data'!B748,1)+1))-1))</f>
        <v/>
      </c>
      <c r="F748" t="str">
        <f>IF('Bittrex Data'!C748="","",IF('Bittrex Data'!C748="Limit_Sell",'Bittrex Data'!G748-'Bittrex Data'!F748,IF('Bittrex Data'!C748="Limit_Buy",'Bittrex Data'!G748+'Bittrex Data'!F748,"")))</f>
        <v/>
      </c>
      <c r="G748" t="str">
        <f>IF('Bittrex Data'!B748="","",'Bittrex Data'!D748)</f>
        <v/>
      </c>
      <c r="H748" t="str">
        <f>IF('Bittrex Data'!C748="","",IF(Bittrex!C748="Buy",Bittrex!D748,IF(Bittrex!C748="Sale",Bittrex!E748,IF(AND(Bittrex!C748="Trade",'Bittrex Data'!C748="Limit_Sell"),Bittrex!E748,IF(AND(Bittrex!C748="Trade",'Bittrex Data'!C748="Limit_Buy"),Bittrex!D748,"")))))</f>
        <v/>
      </c>
      <c r="I748" t="str">
        <f>IF('Bittrex Data'!C748="","",IF(Bittrex!C748="Buy",F748,IF(C748="Sale",Bittrex!G748,IF(AND(C748="Trade",'Bittrex Data'!C748="Limit_Sell"),Bittrex!G748,IF(AND(Bittrex!C748="Trade",'Bittrex Data'!C748="Limit_Buy"),F748,"")))))</f>
        <v/>
      </c>
      <c r="J748" t="str">
        <f>IF('Bittrex Data'!B748="","",IF('Bittrex Data'!B748="","",IF(Bittrex!H748=Bittrex!E748,D748,Bittrex!E748)))</f>
        <v/>
      </c>
      <c r="K748" t="str">
        <f>IF('Bittrex Data'!B748="","",IF(Bittrex!I748=Bittrex!G748,Bittrex!F748,Bittrex!G748))</f>
        <v/>
      </c>
    </row>
    <row r="749" spans="3:11" x14ac:dyDescent="0.2">
      <c r="C749" t="str">
        <f>IF('Bittrex Data'!A749="","",IF(AND('Bittrex Data'!C749="LIMIT_SELL",Bittrex!D749="USD"),"Sale",IF(AND('Bittrex Data'!C749="LIMIT_BUY",Bittrex!D749="USD"),"Buy","Trade")))</f>
        <v/>
      </c>
      <c r="D749" t="str">
        <f>IF('Bittrex Data'!B749="","",LEFT(LEFT('Bittrex Data'!B749,SEARCH("-",'Bittrex Data'!B749,1)),LEN(LEFT('Bittrex Data'!B749,SEARCH("-",'Bittrex Data'!B749,1)))-1))</f>
        <v/>
      </c>
      <c r="E749" t="str">
        <f>IF('Bittrex Data'!B749="","",RIGHT(RIGHT('Bittrex Data'!B749,LEN('Bittrex Data'!B749)-SEARCH("-",'Bittrex Data'!B749,1)+1),LEN(RIGHT('Bittrex Data'!B749,LEN('Bittrex Data'!B749)-SEARCH("-",'Bittrex Data'!B749,1)+1))-1))</f>
        <v/>
      </c>
      <c r="F749" t="str">
        <f>IF('Bittrex Data'!C749="","",IF('Bittrex Data'!C749="Limit_Sell",'Bittrex Data'!G749-'Bittrex Data'!F749,IF('Bittrex Data'!C749="Limit_Buy",'Bittrex Data'!G749+'Bittrex Data'!F749,"")))</f>
        <v/>
      </c>
      <c r="G749" t="str">
        <f>IF('Bittrex Data'!B749="","",'Bittrex Data'!D749)</f>
        <v/>
      </c>
      <c r="H749" t="str">
        <f>IF('Bittrex Data'!C749="","",IF(Bittrex!C749="Buy",Bittrex!D749,IF(Bittrex!C749="Sale",Bittrex!E749,IF(AND(Bittrex!C749="Trade",'Bittrex Data'!C749="Limit_Sell"),Bittrex!E749,IF(AND(Bittrex!C749="Trade",'Bittrex Data'!C749="Limit_Buy"),Bittrex!D749,"")))))</f>
        <v/>
      </c>
      <c r="I749" t="str">
        <f>IF('Bittrex Data'!C749="","",IF(Bittrex!C749="Buy",F749,IF(C749="Sale",Bittrex!G749,IF(AND(C749="Trade",'Bittrex Data'!C749="Limit_Sell"),Bittrex!G749,IF(AND(Bittrex!C749="Trade",'Bittrex Data'!C749="Limit_Buy"),F749,"")))))</f>
        <v/>
      </c>
      <c r="J749" t="str">
        <f>IF('Bittrex Data'!B749="","",IF('Bittrex Data'!B749="","",IF(Bittrex!H749=Bittrex!E749,D749,Bittrex!E749)))</f>
        <v/>
      </c>
      <c r="K749" t="str">
        <f>IF('Bittrex Data'!B749="","",IF(Bittrex!I749=Bittrex!G749,Bittrex!F749,Bittrex!G749))</f>
        <v/>
      </c>
    </row>
    <row r="750" spans="3:11" x14ac:dyDescent="0.2">
      <c r="C750" t="str">
        <f>IF('Bittrex Data'!A750="","",IF(AND('Bittrex Data'!C750="LIMIT_SELL",Bittrex!D750="USD"),"Sale",IF(AND('Bittrex Data'!C750="LIMIT_BUY",Bittrex!D750="USD"),"Buy","Trade")))</f>
        <v/>
      </c>
      <c r="D750" t="str">
        <f>IF('Bittrex Data'!B750="","",LEFT(LEFT('Bittrex Data'!B750,SEARCH("-",'Bittrex Data'!B750,1)),LEN(LEFT('Bittrex Data'!B750,SEARCH("-",'Bittrex Data'!B750,1)))-1))</f>
        <v/>
      </c>
      <c r="E750" t="str">
        <f>IF('Bittrex Data'!B750="","",RIGHT(RIGHT('Bittrex Data'!B750,LEN('Bittrex Data'!B750)-SEARCH("-",'Bittrex Data'!B750,1)+1),LEN(RIGHT('Bittrex Data'!B750,LEN('Bittrex Data'!B750)-SEARCH("-",'Bittrex Data'!B750,1)+1))-1))</f>
        <v/>
      </c>
      <c r="F750" t="str">
        <f>IF('Bittrex Data'!C750="","",IF('Bittrex Data'!C750="Limit_Sell",'Bittrex Data'!G750-'Bittrex Data'!F750,IF('Bittrex Data'!C750="Limit_Buy",'Bittrex Data'!G750+'Bittrex Data'!F750,"")))</f>
        <v/>
      </c>
      <c r="G750" t="str">
        <f>IF('Bittrex Data'!B750="","",'Bittrex Data'!D750)</f>
        <v/>
      </c>
      <c r="H750" t="str">
        <f>IF('Bittrex Data'!C750="","",IF(Bittrex!C750="Buy",Bittrex!D750,IF(Bittrex!C750="Sale",Bittrex!E750,IF(AND(Bittrex!C750="Trade",'Bittrex Data'!C750="Limit_Sell"),Bittrex!E750,IF(AND(Bittrex!C750="Trade",'Bittrex Data'!C750="Limit_Buy"),Bittrex!D750,"")))))</f>
        <v/>
      </c>
      <c r="I750" t="str">
        <f>IF('Bittrex Data'!C750="","",IF(Bittrex!C750="Buy",F750,IF(C750="Sale",Bittrex!G750,IF(AND(C750="Trade",'Bittrex Data'!C750="Limit_Sell"),Bittrex!G750,IF(AND(Bittrex!C750="Trade",'Bittrex Data'!C750="Limit_Buy"),F750,"")))))</f>
        <v/>
      </c>
      <c r="J750" t="str">
        <f>IF('Bittrex Data'!B750="","",IF('Bittrex Data'!B750="","",IF(Bittrex!H750=Bittrex!E750,D750,Bittrex!E750)))</f>
        <v/>
      </c>
      <c r="K750" t="str">
        <f>IF('Bittrex Data'!B750="","",IF(Bittrex!I750=Bittrex!G750,Bittrex!F750,Bittrex!G750))</f>
        <v/>
      </c>
    </row>
    <row r="751" spans="3:11" x14ac:dyDescent="0.2">
      <c r="C751" t="str">
        <f>IF('Bittrex Data'!A751="","",IF(AND('Bittrex Data'!C751="LIMIT_SELL",Bittrex!D751="USD"),"Sale",IF(AND('Bittrex Data'!C751="LIMIT_BUY",Bittrex!D751="USD"),"Buy","Trade")))</f>
        <v/>
      </c>
      <c r="D751" t="str">
        <f>IF('Bittrex Data'!B751="","",LEFT(LEFT('Bittrex Data'!B751,SEARCH("-",'Bittrex Data'!B751,1)),LEN(LEFT('Bittrex Data'!B751,SEARCH("-",'Bittrex Data'!B751,1)))-1))</f>
        <v/>
      </c>
      <c r="E751" t="str">
        <f>IF('Bittrex Data'!B751="","",RIGHT(RIGHT('Bittrex Data'!B751,LEN('Bittrex Data'!B751)-SEARCH("-",'Bittrex Data'!B751,1)+1),LEN(RIGHT('Bittrex Data'!B751,LEN('Bittrex Data'!B751)-SEARCH("-",'Bittrex Data'!B751,1)+1))-1))</f>
        <v/>
      </c>
      <c r="F751" t="str">
        <f>IF('Bittrex Data'!C751="","",IF('Bittrex Data'!C751="Limit_Sell",'Bittrex Data'!G751-'Bittrex Data'!F751,IF('Bittrex Data'!C751="Limit_Buy",'Bittrex Data'!G751+'Bittrex Data'!F751,"")))</f>
        <v/>
      </c>
      <c r="G751" t="str">
        <f>IF('Bittrex Data'!B751="","",'Bittrex Data'!D751)</f>
        <v/>
      </c>
      <c r="H751" t="str">
        <f>IF('Bittrex Data'!C751="","",IF(Bittrex!C751="Buy",Bittrex!D751,IF(Bittrex!C751="Sale",Bittrex!E751,IF(AND(Bittrex!C751="Trade",'Bittrex Data'!C751="Limit_Sell"),Bittrex!E751,IF(AND(Bittrex!C751="Trade",'Bittrex Data'!C751="Limit_Buy"),Bittrex!D751,"")))))</f>
        <v/>
      </c>
      <c r="I751" t="str">
        <f>IF('Bittrex Data'!C751="","",IF(Bittrex!C751="Buy",F751,IF(C751="Sale",Bittrex!G751,IF(AND(C751="Trade",'Bittrex Data'!C751="Limit_Sell"),Bittrex!G751,IF(AND(Bittrex!C751="Trade",'Bittrex Data'!C751="Limit_Buy"),F751,"")))))</f>
        <v/>
      </c>
      <c r="J751" t="str">
        <f>IF('Bittrex Data'!B751="","",IF('Bittrex Data'!B751="","",IF(Bittrex!H751=Bittrex!E751,D751,Bittrex!E751)))</f>
        <v/>
      </c>
      <c r="K751" t="str">
        <f>IF('Bittrex Data'!B751="","",IF(Bittrex!I751=Bittrex!G751,Bittrex!F751,Bittrex!G751))</f>
        <v/>
      </c>
    </row>
    <row r="752" spans="3:11" x14ac:dyDescent="0.2">
      <c r="C752" t="str">
        <f>IF('Bittrex Data'!A752="","",IF(AND('Bittrex Data'!C752="LIMIT_SELL",Bittrex!D752="USD"),"Sale",IF(AND('Bittrex Data'!C752="LIMIT_BUY",Bittrex!D752="USD"),"Buy","Trade")))</f>
        <v/>
      </c>
      <c r="D752" t="str">
        <f>IF('Bittrex Data'!B752="","",LEFT(LEFT('Bittrex Data'!B752,SEARCH("-",'Bittrex Data'!B752,1)),LEN(LEFT('Bittrex Data'!B752,SEARCH("-",'Bittrex Data'!B752,1)))-1))</f>
        <v/>
      </c>
      <c r="E752" t="str">
        <f>IF('Bittrex Data'!B752="","",RIGHT(RIGHT('Bittrex Data'!B752,LEN('Bittrex Data'!B752)-SEARCH("-",'Bittrex Data'!B752,1)+1),LEN(RIGHT('Bittrex Data'!B752,LEN('Bittrex Data'!B752)-SEARCH("-",'Bittrex Data'!B752,1)+1))-1))</f>
        <v/>
      </c>
      <c r="F752" t="str">
        <f>IF('Bittrex Data'!C752="","",IF('Bittrex Data'!C752="Limit_Sell",'Bittrex Data'!G752-'Bittrex Data'!F752,IF('Bittrex Data'!C752="Limit_Buy",'Bittrex Data'!G752+'Bittrex Data'!F752,"")))</f>
        <v/>
      </c>
      <c r="G752" t="str">
        <f>IF('Bittrex Data'!B752="","",'Bittrex Data'!D752)</f>
        <v/>
      </c>
      <c r="H752" t="str">
        <f>IF('Bittrex Data'!C752="","",IF(Bittrex!C752="Buy",Bittrex!D752,IF(Bittrex!C752="Sale",Bittrex!E752,IF(AND(Bittrex!C752="Trade",'Bittrex Data'!C752="Limit_Sell"),Bittrex!E752,IF(AND(Bittrex!C752="Trade",'Bittrex Data'!C752="Limit_Buy"),Bittrex!D752,"")))))</f>
        <v/>
      </c>
      <c r="I752" t="str">
        <f>IF('Bittrex Data'!C752="","",IF(Bittrex!C752="Buy",F752,IF(C752="Sale",Bittrex!G752,IF(AND(C752="Trade",'Bittrex Data'!C752="Limit_Sell"),Bittrex!G752,IF(AND(Bittrex!C752="Trade",'Bittrex Data'!C752="Limit_Buy"),F752,"")))))</f>
        <v/>
      </c>
      <c r="J752" t="str">
        <f>IF('Bittrex Data'!B752="","",IF('Bittrex Data'!B752="","",IF(Bittrex!H752=Bittrex!E752,D752,Bittrex!E752)))</f>
        <v/>
      </c>
      <c r="K752" t="str">
        <f>IF('Bittrex Data'!B752="","",IF(Bittrex!I752=Bittrex!G752,Bittrex!F752,Bittrex!G752))</f>
        <v/>
      </c>
    </row>
    <row r="753" spans="3:11" x14ac:dyDescent="0.2">
      <c r="C753" t="str">
        <f>IF('Bittrex Data'!A753="","",IF(AND('Bittrex Data'!C753="LIMIT_SELL",Bittrex!D753="USD"),"Sale",IF(AND('Bittrex Data'!C753="LIMIT_BUY",Bittrex!D753="USD"),"Buy","Trade")))</f>
        <v/>
      </c>
      <c r="D753" t="str">
        <f>IF('Bittrex Data'!B753="","",LEFT(LEFT('Bittrex Data'!B753,SEARCH("-",'Bittrex Data'!B753,1)),LEN(LEFT('Bittrex Data'!B753,SEARCH("-",'Bittrex Data'!B753,1)))-1))</f>
        <v/>
      </c>
      <c r="E753" t="str">
        <f>IF('Bittrex Data'!B753="","",RIGHT(RIGHT('Bittrex Data'!B753,LEN('Bittrex Data'!B753)-SEARCH("-",'Bittrex Data'!B753,1)+1),LEN(RIGHT('Bittrex Data'!B753,LEN('Bittrex Data'!B753)-SEARCH("-",'Bittrex Data'!B753,1)+1))-1))</f>
        <v/>
      </c>
      <c r="F753" t="str">
        <f>IF('Bittrex Data'!C753="","",IF('Bittrex Data'!C753="Limit_Sell",'Bittrex Data'!G753-'Bittrex Data'!F753,IF('Bittrex Data'!C753="Limit_Buy",'Bittrex Data'!G753+'Bittrex Data'!F753,"")))</f>
        <v/>
      </c>
      <c r="G753" t="str">
        <f>IF('Bittrex Data'!B753="","",'Bittrex Data'!D753)</f>
        <v/>
      </c>
      <c r="H753" t="str">
        <f>IF('Bittrex Data'!C753="","",IF(Bittrex!C753="Buy",Bittrex!D753,IF(Bittrex!C753="Sale",Bittrex!E753,IF(AND(Bittrex!C753="Trade",'Bittrex Data'!C753="Limit_Sell"),Bittrex!E753,IF(AND(Bittrex!C753="Trade",'Bittrex Data'!C753="Limit_Buy"),Bittrex!D753,"")))))</f>
        <v/>
      </c>
      <c r="I753" t="str">
        <f>IF('Bittrex Data'!C753="","",IF(Bittrex!C753="Buy",F753,IF(C753="Sale",Bittrex!G753,IF(AND(C753="Trade",'Bittrex Data'!C753="Limit_Sell"),Bittrex!G753,IF(AND(Bittrex!C753="Trade",'Bittrex Data'!C753="Limit_Buy"),F753,"")))))</f>
        <v/>
      </c>
      <c r="J753" t="str">
        <f>IF('Bittrex Data'!B753="","",IF('Bittrex Data'!B753="","",IF(Bittrex!H753=Bittrex!E753,D753,Bittrex!E753)))</f>
        <v/>
      </c>
      <c r="K753" t="str">
        <f>IF('Bittrex Data'!B753="","",IF(Bittrex!I753=Bittrex!G753,Bittrex!F753,Bittrex!G753))</f>
        <v/>
      </c>
    </row>
    <row r="754" spans="3:11" x14ac:dyDescent="0.2">
      <c r="C754" t="str">
        <f>IF('Bittrex Data'!A754="","",IF(AND('Bittrex Data'!C754="LIMIT_SELL",Bittrex!D754="USD"),"Sale",IF(AND('Bittrex Data'!C754="LIMIT_BUY",Bittrex!D754="USD"),"Buy","Trade")))</f>
        <v/>
      </c>
      <c r="D754" t="str">
        <f>IF('Bittrex Data'!B754="","",LEFT(LEFT('Bittrex Data'!B754,SEARCH("-",'Bittrex Data'!B754,1)),LEN(LEFT('Bittrex Data'!B754,SEARCH("-",'Bittrex Data'!B754,1)))-1))</f>
        <v/>
      </c>
      <c r="E754" t="str">
        <f>IF('Bittrex Data'!B754="","",RIGHT(RIGHT('Bittrex Data'!B754,LEN('Bittrex Data'!B754)-SEARCH("-",'Bittrex Data'!B754,1)+1),LEN(RIGHT('Bittrex Data'!B754,LEN('Bittrex Data'!B754)-SEARCH("-",'Bittrex Data'!B754,1)+1))-1))</f>
        <v/>
      </c>
      <c r="F754" t="str">
        <f>IF('Bittrex Data'!C754="","",IF('Bittrex Data'!C754="Limit_Sell",'Bittrex Data'!G754-'Bittrex Data'!F754,IF('Bittrex Data'!C754="Limit_Buy",'Bittrex Data'!G754+'Bittrex Data'!F754,"")))</f>
        <v/>
      </c>
      <c r="G754" t="str">
        <f>IF('Bittrex Data'!B754="","",'Bittrex Data'!D754)</f>
        <v/>
      </c>
      <c r="H754" t="str">
        <f>IF('Bittrex Data'!C754="","",IF(Bittrex!C754="Buy",Bittrex!D754,IF(Bittrex!C754="Sale",Bittrex!E754,IF(AND(Bittrex!C754="Trade",'Bittrex Data'!C754="Limit_Sell"),Bittrex!E754,IF(AND(Bittrex!C754="Trade",'Bittrex Data'!C754="Limit_Buy"),Bittrex!D754,"")))))</f>
        <v/>
      </c>
      <c r="I754" t="str">
        <f>IF('Bittrex Data'!C754="","",IF(Bittrex!C754="Buy",F754,IF(C754="Sale",Bittrex!G754,IF(AND(C754="Trade",'Bittrex Data'!C754="Limit_Sell"),Bittrex!G754,IF(AND(Bittrex!C754="Trade",'Bittrex Data'!C754="Limit_Buy"),F754,"")))))</f>
        <v/>
      </c>
      <c r="J754" t="str">
        <f>IF('Bittrex Data'!B754="","",IF('Bittrex Data'!B754="","",IF(Bittrex!H754=Bittrex!E754,D754,Bittrex!E754)))</f>
        <v/>
      </c>
      <c r="K754" t="str">
        <f>IF('Bittrex Data'!B754="","",IF(Bittrex!I754=Bittrex!G754,Bittrex!F754,Bittrex!G754))</f>
        <v/>
      </c>
    </row>
    <row r="755" spans="3:11" x14ac:dyDescent="0.2">
      <c r="C755" t="str">
        <f>IF('Bittrex Data'!A755="","",IF(AND('Bittrex Data'!C755="LIMIT_SELL",Bittrex!D755="USD"),"Sale",IF(AND('Bittrex Data'!C755="LIMIT_BUY",Bittrex!D755="USD"),"Buy","Trade")))</f>
        <v/>
      </c>
      <c r="D755" t="str">
        <f>IF('Bittrex Data'!B755="","",LEFT(LEFT('Bittrex Data'!B755,SEARCH("-",'Bittrex Data'!B755,1)),LEN(LEFT('Bittrex Data'!B755,SEARCH("-",'Bittrex Data'!B755,1)))-1))</f>
        <v/>
      </c>
      <c r="E755" t="str">
        <f>IF('Bittrex Data'!B755="","",RIGHT(RIGHT('Bittrex Data'!B755,LEN('Bittrex Data'!B755)-SEARCH("-",'Bittrex Data'!B755,1)+1),LEN(RIGHT('Bittrex Data'!B755,LEN('Bittrex Data'!B755)-SEARCH("-",'Bittrex Data'!B755,1)+1))-1))</f>
        <v/>
      </c>
      <c r="F755" t="str">
        <f>IF('Bittrex Data'!C755="","",IF('Bittrex Data'!C755="Limit_Sell",'Bittrex Data'!G755-'Bittrex Data'!F755,IF('Bittrex Data'!C755="Limit_Buy",'Bittrex Data'!G755+'Bittrex Data'!F755,"")))</f>
        <v/>
      </c>
      <c r="G755" t="str">
        <f>IF('Bittrex Data'!B755="","",'Bittrex Data'!D755)</f>
        <v/>
      </c>
      <c r="H755" t="str">
        <f>IF('Bittrex Data'!C755="","",IF(Bittrex!C755="Buy",Bittrex!D755,IF(Bittrex!C755="Sale",Bittrex!E755,IF(AND(Bittrex!C755="Trade",'Bittrex Data'!C755="Limit_Sell"),Bittrex!E755,IF(AND(Bittrex!C755="Trade",'Bittrex Data'!C755="Limit_Buy"),Bittrex!D755,"")))))</f>
        <v/>
      </c>
      <c r="I755" t="str">
        <f>IF('Bittrex Data'!C755="","",IF(Bittrex!C755="Buy",F755,IF(C755="Sale",Bittrex!G755,IF(AND(C755="Trade",'Bittrex Data'!C755="Limit_Sell"),Bittrex!G755,IF(AND(Bittrex!C755="Trade",'Bittrex Data'!C755="Limit_Buy"),F755,"")))))</f>
        <v/>
      </c>
      <c r="J755" t="str">
        <f>IF('Bittrex Data'!B755="","",IF('Bittrex Data'!B755="","",IF(Bittrex!H755=Bittrex!E755,D755,Bittrex!E755)))</f>
        <v/>
      </c>
      <c r="K755" t="str">
        <f>IF('Bittrex Data'!B755="","",IF(Bittrex!I755=Bittrex!G755,Bittrex!F755,Bittrex!G755))</f>
        <v/>
      </c>
    </row>
    <row r="756" spans="3:11" x14ac:dyDescent="0.2">
      <c r="C756" t="str">
        <f>IF('Bittrex Data'!A756="","",IF(AND('Bittrex Data'!C756="LIMIT_SELL",Bittrex!D756="USD"),"Sale",IF(AND('Bittrex Data'!C756="LIMIT_BUY",Bittrex!D756="USD"),"Buy","Trade")))</f>
        <v/>
      </c>
      <c r="D756" t="str">
        <f>IF('Bittrex Data'!B756="","",LEFT(LEFT('Bittrex Data'!B756,SEARCH("-",'Bittrex Data'!B756,1)),LEN(LEFT('Bittrex Data'!B756,SEARCH("-",'Bittrex Data'!B756,1)))-1))</f>
        <v/>
      </c>
      <c r="E756" t="str">
        <f>IF('Bittrex Data'!B756="","",RIGHT(RIGHT('Bittrex Data'!B756,LEN('Bittrex Data'!B756)-SEARCH("-",'Bittrex Data'!B756,1)+1),LEN(RIGHT('Bittrex Data'!B756,LEN('Bittrex Data'!B756)-SEARCH("-",'Bittrex Data'!B756,1)+1))-1))</f>
        <v/>
      </c>
      <c r="F756" t="str">
        <f>IF('Bittrex Data'!C756="","",IF('Bittrex Data'!C756="Limit_Sell",'Bittrex Data'!G756-'Bittrex Data'!F756,IF('Bittrex Data'!C756="Limit_Buy",'Bittrex Data'!G756+'Bittrex Data'!F756,"")))</f>
        <v/>
      </c>
      <c r="G756" t="str">
        <f>IF('Bittrex Data'!B756="","",'Bittrex Data'!D756)</f>
        <v/>
      </c>
      <c r="H756" t="str">
        <f>IF('Bittrex Data'!C756="","",IF(Bittrex!C756="Buy",Bittrex!D756,IF(Bittrex!C756="Sale",Bittrex!E756,IF(AND(Bittrex!C756="Trade",'Bittrex Data'!C756="Limit_Sell"),Bittrex!E756,IF(AND(Bittrex!C756="Trade",'Bittrex Data'!C756="Limit_Buy"),Bittrex!D756,"")))))</f>
        <v/>
      </c>
      <c r="I756" t="str">
        <f>IF('Bittrex Data'!C756="","",IF(Bittrex!C756="Buy",F756,IF(C756="Sale",Bittrex!G756,IF(AND(C756="Trade",'Bittrex Data'!C756="Limit_Sell"),Bittrex!G756,IF(AND(Bittrex!C756="Trade",'Bittrex Data'!C756="Limit_Buy"),F756,"")))))</f>
        <v/>
      </c>
      <c r="J756" t="str">
        <f>IF('Bittrex Data'!B756="","",IF('Bittrex Data'!B756="","",IF(Bittrex!H756=Bittrex!E756,D756,Bittrex!E756)))</f>
        <v/>
      </c>
      <c r="K756" t="str">
        <f>IF('Bittrex Data'!B756="","",IF(Bittrex!I756=Bittrex!G756,Bittrex!F756,Bittrex!G756))</f>
        <v/>
      </c>
    </row>
    <row r="757" spans="3:11" x14ac:dyDescent="0.2">
      <c r="C757" t="str">
        <f>IF('Bittrex Data'!A757="","",IF(AND('Bittrex Data'!C757="LIMIT_SELL",Bittrex!D757="USD"),"Sale",IF(AND('Bittrex Data'!C757="LIMIT_BUY",Bittrex!D757="USD"),"Buy","Trade")))</f>
        <v/>
      </c>
      <c r="D757" t="str">
        <f>IF('Bittrex Data'!B757="","",LEFT(LEFT('Bittrex Data'!B757,SEARCH("-",'Bittrex Data'!B757,1)),LEN(LEFT('Bittrex Data'!B757,SEARCH("-",'Bittrex Data'!B757,1)))-1))</f>
        <v/>
      </c>
      <c r="E757" t="str">
        <f>IF('Bittrex Data'!B757="","",RIGHT(RIGHT('Bittrex Data'!B757,LEN('Bittrex Data'!B757)-SEARCH("-",'Bittrex Data'!B757,1)+1),LEN(RIGHT('Bittrex Data'!B757,LEN('Bittrex Data'!B757)-SEARCH("-",'Bittrex Data'!B757,1)+1))-1))</f>
        <v/>
      </c>
      <c r="F757" t="str">
        <f>IF('Bittrex Data'!C757="","",IF('Bittrex Data'!C757="Limit_Sell",'Bittrex Data'!G757-'Bittrex Data'!F757,IF('Bittrex Data'!C757="Limit_Buy",'Bittrex Data'!G757+'Bittrex Data'!F757,"")))</f>
        <v/>
      </c>
      <c r="G757" t="str">
        <f>IF('Bittrex Data'!B757="","",'Bittrex Data'!D757)</f>
        <v/>
      </c>
      <c r="H757" t="str">
        <f>IF('Bittrex Data'!C757="","",IF(Bittrex!C757="Buy",Bittrex!D757,IF(Bittrex!C757="Sale",Bittrex!E757,IF(AND(Bittrex!C757="Trade",'Bittrex Data'!C757="Limit_Sell"),Bittrex!E757,IF(AND(Bittrex!C757="Trade",'Bittrex Data'!C757="Limit_Buy"),Bittrex!D757,"")))))</f>
        <v/>
      </c>
      <c r="I757" t="str">
        <f>IF('Bittrex Data'!C757="","",IF(Bittrex!C757="Buy",F757,IF(C757="Sale",Bittrex!G757,IF(AND(C757="Trade",'Bittrex Data'!C757="Limit_Sell"),Bittrex!G757,IF(AND(Bittrex!C757="Trade",'Bittrex Data'!C757="Limit_Buy"),F757,"")))))</f>
        <v/>
      </c>
      <c r="J757" t="str">
        <f>IF('Bittrex Data'!B757="","",IF('Bittrex Data'!B757="","",IF(Bittrex!H757=Bittrex!E757,D757,Bittrex!E757)))</f>
        <v/>
      </c>
      <c r="K757" t="str">
        <f>IF('Bittrex Data'!B757="","",IF(Bittrex!I757=Bittrex!G757,Bittrex!F757,Bittrex!G757))</f>
        <v/>
      </c>
    </row>
    <row r="758" spans="3:11" x14ac:dyDescent="0.2">
      <c r="C758" t="str">
        <f>IF('Bittrex Data'!A758="","",IF(AND('Bittrex Data'!C758="LIMIT_SELL",Bittrex!D758="USD"),"Sale",IF(AND('Bittrex Data'!C758="LIMIT_BUY",Bittrex!D758="USD"),"Buy","Trade")))</f>
        <v/>
      </c>
      <c r="D758" t="str">
        <f>IF('Bittrex Data'!B758="","",LEFT(LEFT('Bittrex Data'!B758,SEARCH("-",'Bittrex Data'!B758,1)),LEN(LEFT('Bittrex Data'!B758,SEARCH("-",'Bittrex Data'!B758,1)))-1))</f>
        <v/>
      </c>
      <c r="E758" t="str">
        <f>IF('Bittrex Data'!B758="","",RIGHT(RIGHT('Bittrex Data'!B758,LEN('Bittrex Data'!B758)-SEARCH("-",'Bittrex Data'!B758,1)+1),LEN(RIGHT('Bittrex Data'!B758,LEN('Bittrex Data'!B758)-SEARCH("-",'Bittrex Data'!B758,1)+1))-1))</f>
        <v/>
      </c>
      <c r="F758" t="str">
        <f>IF('Bittrex Data'!C758="","",IF('Bittrex Data'!C758="Limit_Sell",'Bittrex Data'!G758-'Bittrex Data'!F758,IF('Bittrex Data'!C758="Limit_Buy",'Bittrex Data'!G758+'Bittrex Data'!F758,"")))</f>
        <v/>
      </c>
      <c r="G758" t="str">
        <f>IF('Bittrex Data'!B758="","",'Bittrex Data'!D758)</f>
        <v/>
      </c>
      <c r="H758" t="str">
        <f>IF('Bittrex Data'!C758="","",IF(Bittrex!C758="Buy",Bittrex!D758,IF(Bittrex!C758="Sale",Bittrex!E758,IF(AND(Bittrex!C758="Trade",'Bittrex Data'!C758="Limit_Sell"),Bittrex!E758,IF(AND(Bittrex!C758="Trade",'Bittrex Data'!C758="Limit_Buy"),Bittrex!D758,"")))))</f>
        <v/>
      </c>
      <c r="I758" t="str">
        <f>IF('Bittrex Data'!C758="","",IF(Bittrex!C758="Buy",F758,IF(C758="Sale",Bittrex!G758,IF(AND(C758="Trade",'Bittrex Data'!C758="Limit_Sell"),Bittrex!G758,IF(AND(Bittrex!C758="Trade",'Bittrex Data'!C758="Limit_Buy"),F758,"")))))</f>
        <v/>
      </c>
      <c r="J758" t="str">
        <f>IF('Bittrex Data'!B758="","",IF('Bittrex Data'!B758="","",IF(Bittrex!H758=Bittrex!E758,D758,Bittrex!E758)))</f>
        <v/>
      </c>
      <c r="K758" t="str">
        <f>IF('Bittrex Data'!B758="","",IF(Bittrex!I758=Bittrex!G758,Bittrex!F758,Bittrex!G758))</f>
        <v/>
      </c>
    </row>
    <row r="759" spans="3:11" x14ac:dyDescent="0.2">
      <c r="C759" t="str">
        <f>IF('Bittrex Data'!A759="","",IF(AND('Bittrex Data'!C759="LIMIT_SELL",Bittrex!D759="USD"),"Sale",IF(AND('Bittrex Data'!C759="LIMIT_BUY",Bittrex!D759="USD"),"Buy","Trade")))</f>
        <v/>
      </c>
      <c r="D759" t="str">
        <f>IF('Bittrex Data'!B759="","",LEFT(LEFT('Bittrex Data'!B759,SEARCH("-",'Bittrex Data'!B759,1)),LEN(LEFT('Bittrex Data'!B759,SEARCH("-",'Bittrex Data'!B759,1)))-1))</f>
        <v/>
      </c>
      <c r="E759" t="str">
        <f>IF('Bittrex Data'!B759="","",RIGHT(RIGHT('Bittrex Data'!B759,LEN('Bittrex Data'!B759)-SEARCH("-",'Bittrex Data'!B759,1)+1),LEN(RIGHT('Bittrex Data'!B759,LEN('Bittrex Data'!B759)-SEARCH("-",'Bittrex Data'!B759,1)+1))-1))</f>
        <v/>
      </c>
      <c r="F759" t="str">
        <f>IF('Bittrex Data'!C759="","",IF('Bittrex Data'!C759="Limit_Sell",'Bittrex Data'!G759-'Bittrex Data'!F759,IF('Bittrex Data'!C759="Limit_Buy",'Bittrex Data'!G759+'Bittrex Data'!F759,"")))</f>
        <v/>
      </c>
      <c r="G759" t="str">
        <f>IF('Bittrex Data'!B759="","",'Bittrex Data'!D759)</f>
        <v/>
      </c>
      <c r="H759" t="str">
        <f>IF('Bittrex Data'!C759="","",IF(Bittrex!C759="Buy",Bittrex!D759,IF(Bittrex!C759="Sale",Bittrex!E759,IF(AND(Bittrex!C759="Trade",'Bittrex Data'!C759="Limit_Sell"),Bittrex!E759,IF(AND(Bittrex!C759="Trade",'Bittrex Data'!C759="Limit_Buy"),Bittrex!D759,"")))))</f>
        <v/>
      </c>
      <c r="I759" t="str">
        <f>IF('Bittrex Data'!C759="","",IF(Bittrex!C759="Buy",F759,IF(C759="Sale",Bittrex!G759,IF(AND(C759="Trade",'Bittrex Data'!C759="Limit_Sell"),Bittrex!G759,IF(AND(Bittrex!C759="Trade",'Bittrex Data'!C759="Limit_Buy"),F759,"")))))</f>
        <v/>
      </c>
      <c r="J759" t="str">
        <f>IF('Bittrex Data'!B759="","",IF('Bittrex Data'!B759="","",IF(Bittrex!H759=Bittrex!E759,D759,Bittrex!E759)))</f>
        <v/>
      </c>
      <c r="K759" t="str">
        <f>IF('Bittrex Data'!B759="","",IF(Bittrex!I759=Bittrex!G759,Bittrex!F759,Bittrex!G759))</f>
        <v/>
      </c>
    </row>
    <row r="760" spans="3:11" x14ac:dyDescent="0.2">
      <c r="C760" t="str">
        <f>IF('Bittrex Data'!A760="","",IF(AND('Bittrex Data'!C760="LIMIT_SELL",Bittrex!D760="USD"),"Sale",IF(AND('Bittrex Data'!C760="LIMIT_BUY",Bittrex!D760="USD"),"Buy","Trade")))</f>
        <v/>
      </c>
      <c r="D760" t="str">
        <f>IF('Bittrex Data'!B760="","",LEFT(LEFT('Bittrex Data'!B760,SEARCH("-",'Bittrex Data'!B760,1)),LEN(LEFT('Bittrex Data'!B760,SEARCH("-",'Bittrex Data'!B760,1)))-1))</f>
        <v/>
      </c>
      <c r="E760" t="str">
        <f>IF('Bittrex Data'!B760="","",RIGHT(RIGHT('Bittrex Data'!B760,LEN('Bittrex Data'!B760)-SEARCH("-",'Bittrex Data'!B760,1)+1),LEN(RIGHT('Bittrex Data'!B760,LEN('Bittrex Data'!B760)-SEARCH("-",'Bittrex Data'!B760,1)+1))-1))</f>
        <v/>
      </c>
      <c r="F760" t="str">
        <f>IF('Bittrex Data'!C760="","",IF('Bittrex Data'!C760="Limit_Sell",'Bittrex Data'!G760-'Bittrex Data'!F760,IF('Bittrex Data'!C760="Limit_Buy",'Bittrex Data'!G760+'Bittrex Data'!F760,"")))</f>
        <v/>
      </c>
      <c r="G760" t="str">
        <f>IF('Bittrex Data'!B760="","",'Bittrex Data'!D760)</f>
        <v/>
      </c>
      <c r="H760" t="str">
        <f>IF('Bittrex Data'!C760="","",IF(Bittrex!C760="Buy",Bittrex!D760,IF(Bittrex!C760="Sale",Bittrex!E760,IF(AND(Bittrex!C760="Trade",'Bittrex Data'!C760="Limit_Sell"),Bittrex!E760,IF(AND(Bittrex!C760="Trade",'Bittrex Data'!C760="Limit_Buy"),Bittrex!D760,"")))))</f>
        <v/>
      </c>
      <c r="I760" t="str">
        <f>IF('Bittrex Data'!C760="","",IF(Bittrex!C760="Buy",F760,IF(C760="Sale",Bittrex!G760,IF(AND(C760="Trade",'Bittrex Data'!C760="Limit_Sell"),Bittrex!G760,IF(AND(Bittrex!C760="Trade",'Bittrex Data'!C760="Limit_Buy"),F760,"")))))</f>
        <v/>
      </c>
      <c r="J760" t="str">
        <f>IF('Bittrex Data'!B760="","",IF('Bittrex Data'!B760="","",IF(Bittrex!H760=Bittrex!E760,D760,Bittrex!E760)))</f>
        <v/>
      </c>
      <c r="K760" t="str">
        <f>IF('Bittrex Data'!B760="","",IF(Bittrex!I760=Bittrex!G760,Bittrex!F760,Bittrex!G760))</f>
        <v/>
      </c>
    </row>
    <row r="761" spans="3:11" x14ac:dyDescent="0.2">
      <c r="C761" t="str">
        <f>IF('Bittrex Data'!A761="","",IF(AND('Bittrex Data'!C761="LIMIT_SELL",Bittrex!D761="USD"),"Sale",IF(AND('Bittrex Data'!C761="LIMIT_BUY",Bittrex!D761="USD"),"Buy","Trade")))</f>
        <v/>
      </c>
      <c r="D761" t="str">
        <f>IF('Bittrex Data'!B761="","",LEFT(LEFT('Bittrex Data'!B761,SEARCH("-",'Bittrex Data'!B761,1)),LEN(LEFT('Bittrex Data'!B761,SEARCH("-",'Bittrex Data'!B761,1)))-1))</f>
        <v/>
      </c>
      <c r="E761" t="str">
        <f>IF('Bittrex Data'!B761="","",RIGHT(RIGHT('Bittrex Data'!B761,LEN('Bittrex Data'!B761)-SEARCH("-",'Bittrex Data'!B761,1)+1),LEN(RIGHT('Bittrex Data'!B761,LEN('Bittrex Data'!B761)-SEARCH("-",'Bittrex Data'!B761,1)+1))-1))</f>
        <v/>
      </c>
      <c r="F761" t="str">
        <f>IF('Bittrex Data'!C761="","",IF('Bittrex Data'!C761="Limit_Sell",'Bittrex Data'!G761-'Bittrex Data'!F761,IF('Bittrex Data'!C761="Limit_Buy",'Bittrex Data'!G761+'Bittrex Data'!F761,"")))</f>
        <v/>
      </c>
      <c r="G761" t="str">
        <f>IF('Bittrex Data'!B761="","",'Bittrex Data'!D761)</f>
        <v/>
      </c>
      <c r="H761" t="str">
        <f>IF('Bittrex Data'!C761="","",IF(Bittrex!C761="Buy",Bittrex!D761,IF(Bittrex!C761="Sale",Bittrex!E761,IF(AND(Bittrex!C761="Trade",'Bittrex Data'!C761="Limit_Sell"),Bittrex!E761,IF(AND(Bittrex!C761="Trade",'Bittrex Data'!C761="Limit_Buy"),Bittrex!D761,"")))))</f>
        <v/>
      </c>
      <c r="I761" t="str">
        <f>IF('Bittrex Data'!C761="","",IF(Bittrex!C761="Buy",F761,IF(C761="Sale",Bittrex!G761,IF(AND(C761="Trade",'Bittrex Data'!C761="Limit_Sell"),Bittrex!G761,IF(AND(Bittrex!C761="Trade",'Bittrex Data'!C761="Limit_Buy"),F761,"")))))</f>
        <v/>
      </c>
      <c r="J761" t="str">
        <f>IF('Bittrex Data'!B761="","",IF('Bittrex Data'!B761="","",IF(Bittrex!H761=Bittrex!E761,D761,Bittrex!E761)))</f>
        <v/>
      </c>
      <c r="K761" t="str">
        <f>IF('Bittrex Data'!B761="","",IF(Bittrex!I761=Bittrex!G761,Bittrex!F761,Bittrex!G761))</f>
        <v/>
      </c>
    </row>
    <row r="762" spans="3:11" x14ac:dyDescent="0.2">
      <c r="C762" t="str">
        <f>IF('Bittrex Data'!A762="","",IF(AND('Bittrex Data'!C762="LIMIT_SELL",Bittrex!D762="USD"),"Sale",IF(AND('Bittrex Data'!C762="LIMIT_BUY",Bittrex!D762="USD"),"Buy","Trade")))</f>
        <v/>
      </c>
      <c r="D762" t="str">
        <f>IF('Bittrex Data'!B762="","",LEFT(LEFT('Bittrex Data'!B762,SEARCH("-",'Bittrex Data'!B762,1)),LEN(LEFT('Bittrex Data'!B762,SEARCH("-",'Bittrex Data'!B762,1)))-1))</f>
        <v/>
      </c>
      <c r="E762" t="str">
        <f>IF('Bittrex Data'!B762="","",RIGHT(RIGHT('Bittrex Data'!B762,LEN('Bittrex Data'!B762)-SEARCH("-",'Bittrex Data'!B762,1)+1),LEN(RIGHT('Bittrex Data'!B762,LEN('Bittrex Data'!B762)-SEARCH("-",'Bittrex Data'!B762,1)+1))-1))</f>
        <v/>
      </c>
      <c r="F762" t="str">
        <f>IF('Bittrex Data'!C762="","",IF('Bittrex Data'!C762="Limit_Sell",'Bittrex Data'!G762-'Bittrex Data'!F762,IF('Bittrex Data'!C762="Limit_Buy",'Bittrex Data'!G762+'Bittrex Data'!F762,"")))</f>
        <v/>
      </c>
      <c r="G762" t="str">
        <f>IF('Bittrex Data'!B762="","",'Bittrex Data'!D762)</f>
        <v/>
      </c>
      <c r="H762" t="str">
        <f>IF('Bittrex Data'!C762="","",IF(Bittrex!C762="Buy",Bittrex!D762,IF(Bittrex!C762="Sale",Bittrex!E762,IF(AND(Bittrex!C762="Trade",'Bittrex Data'!C762="Limit_Sell"),Bittrex!E762,IF(AND(Bittrex!C762="Trade",'Bittrex Data'!C762="Limit_Buy"),Bittrex!D762,"")))))</f>
        <v/>
      </c>
      <c r="I762" t="str">
        <f>IF('Bittrex Data'!C762="","",IF(Bittrex!C762="Buy",F762,IF(C762="Sale",Bittrex!G762,IF(AND(C762="Trade",'Bittrex Data'!C762="Limit_Sell"),Bittrex!G762,IF(AND(Bittrex!C762="Trade",'Bittrex Data'!C762="Limit_Buy"),F762,"")))))</f>
        <v/>
      </c>
      <c r="J762" t="str">
        <f>IF('Bittrex Data'!B762="","",IF('Bittrex Data'!B762="","",IF(Bittrex!H762=Bittrex!E762,D762,Bittrex!E762)))</f>
        <v/>
      </c>
      <c r="K762" t="str">
        <f>IF('Bittrex Data'!B762="","",IF(Bittrex!I762=Bittrex!G762,Bittrex!F762,Bittrex!G762))</f>
        <v/>
      </c>
    </row>
    <row r="763" spans="3:11" x14ac:dyDescent="0.2">
      <c r="C763" t="str">
        <f>IF('Bittrex Data'!A763="","",IF(AND('Bittrex Data'!C763="LIMIT_SELL",Bittrex!D763="USD"),"Sale",IF(AND('Bittrex Data'!C763="LIMIT_BUY",Bittrex!D763="USD"),"Buy","Trade")))</f>
        <v/>
      </c>
      <c r="D763" t="str">
        <f>IF('Bittrex Data'!B763="","",LEFT(LEFT('Bittrex Data'!B763,SEARCH("-",'Bittrex Data'!B763,1)),LEN(LEFT('Bittrex Data'!B763,SEARCH("-",'Bittrex Data'!B763,1)))-1))</f>
        <v/>
      </c>
      <c r="E763" t="str">
        <f>IF('Bittrex Data'!B763="","",RIGHT(RIGHT('Bittrex Data'!B763,LEN('Bittrex Data'!B763)-SEARCH("-",'Bittrex Data'!B763,1)+1),LEN(RIGHT('Bittrex Data'!B763,LEN('Bittrex Data'!B763)-SEARCH("-",'Bittrex Data'!B763,1)+1))-1))</f>
        <v/>
      </c>
      <c r="F763" t="str">
        <f>IF('Bittrex Data'!C763="","",IF('Bittrex Data'!C763="Limit_Sell",'Bittrex Data'!G763-'Bittrex Data'!F763,IF('Bittrex Data'!C763="Limit_Buy",'Bittrex Data'!G763+'Bittrex Data'!F763,"")))</f>
        <v/>
      </c>
      <c r="G763" t="str">
        <f>IF('Bittrex Data'!B763="","",'Bittrex Data'!D763)</f>
        <v/>
      </c>
      <c r="H763" t="str">
        <f>IF('Bittrex Data'!C763="","",IF(Bittrex!C763="Buy",Bittrex!D763,IF(Bittrex!C763="Sale",Bittrex!E763,IF(AND(Bittrex!C763="Trade",'Bittrex Data'!C763="Limit_Sell"),Bittrex!E763,IF(AND(Bittrex!C763="Trade",'Bittrex Data'!C763="Limit_Buy"),Bittrex!D763,"")))))</f>
        <v/>
      </c>
      <c r="I763" t="str">
        <f>IF('Bittrex Data'!C763="","",IF(Bittrex!C763="Buy",F763,IF(C763="Sale",Bittrex!G763,IF(AND(C763="Trade",'Bittrex Data'!C763="Limit_Sell"),Bittrex!G763,IF(AND(Bittrex!C763="Trade",'Bittrex Data'!C763="Limit_Buy"),F763,"")))))</f>
        <v/>
      </c>
      <c r="J763" t="str">
        <f>IF('Bittrex Data'!B763="","",IF('Bittrex Data'!B763="","",IF(Bittrex!H763=Bittrex!E763,D763,Bittrex!E763)))</f>
        <v/>
      </c>
      <c r="K763" t="str">
        <f>IF('Bittrex Data'!B763="","",IF(Bittrex!I763=Bittrex!G763,Bittrex!F763,Bittrex!G763))</f>
        <v/>
      </c>
    </row>
    <row r="764" spans="3:11" x14ac:dyDescent="0.2">
      <c r="C764" t="str">
        <f>IF('Bittrex Data'!A764="","",IF(AND('Bittrex Data'!C764="LIMIT_SELL",Bittrex!D764="USD"),"Sale",IF(AND('Bittrex Data'!C764="LIMIT_BUY",Bittrex!D764="USD"),"Buy","Trade")))</f>
        <v/>
      </c>
      <c r="D764" t="str">
        <f>IF('Bittrex Data'!B764="","",LEFT(LEFT('Bittrex Data'!B764,SEARCH("-",'Bittrex Data'!B764,1)),LEN(LEFT('Bittrex Data'!B764,SEARCH("-",'Bittrex Data'!B764,1)))-1))</f>
        <v/>
      </c>
      <c r="E764" t="str">
        <f>IF('Bittrex Data'!B764="","",RIGHT(RIGHT('Bittrex Data'!B764,LEN('Bittrex Data'!B764)-SEARCH("-",'Bittrex Data'!B764,1)+1),LEN(RIGHT('Bittrex Data'!B764,LEN('Bittrex Data'!B764)-SEARCH("-",'Bittrex Data'!B764,1)+1))-1))</f>
        <v/>
      </c>
      <c r="F764" t="str">
        <f>IF('Bittrex Data'!C764="","",IF('Bittrex Data'!C764="Limit_Sell",'Bittrex Data'!G764-'Bittrex Data'!F764,IF('Bittrex Data'!C764="Limit_Buy",'Bittrex Data'!G764+'Bittrex Data'!F764,"")))</f>
        <v/>
      </c>
      <c r="G764" t="str">
        <f>IF('Bittrex Data'!B764="","",'Bittrex Data'!D764)</f>
        <v/>
      </c>
      <c r="H764" t="str">
        <f>IF('Bittrex Data'!C764="","",IF(Bittrex!C764="Buy",Bittrex!D764,IF(Bittrex!C764="Sale",Bittrex!E764,IF(AND(Bittrex!C764="Trade",'Bittrex Data'!C764="Limit_Sell"),Bittrex!E764,IF(AND(Bittrex!C764="Trade",'Bittrex Data'!C764="Limit_Buy"),Bittrex!D764,"")))))</f>
        <v/>
      </c>
      <c r="I764" t="str">
        <f>IF('Bittrex Data'!C764="","",IF(Bittrex!C764="Buy",F764,IF(C764="Sale",Bittrex!G764,IF(AND(C764="Trade",'Bittrex Data'!C764="Limit_Sell"),Bittrex!G764,IF(AND(Bittrex!C764="Trade",'Bittrex Data'!C764="Limit_Buy"),F764,"")))))</f>
        <v/>
      </c>
      <c r="J764" t="str">
        <f>IF('Bittrex Data'!B764="","",IF('Bittrex Data'!B764="","",IF(Bittrex!H764=Bittrex!E764,D764,Bittrex!E764)))</f>
        <v/>
      </c>
      <c r="K764" t="str">
        <f>IF('Bittrex Data'!B764="","",IF(Bittrex!I764=Bittrex!G764,Bittrex!F764,Bittrex!G764))</f>
        <v/>
      </c>
    </row>
    <row r="765" spans="3:11" x14ac:dyDescent="0.2">
      <c r="C765" t="str">
        <f>IF('Bittrex Data'!A765="","",IF(AND('Bittrex Data'!C765="LIMIT_SELL",Bittrex!D765="USD"),"Sale",IF(AND('Bittrex Data'!C765="LIMIT_BUY",Bittrex!D765="USD"),"Buy","Trade")))</f>
        <v/>
      </c>
      <c r="D765" t="str">
        <f>IF('Bittrex Data'!B765="","",LEFT(LEFT('Bittrex Data'!B765,SEARCH("-",'Bittrex Data'!B765,1)),LEN(LEFT('Bittrex Data'!B765,SEARCH("-",'Bittrex Data'!B765,1)))-1))</f>
        <v/>
      </c>
      <c r="E765" t="str">
        <f>IF('Bittrex Data'!B765="","",RIGHT(RIGHT('Bittrex Data'!B765,LEN('Bittrex Data'!B765)-SEARCH("-",'Bittrex Data'!B765,1)+1),LEN(RIGHT('Bittrex Data'!B765,LEN('Bittrex Data'!B765)-SEARCH("-",'Bittrex Data'!B765,1)+1))-1))</f>
        <v/>
      </c>
      <c r="F765" t="str">
        <f>IF('Bittrex Data'!C765="","",IF('Bittrex Data'!C765="Limit_Sell",'Bittrex Data'!G765-'Bittrex Data'!F765,IF('Bittrex Data'!C765="Limit_Buy",'Bittrex Data'!G765+'Bittrex Data'!F765,"")))</f>
        <v/>
      </c>
      <c r="G765" t="str">
        <f>IF('Bittrex Data'!B765="","",'Bittrex Data'!D765)</f>
        <v/>
      </c>
      <c r="H765" t="str">
        <f>IF('Bittrex Data'!C765="","",IF(Bittrex!C765="Buy",Bittrex!D765,IF(Bittrex!C765="Sale",Bittrex!E765,IF(AND(Bittrex!C765="Trade",'Bittrex Data'!C765="Limit_Sell"),Bittrex!E765,IF(AND(Bittrex!C765="Trade",'Bittrex Data'!C765="Limit_Buy"),Bittrex!D765,"")))))</f>
        <v/>
      </c>
      <c r="I765" t="str">
        <f>IF('Bittrex Data'!C765="","",IF(Bittrex!C765="Buy",F765,IF(C765="Sale",Bittrex!G765,IF(AND(C765="Trade",'Bittrex Data'!C765="Limit_Sell"),Bittrex!G765,IF(AND(Bittrex!C765="Trade",'Bittrex Data'!C765="Limit_Buy"),F765,"")))))</f>
        <v/>
      </c>
      <c r="J765" t="str">
        <f>IF('Bittrex Data'!B765="","",IF('Bittrex Data'!B765="","",IF(Bittrex!H765=Bittrex!E765,D765,Bittrex!E765)))</f>
        <v/>
      </c>
      <c r="K765" t="str">
        <f>IF('Bittrex Data'!B765="","",IF(Bittrex!I765=Bittrex!G765,Bittrex!F765,Bittrex!G765))</f>
        <v/>
      </c>
    </row>
    <row r="766" spans="3:11" x14ac:dyDescent="0.2">
      <c r="C766" t="str">
        <f>IF('Bittrex Data'!A766="","",IF(AND('Bittrex Data'!C766="LIMIT_SELL",Bittrex!D766="USD"),"Sale",IF(AND('Bittrex Data'!C766="LIMIT_BUY",Bittrex!D766="USD"),"Buy","Trade")))</f>
        <v/>
      </c>
      <c r="D766" t="str">
        <f>IF('Bittrex Data'!B766="","",LEFT(LEFT('Bittrex Data'!B766,SEARCH("-",'Bittrex Data'!B766,1)),LEN(LEFT('Bittrex Data'!B766,SEARCH("-",'Bittrex Data'!B766,1)))-1))</f>
        <v/>
      </c>
      <c r="E766" t="str">
        <f>IF('Bittrex Data'!B766="","",RIGHT(RIGHT('Bittrex Data'!B766,LEN('Bittrex Data'!B766)-SEARCH("-",'Bittrex Data'!B766,1)+1),LEN(RIGHT('Bittrex Data'!B766,LEN('Bittrex Data'!B766)-SEARCH("-",'Bittrex Data'!B766,1)+1))-1))</f>
        <v/>
      </c>
      <c r="F766" t="str">
        <f>IF('Bittrex Data'!C766="","",IF('Bittrex Data'!C766="Limit_Sell",'Bittrex Data'!G766-'Bittrex Data'!F766,IF('Bittrex Data'!C766="Limit_Buy",'Bittrex Data'!G766+'Bittrex Data'!F766,"")))</f>
        <v/>
      </c>
      <c r="G766" t="str">
        <f>IF('Bittrex Data'!B766="","",'Bittrex Data'!D766)</f>
        <v/>
      </c>
      <c r="H766" t="str">
        <f>IF('Bittrex Data'!C766="","",IF(Bittrex!C766="Buy",Bittrex!D766,IF(Bittrex!C766="Sale",Bittrex!E766,IF(AND(Bittrex!C766="Trade",'Bittrex Data'!C766="Limit_Sell"),Bittrex!E766,IF(AND(Bittrex!C766="Trade",'Bittrex Data'!C766="Limit_Buy"),Bittrex!D766,"")))))</f>
        <v/>
      </c>
      <c r="I766" t="str">
        <f>IF('Bittrex Data'!C766="","",IF(Bittrex!C766="Buy",F766,IF(C766="Sale",Bittrex!G766,IF(AND(C766="Trade",'Bittrex Data'!C766="Limit_Sell"),Bittrex!G766,IF(AND(Bittrex!C766="Trade",'Bittrex Data'!C766="Limit_Buy"),F766,"")))))</f>
        <v/>
      </c>
      <c r="J766" t="str">
        <f>IF('Bittrex Data'!B766="","",IF('Bittrex Data'!B766="","",IF(Bittrex!H766=Bittrex!E766,D766,Bittrex!E766)))</f>
        <v/>
      </c>
      <c r="K766" t="str">
        <f>IF('Bittrex Data'!B766="","",IF(Bittrex!I766=Bittrex!G766,Bittrex!F766,Bittrex!G766))</f>
        <v/>
      </c>
    </row>
    <row r="767" spans="3:11" x14ac:dyDescent="0.2">
      <c r="C767" t="str">
        <f>IF('Bittrex Data'!A767="","",IF(AND('Bittrex Data'!C767="LIMIT_SELL",Bittrex!D767="USD"),"Sale",IF(AND('Bittrex Data'!C767="LIMIT_BUY",Bittrex!D767="USD"),"Buy","Trade")))</f>
        <v/>
      </c>
      <c r="D767" t="str">
        <f>IF('Bittrex Data'!B767="","",LEFT(LEFT('Bittrex Data'!B767,SEARCH("-",'Bittrex Data'!B767,1)),LEN(LEFT('Bittrex Data'!B767,SEARCH("-",'Bittrex Data'!B767,1)))-1))</f>
        <v/>
      </c>
      <c r="E767" t="str">
        <f>IF('Bittrex Data'!B767="","",RIGHT(RIGHT('Bittrex Data'!B767,LEN('Bittrex Data'!B767)-SEARCH("-",'Bittrex Data'!B767,1)+1),LEN(RIGHT('Bittrex Data'!B767,LEN('Bittrex Data'!B767)-SEARCH("-",'Bittrex Data'!B767,1)+1))-1))</f>
        <v/>
      </c>
      <c r="F767" t="str">
        <f>IF('Bittrex Data'!C767="","",IF('Bittrex Data'!C767="Limit_Sell",'Bittrex Data'!G767-'Bittrex Data'!F767,IF('Bittrex Data'!C767="Limit_Buy",'Bittrex Data'!G767+'Bittrex Data'!F767,"")))</f>
        <v/>
      </c>
      <c r="G767" t="str">
        <f>IF('Bittrex Data'!B767="","",'Bittrex Data'!D767)</f>
        <v/>
      </c>
      <c r="H767" t="str">
        <f>IF('Bittrex Data'!C767="","",IF(Bittrex!C767="Buy",Bittrex!D767,IF(Bittrex!C767="Sale",Bittrex!E767,IF(AND(Bittrex!C767="Trade",'Bittrex Data'!C767="Limit_Sell"),Bittrex!E767,IF(AND(Bittrex!C767="Trade",'Bittrex Data'!C767="Limit_Buy"),Bittrex!D767,"")))))</f>
        <v/>
      </c>
      <c r="I767" t="str">
        <f>IF('Bittrex Data'!C767="","",IF(Bittrex!C767="Buy",F767,IF(C767="Sale",Bittrex!G767,IF(AND(C767="Trade",'Bittrex Data'!C767="Limit_Sell"),Bittrex!G767,IF(AND(Bittrex!C767="Trade",'Bittrex Data'!C767="Limit_Buy"),F767,"")))))</f>
        <v/>
      </c>
      <c r="J767" t="str">
        <f>IF('Bittrex Data'!B767="","",IF('Bittrex Data'!B767="","",IF(Bittrex!H767=Bittrex!E767,D767,Bittrex!E767)))</f>
        <v/>
      </c>
      <c r="K767" t="str">
        <f>IF('Bittrex Data'!B767="","",IF(Bittrex!I767=Bittrex!G767,Bittrex!F767,Bittrex!G767))</f>
        <v/>
      </c>
    </row>
    <row r="768" spans="3:11" x14ac:dyDescent="0.2">
      <c r="C768" t="str">
        <f>IF('Bittrex Data'!A768="","",IF(AND('Bittrex Data'!C768="LIMIT_SELL",Bittrex!D768="USD"),"Sale",IF(AND('Bittrex Data'!C768="LIMIT_BUY",Bittrex!D768="USD"),"Buy","Trade")))</f>
        <v/>
      </c>
      <c r="D768" t="str">
        <f>IF('Bittrex Data'!B768="","",LEFT(LEFT('Bittrex Data'!B768,SEARCH("-",'Bittrex Data'!B768,1)),LEN(LEFT('Bittrex Data'!B768,SEARCH("-",'Bittrex Data'!B768,1)))-1))</f>
        <v/>
      </c>
      <c r="E768" t="str">
        <f>IF('Bittrex Data'!B768="","",RIGHT(RIGHT('Bittrex Data'!B768,LEN('Bittrex Data'!B768)-SEARCH("-",'Bittrex Data'!B768,1)+1),LEN(RIGHT('Bittrex Data'!B768,LEN('Bittrex Data'!B768)-SEARCH("-",'Bittrex Data'!B768,1)+1))-1))</f>
        <v/>
      </c>
      <c r="F768" t="str">
        <f>IF('Bittrex Data'!C768="","",IF('Bittrex Data'!C768="Limit_Sell",'Bittrex Data'!G768-'Bittrex Data'!F768,IF('Bittrex Data'!C768="Limit_Buy",'Bittrex Data'!G768+'Bittrex Data'!F768,"")))</f>
        <v/>
      </c>
      <c r="G768" t="str">
        <f>IF('Bittrex Data'!B768="","",'Bittrex Data'!D768)</f>
        <v/>
      </c>
      <c r="H768" t="str">
        <f>IF('Bittrex Data'!C768="","",IF(Bittrex!C768="Buy",Bittrex!D768,IF(Bittrex!C768="Sale",Bittrex!E768,IF(AND(Bittrex!C768="Trade",'Bittrex Data'!C768="Limit_Sell"),Bittrex!E768,IF(AND(Bittrex!C768="Trade",'Bittrex Data'!C768="Limit_Buy"),Bittrex!D768,"")))))</f>
        <v/>
      </c>
      <c r="I768" t="str">
        <f>IF('Bittrex Data'!C768="","",IF(Bittrex!C768="Buy",F768,IF(C768="Sale",Bittrex!G768,IF(AND(C768="Trade",'Bittrex Data'!C768="Limit_Sell"),Bittrex!G768,IF(AND(Bittrex!C768="Trade",'Bittrex Data'!C768="Limit_Buy"),F768,"")))))</f>
        <v/>
      </c>
      <c r="J768" t="str">
        <f>IF('Bittrex Data'!B768="","",IF('Bittrex Data'!B768="","",IF(Bittrex!H768=Bittrex!E768,D768,Bittrex!E768)))</f>
        <v/>
      </c>
      <c r="K768" t="str">
        <f>IF('Bittrex Data'!B768="","",IF(Bittrex!I768=Bittrex!G768,Bittrex!F768,Bittrex!G768))</f>
        <v/>
      </c>
    </row>
    <row r="769" spans="3:11" x14ac:dyDescent="0.2">
      <c r="C769" t="str">
        <f>IF('Bittrex Data'!A769="","",IF(AND('Bittrex Data'!C769="LIMIT_SELL",Bittrex!D769="USD"),"Sale",IF(AND('Bittrex Data'!C769="LIMIT_BUY",Bittrex!D769="USD"),"Buy","Trade")))</f>
        <v/>
      </c>
      <c r="D769" t="str">
        <f>IF('Bittrex Data'!B769="","",LEFT(LEFT('Bittrex Data'!B769,SEARCH("-",'Bittrex Data'!B769,1)),LEN(LEFT('Bittrex Data'!B769,SEARCH("-",'Bittrex Data'!B769,1)))-1))</f>
        <v/>
      </c>
      <c r="E769" t="str">
        <f>IF('Bittrex Data'!B769="","",RIGHT(RIGHT('Bittrex Data'!B769,LEN('Bittrex Data'!B769)-SEARCH("-",'Bittrex Data'!B769,1)+1),LEN(RIGHT('Bittrex Data'!B769,LEN('Bittrex Data'!B769)-SEARCH("-",'Bittrex Data'!B769,1)+1))-1))</f>
        <v/>
      </c>
      <c r="F769" t="str">
        <f>IF('Bittrex Data'!C769="","",IF('Bittrex Data'!C769="Limit_Sell",'Bittrex Data'!G769-'Bittrex Data'!F769,IF('Bittrex Data'!C769="Limit_Buy",'Bittrex Data'!G769+'Bittrex Data'!F769,"")))</f>
        <v/>
      </c>
      <c r="G769" t="str">
        <f>IF('Bittrex Data'!B769="","",'Bittrex Data'!D769)</f>
        <v/>
      </c>
      <c r="H769" t="str">
        <f>IF('Bittrex Data'!C769="","",IF(Bittrex!C769="Buy",Bittrex!D769,IF(Bittrex!C769="Sale",Bittrex!E769,IF(AND(Bittrex!C769="Trade",'Bittrex Data'!C769="Limit_Sell"),Bittrex!E769,IF(AND(Bittrex!C769="Trade",'Bittrex Data'!C769="Limit_Buy"),Bittrex!D769,"")))))</f>
        <v/>
      </c>
      <c r="I769" t="str">
        <f>IF('Bittrex Data'!C769="","",IF(Bittrex!C769="Buy",F769,IF(C769="Sale",Bittrex!G769,IF(AND(C769="Trade",'Bittrex Data'!C769="Limit_Sell"),Bittrex!G769,IF(AND(Bittrex!C769="Trade",'Bittrex Data'!C769="Limit_Buy"),F769,"")))))</f>
        <v/>
      </c>
      <c r="J769" t="str">
        <f>IF('Bittrex Data'!B769="","",IF('Bittrex Data'!B769="","",IF(Bittrex!H769=Bittrex!E769,D769,Bittrex!E769)))</f>
        <v/>
      </c>
      <c r="K769" t="str">
        <f>IF('Bittrex Data'!B769="","",IF(Bittrex!I769=Bittrex!G769,Bittrex!F769,Bittrex!G769))</f>
        <v/>
      </c>
    </row>
    <row r="770" spans="3:11" x14ac:dyDescent="0.2">
      <c r="C770" t="str">
        <f>IF('Bittrex Data'!A770="","",IF(AND('Bittrex Data'!C770="LIMIT_SELL",Bittrex!D770="USD"),"Sale",IF(AND('Bittrex Data'!C770="LIMIT_BUY",Bittrex!D770="USD"),"Buy","Trade")))</f>
        <v/>
      </c>
      <c r="D770" t="str">
        <f>IF('Bittrex Data'!B770="","",LEFT(LEFT('Bittrex Data'!B770,SEARCH("-",'Bittrex Data'!B770,1)),LEN(LEFT('Bittrex Data'!B770,SEARCH("-",'Bittrex Data'!B770,1)))-1))</f>
        <v/>
      </c>
      <c r="E770" t="str">
        <f>IF('Bittrex Data'!B770="","",RIGHT(RIGHT('Bittrex Data'!B770,LEN('Bittrex Data'!B770)-SEARCH("-",'Bittrex Data'!B770,1)+1),LEN(RIGHT('Bittrex Data'!B770,LEN('Bittrex Data'!B770)-SEARCH("-",'Bittrex Data'!B770,1)+1))-1))</f>
        <v/>
      </c>
      <c r="F770" t="str">
        <f>IF('Bittrex Data'!C770="","",IF('Bittrex Data'!C770="Limit_Sell",'Bittrex Data'!G770-'Bittrex Data'!F770,IF('Bittrex Data'!C770="Limit_Buy",'Bittrex Data'!G770+'Bittrex Data'!F770,"")))</f>
        <v/>
      </c>
      <c r="G770" t="str">
        <f>IF('Bittrex Data'!B770="","",'Bittrex Data'!D770)</f>
        <v/>
      </c>
      <c r="H770" t="str">
        <f>IF('Bittrex Data'!C770="","",IF(Bittrex!C770="Buy",Bittrex!D770,IF(Bittrex!C770="Sale",Bittrex!E770,IF(AND(Bittrex!C770="Trade",'Bittrex Data'!C770="Limit_Sell"),Bittrex!E770,IF(AND(Bittrex!C770="Trade",'Bittrex Data'!C770="Limit_Buy"),Bittrex!D770,"")))))</f>
        <v/>
      </c>
      <c r="I770" t="str">
        <f>IF('Bittrex Data'!C770="","",IF(Bittrex!C770="Buy",F770,IF(C770="Sale",Bittrex!G770,IF(AND(C770="Trade",'Bittrex Data'!C770="Limit_Sell"),Bittrex!G770,IF(AND(Bittrex!C770="Trade",'Bittrex Data'!C770="Limit_Buy"),F770,"")))))</f>
        <v/>
      </c>
      <c r="J770" t="str">
        <f>IF('Bittrex Data'!B770="","",IF('Bittrex Data'!B770="","",IF(Bittrex!H770=Bittrex!E770,D770,Bittrex!E770)))</f>
        <v/>
      </c>
      <c r="K770" t="str">
        <f>IF('Bittrex Data'!B770="","",IF(Bittrex!I770=Bittrex!G770,Bittrex!F770,Bittrex!G770))</f>
        <v/>
      </c>
    </row>
    <row r="771" spans="3:11" x14ac:dyDescent="0.2">
      <c r="C771" t="str">
        <f>IF('Bittrex Data'!A771="","",IF(AND('Bittrex Data'!C771="LIMIT_SELL",Bittrex!D771="USD"),"Sale",IF(AND('Bittrex Data'!C771="LIMIT_BUY",Bittrex!D771="USD"),"Buy","Trade")))</f>
        <v/>
      </c>
      <c r="D771" t="str">
        <f>IF('Bittrex Data'!B771="","",LEFT(LEFT('Bittrex Data'!B771,SEARCH("-",'Bittrex Data'!B771,1)),LEN(LEFT('Bittrex Data'!B771,SEARCH("-",'Bittrex Data'!B771,1)))-1))</f>
        <v/>
      </c>
      <c r="E771" t="str">
        <f>IF('Bittrex Data'!B771="","",RIGHT(RIGHT('Bittrex Data'!B771,LEN('Bittrex Data'!B771)-SEARCH("-",'Bittrex Data'!B771,1)+1),LEN(RIGHT('Bittrex Data'!B771,LEN('Bittrex Data'!B771)-SEARCH("-",'Bittrex Data'!B771,1)+1))-1))</f>
        <v/>
      </c>
      <c r="F771" t="str">
        <f>IF('Bittrex Data'!C771="","",IF('Bittrex Data'!C771="Limit_Sell",'Bittrex Data'!G771-'Bittrex Data'!F771,IF('Bittrex Data'!C771="Limit_Buy",'Bittrex Data'!G771+'Bittrex Data'!F771,"")))</f>
        <v/>
      </c>
      <c r="G771" t="str">
        <f>IF('Bittrex Data'!B771="","",'Bittrex Data'!D771)</f>
        <v/>
      </c>
      <c r="H771" t="str">
        <f>IF('Bittrex Data'!C771="","",IF(Bittrex!C771="Buy",Bittrex!D771,IF(Bittrex!C771="Sale",Bittrex!E771,IF(AND(Bittrex!C771="Trade",'Bittrex Data'!C771="Limit_Sell"),Bittrex!E771,IF(AND(Bittrex!C771="Trade",'Bittrex Data'!C771="Limit_Buy"),Bittrex!D771,"")))))</f>
        <v/>
      </c>
      <c r="I771" t="str">
        <f>IF('Bittrex Data'!C771="","",IF(Bittrex!C771="Buy",F771,IF(C771="Sale",Bittrex!G771,IF(AND(C771="Trade",'Bittrex Data'!C771="Limit_Sell"),Bittrex!G771,IF(AND(Bittrex!C771="Trade",'Bittrex Data'!C771="Limit_Buy"),F771,"")))))</f>
        <v/>
      </c>
      <c r="J771" t="str">
        <f>IF('Bittrex Data'!B771="","",IF('Bittrex Data'!B771="","",IF(Bittrex!H771=Bittrex!E771,D771,Bittrex!E771)))</f>
        <v/>
      </c>
      <c r="K771" t="str">
        <f>IF('Bittrex Data'!B771="","",IF(Bittrex!I771=Bittrex!G771,Bittrex!F771,Bittrex!G771))</f>
        <v/>
      </c>
    </row>
    <row r="772" spans="3:11" x14ac:dyDescent="0.2">
      <c r="C772" t="str">
        <f>IF('Bittrex Data'!A772="","",IF(AND('Bittrex Data'!C772="LIMIT_SELL",Bittrex!D772="USD"),"Sale",IF(AND('Bittrex Data'!C772="LIMIT_BUY",Bittrex!D772="USD"),"Buy","Trade")))</f>
        <v/>
      </c>
      <c r="D772" t="str">
        <f>IF('Bittrex Data'!B772="","",LEFT(LEFT('Bittrex Data'!B772,SEARCH("-",'Bittrex Data'!B772,1)),LEN(LEFT('Bittrex Data'!B772,SEARCH("-",'Bittrex Data'!B772,1)))-1))</f>
        <v/>
      </c>
      <c r="E772" t="str">
        <f>IF('Bittrex Data'!B772="","",RIGHT(RIGHT('Bittrex Data'!B772,LEN('Bittrex Data'!B772)-SEARCH("-",'Bittrex Data'!B772,1)+1),LEN(RIGHT('Bittrex Data'!B772,LEN('Bittrex Data'!B772)-SEARCH("-",'Bittrex Data'!B772,1)+1))-1))</f>
        <v/>
      </c>
      <c r="F772" t="str">
        <f>IF('Bittrex Data'!C772="","",IF('Bittrex Data'!C772="Limit_Sell",'Bittrex Data'!G772-'Bittrex Data'!F772,IF('Bittrex Data'!C772="Limit_Buy",'Bittrex Data'!G772+'Bittrex Data'!F772,"")))</f>
        <v/>
      </c>
      <c r="G772" t="str">
        <f>IF('Bittrex Data'!B772="","",'Bittrex Data'!D772)</f>
        <v/>
      </c>
      <c r="H772" t="str">
        <f>IF('Bittrex Data'!C772="","",IF(Bittrex!C772="Buy",Bittrex!D772,IF(Bittrex!C772="Sale",Bittrex!E772,IF(AND(Bittrex!C772="Trade",'Bittrex Data'!C772="Limit_Sell"),Bittrex!E772,IF(AND(Bittrex!C772="Trade",'Bittrex Data'!C772="Limit_Buy"),Bittrex!D772,"")))))</f>
        <v/>
      </c>
      <c r="I772" t="str">
        <f>IF('Bittrex Data'!C772="","",IF(Bittrex!C772="Buy",F772,IF(C772="Sale",Bittrex!G772,IF(AND(C772="Trade",'Bittrex Data'!C772="Limit_Sell"),Bittrex!G772,IF(AND(Bittrex!C772="Trade",'Bittrex Data'!C772="Limit_Buy"),F772,"")))))</f>
        <v/>
      </c>
      <c r="J772" t="str">
        <f>IF('Bittrex Data'!B772="","",IF('Bittrex Data'!B772="","",IF(Bittrex!H772=Bittrex!E772,D772,Bittrex!E772)))</f>
        <v/>
      </c>
      <c r="K772" t="str">
        <f>IF('Bittrex Data'!B772="","",IF(Bittrex!I772=Bittrex!G772,Bittrex!F772,Bittrex!G772))</f>
        <v/>
      </c>
    </row>
    <row r="773" spans="3:11" x14ac:dyDescent="0.2">
      <c r="C773" t="str">
        <f>IF('Bittrex Data'!A773="","",IF(AND('Bittrex Data'!C773="LIMIT_SELL",Bittrex!D773="USD"),"Sale",IF(AND('Bittrex Data'!C773="LIMIT_BUY",Bittrex!D773="USD"),"Buy","Trade")))</f>
        <v/>
      </c>
      <c r="D773" t="str">
        <f>IF('Bittrex Data'!B773="","",LEFT(LEFT('Bittrex Data'!B773,SEARCH("-",'Bittrex Data'!B773,1)),LEN(LEFT('Bittrex Data'!B773,SEARCH("-",'Bittrex Data'!B773,1)))-1))</f>
        <v/>
      </c>
      <c r="E773" t="str">
        <f>IF('Bittrex Data'!B773="","",RIGHT(RIGHT('Bittrex Data'!B773,LEN('Bittrex Data'!B773)-SEARCH("-",'Bittrex Data'!B773,1)+1),LEN(RIGHT('Bittrex Data'!B773,LEN('Bittrex Data'!B773)-SEARCH("-",'Bittrex Data'!B773,1)+1))-1))</f>
        <v/>
      </c>
      <c r="F773" t="str">
        <f>IF('Bittrex Data'!C773="","",IF('Bittrex Data'!C773="Limit_Sell",'Bittrex Data'!G773-'Bittrex Data'!F773,IF('Bittrex Data'!C773="Limit_Buy",'Bittrex Data'!G773+'Bittrex Data'!F773,"")))</f>
        <v/>
      </c>
      <c r="G773" t="str">
        <f>IF('Bittrex Data'!B773="","",'Bittrex Data'!D773)</f>
        <v/>
      </c>
      <c r="H773" t="str">
        <f>IF('Bittrex Data'!C773="","",IF(Bittrex!C773="Buy",Bittrex!D773,IF(Bittrex!C773="Sale",Bittrex!E773,IF(AND(Bittrex!C773="Trade",'Bittrex Data'!C773="Limit_Sell"),Bittrex!E773,IF(AND(Bittrex!C773="Trade",'Bittrex Data'!C773="Limit_Buy"),Bittrex!D773,"")))))</f>
        <v/>
      </c>
      <c r="I773" t="str">
        <f>IF('Bittrex Data'!C773="","",IF(Bittrex!C773="Buy",F773,IF(C773="Sale",Bittrex!G773,IF(AND(C773="Trade",'Bittrex Data'!C773="Limit_Sell"),Bittrex!G773,IF(AND(Bittrex!C773="Trade",'Bittrex Data'!C773="Limit_Buy"),F773,"")))))</f>
        <v/>
      </c>
      <c r="J773" t="str">
        <f>IF('Bittrex Data'!B773="","",IF('Bittrex Data'!B773="","",IF(Bittrex!H773=Bittrex!E773,D773,Bittrex!E773)))</f>
        <v/>
      </c>
      <c r="K773" t="str">
        <f>IF('Bittrex Data'!B773="","",IF(Bittrex!I773=Bittrex!G773,Bittrex!F773,Bittrex!G773))</f>
        <v/>
      </c>
    </row>
    <row r="774" spans="3:11" x14ac:dyDescent="0.2">
      <c r="C774" t="str">
        <f>IF('Bittrex Data'!A774="","",IF(AND('Bittrex Data'!C774="LIMIT_SELL",Bittrex!D774="USD"),"Sale",IF(AND('Bittrex Data'!C774="LIMIT_BUY",Bittrex!D774="USD"),"Buy","Trade")))</f>
        <v/>
      </c>
      <c r="D774" t="str">
        <f>IF('Bittrex Data'!B774="","",LEFT(LEFT('Bittrex Data'!B774,SEARCH("-",'Bittrex Data'!B774,1)),LEN(LEFT('Bittrex Data'!B774,SEARCH("-",'Bittrex Data'!B774,1)))-1))</f>
        <v/>
      </c>
      <c r="E774" t="str">
        <f>IF('Bittrex Data'!B774="","",RIGHT(RIGHT('Bittrex Data'!B774,LEN('Bittrex Data'!B774)-SEARCH("-",'Bittrex Data'!B774,1)+1),LEN(RIGHT('Bittrex Data'!B774,LEN('Bittrex Data'!B774)-SEARCH("-",'Bittrex Data'!B774,1)+1))-1))</f>
        <v/>
      </c>
      <c r="F774" t="str">
        <f>IF('Bittrex Data'!C774="","",IF('Bittrex Data'!C774="Limit_Sell",'Bittrex Data'!G774-'Bittrex Data'!F774,IF('Bittrex Data'!C774="Limit_Buy",'Bittrex Data'!G774+'Bittrex Data'!F774,"")))</f>
        <v/>
      </c>
      <c r="G774" t="str">
        <f>IF('Bittrex Data'!B774="","",'Bittrex Data'!D774)</f>
        <v/>
      </c>
      <c r="H774" t="str">
        <f>IF('Bittrex Data'!C774="","",IF(Bittrex!C774="Buy",Bittrex!D774,IF(Bittrex!C774="Sale",Bittrex!E774,IF(AND(Bittrex!C774="Trade",'Bittrex Data'!C774="Limit_Sell"),Bittrex!E774,IF(AND(Bittrex!C774="Trade",'Bittrex Data'!C774="Limit_Buy"),Bittrex!D774,"")))))</f>
        <v/>
      </c>
      <c r="I774" t="str">
        <f>IF('Bittrex Data'!C774="","",IF(Bittrex!C774="Buy",F774,IF(C774="Sale",Bittrex!G774,IF(AND(C774="Trade",'Bittrex Data'!C774="Limit_Sell"),Bittrex!G774,IF(AND(Bittrex!C774="Trade",'Bittrex Data'!C774="Limit_Buy"),F774,"")))))</f>
        <v/>
      </c>
      <c r="J774" t="str">
        <f>IF('Bittrex Data'!B774="","",IF('Bittrex Data'!B774="","",IF(Bittrex!H774=Bittrex!E774,D774,Bittrex!E774)))</f>
        <v/>
      </c>
      <c r="K774" t="str">
        <f>IF('Bittrex Data'!B774="","",IF(Bittrex!I774=Bittrex!G774,Bittrex!F774,Bittrex!G774))</f>
        <v/>
      </c>
    </row>
    <row r="775" spans="3:11" x14ac:dyDescent="0.2">
      <c r="C775" t="str">
        <f>IF('Bittrex Data'!A775="","",IF(AND('Bittrex Data'!C775="LIMIT_SELL",Bittrex!D775="USD"),"Sale",IF(AND('Bittrex Data'!C775="LIMIT_BUY",Bittrex!D775="USD"),"Buy","Trade")))</f>
        <v/>
      </c>
      <c r="D775" t="str">
        <f>IF('Bittrex Data'!B775="","",LEFT(LEFT('Bittrex Data'!B775,SEARCH("-",'Bittrex Data'!B775,1)),LEN(LEFT('Bittrex Data'!B775,SEARCH("-",'Bittrex Data'!B775,1)))-1))</f>
        <v/>
      </c>
      <c r="E775" t="str">
        <f>IF('Bittrex Data'!B775="","",RIGHT(RIGHT('Bittrex Data'!B775,LEN('Bittrex Data'!B775)-SEARCH("-",'Bittrex Data'!B775,1)+1),LEN(RIGHT('Bittrex Data'!B775,LEN('Bittrex Data'!B775)-SEARCH("-",'Bittrex Data'!B775,1)+1))-1))</f>
        <v/>
      </c>
      <c r="F775" t="str">
        <f>IF('Bittrex Data'!C775="","",IF('Bittrex Data'!C775="Limit_Sell",'Bittrex Data'!G775-'Bittrex Data'!F775,IF('Bittrex Data'!C775="Limit_Buy",'Bittrex Data'!G775+'Bittrex Data'!F775,"")))</f>
        <v/>
      </c>
      <c r="G775" t="str">
        <f>IF('Bittrex Data'!B775="","",'Bittrex Data'!D775)</f>
        <v/>
      </c>
      <c r="H775" t="str">
        <f>IF('Bittrex Data'!C775="","",IF(Bittrex!C775="Buy",Bittrex!D775,IF(Bittrex!C775="Sale",Bittrex!E775,IF(AND(Bittrex!C775="Trade",'Bittrex Data'!C775="Limit_Sell"),Bittrex!E775,IF(AND(Bittrex!C775="Trade",'Bittrex Data'!C775="Limit_Buy"),Bittrex!D775,"")))))</f>
        <v/>
      </c>
      <c r="I775" t="str">
        <f>IF('Bittrex Data'!C775="","",IF(Bittrex!C775="Buy",F775,IF(C775="Sale",Bittrex!G775,IF(AND(C775="Trade",'Bittrex Data'!C775="Limit_Sell"),Bittrex!G775,IF(AND(Bittrex!C775="Trade",'Bittrex Data'!C775="Limit_Buy"),F775,"")))))</f>
        <v/>
      </c>
      <c r="J775" t="str">
        <f>IF('Bittrex Data'!B775="","",IF('Bittrex Data'!B775="","",IF(Bittrex!H775=Bittrex!E775,D775,Bittrex!E775)))</f>
        <v/>
      </c>
      <c r="K775" t="str">
        <f>IF('Bittrex Data'!B775="","",IF(Bittrex!I775=Bittrex!G775,Bittrex!F775,Bittrex!G775))</f>
        <v/>
      </c>
    </row>
    <row r="776" spans="3:11" x14ac:dyDescent="0.2">
      <c r="C776" t="str">
        <f>IF('Bittrex Data'!A776="","",IF(AND('Bittrex Data'!C776="LIMIT_SELL",Bittrex!D776="USD"),"Sale",IF(AND('Bittrex Data'!C776="LIMIT_BUY",Bittrex!D776="USD"),"Buy","Trade")))</f>
        <v/>
      </c>
      <c r="D776" t="str">
        <f>IF('Bittrex Data'!B776="","",LEFT(LEFT('Bittrex Data'!B776,SEARCH("-",'Bittrex Data'!B776,1)),LEN(LEFT('Bittrex Data'!B776,SEARCH("-",'Bittrex Data'!B776,1)))-1))</f>
        <v/>
      </c>
      <c r="E776" t="str">
        <f>IF('Bittrex Data'!B776="","",RIGHT(RIGHT('Bittrex Data'!B776,LEN('Bittrex Data'!B776)-SEARCH("-",'Bittrex Data'!B776,1)+1),LEN(RIGHT('Bittrex Data'!B776,LEN('Bittrex Data'!B776)-SEARCH("-",'Bittrex Data'!B776,1)+1))-1))</f>
        <v/>
      </c>
      <c r="F776" t="str">
        <f>IF('Bittrex Data'!C776="","",IF('Bittrex Data'!C776="Limit_Sell",'Bittrex Data'!G776-'Bittrex Data'!F776,IF('Bittrex Data'!C776="Limit_Buy",'Bittrex Data'!G776+'Bittrex Data'!F776,"")))</f>
        <v/>
      </c>
      <c r="G776" t="str">
        <f>IF('Bittrex Data'!B776="","",'Bittrex Data'!D776)</f>
        <v/>
      </c>
      <c r="H776" t="str">
        <f>IF('Bittrex Data'!C776="","",IF(Bittrex!C776="Buy",Bittrex!D776,IF(Bittrex!C776="Sale",Bittrex!E776,IF(AND(Bittrex!C776="Trade",'Bittrex Data'!C776="Limit_Sell"),Bittrex!E776,IF(AND(Bittrex!C776="Trade",'Bittrex Data'!C776="Limit_Buy"),Bittrex!D776,"")))))</f>
        <v/>
      </c>
      <c r="I776" t="str">
        <f>IF('Bittrex Data'!C776="","",IF(Bittrex!C776="Buy",F776,IF(C776="Sale",Bittrex!G776,IF(AND(C776="Trade",'Bittrex Data'!C776="Limit_Sell"),Bittrex!G776,IF(AND(Bittrex!C776="Trade",'Bittrex Data'!C776="Limit_Buy"),F776,"")))))</f>
        <v/>
      </c>
      <c r="J776" t="str">
        <f>IF('Bittrex Data'!B776="","",IF('Bittrex Data'!B776="","",IF(Bittrex!H776=Bittrex!E776,D776,Bittrex!E776)))</f>
        <v/>
      </c>
      <c r="K776" t="str">
        <f>IF('Bittrex Data'!B776="","",IF(Bittrex!I776=Bittrex!G776,Bittrex!F776,Bittrex!G776))</f>
        <v/>
      </c>
    </row>
    <row r="777" spans="3:11" x14ac:dyDescent="0.2">
      <c r="C777" t="str">
        <f>IF('Bittrex Data'!A777="","",IF(AND('Bittrex Data'!C777="LIMIT_SELL",Bittrex!D777="USD"),"Sale",IF(AND('Bittrex Data'!C777="LIMIT_BUY",Bittrex!D777="USD"),"Buy","Trade")))</f>
        <v/>
      </c>
      <c r="D777" t="str">
        <f>IF('Bittrex Data'!B777="","",LEFT(LEFT('Bittrex Data'!B777,SEARCH("-",'Bittrex Data'!B777,1)),LEN(LEFT('Bittrex Data'!B777,SEARCH("-",'Bittrex Data'!B777,1)))-1))</f>
        <v/>
      </c>
      <c r="E777" t="str">
        <f>IF('Bittrex Data'!B777="","",RIGHT(RIGHT('Bittrex Data'!B777,LEN('Bittrex Data'!B777)-SEARCH("-",'Bittrex Data'!B777,1)+1),LEN(RIGHT('Bittrex Data'!B777,LEN('Bittrex Data'!B777)-SEARCH("-",'Bittrex Data'!B777,1)+1))-1))</f>
        <v/>
      </c>
      <c r="F777" t="str">
        <f>IF('Bittrex Data'!C777="","",IF('Bittrex Data'!C777="Limit_Sell",'Bittrex Data'!G777-'Bittrex Data'!F777,IF('Bittrex Data'!C777="Limit_Buy",'Bittrex Data'!G777+'Bittrex Data'!F777,"")))</f>
        <v/>
      </c>
      <c r="G777" t="str">
        <f>IF('Bittrex Data'!B777="","",'Bittrex Data'!D777)</f>
        <v/>
      </c>
      <c r="H777" t="str">
        <f>IF('Bittrex Data'!C777="","",IF(Bittrex!C777="Buy",Bittrex!D777,IF(Bittrex!C777="Sale",Bittrex!E777,IF(AND(Bittrex!C777="Trade",'Bittrex Data'!C777="Limit_Sell"),Bittrex!E777,IF(AND(Bittrex!C777="Trade",'Bittrex Data'!C777="Limit_Buy"),Bittrex!D777,"")))))</f>
        <v/>
      </c>
      <c r="I777" t="str">
        <f>IF('Bittrex Data'!C777="","",IF(Bittrex!C777="Buy",F777,IF(C777="Sale",Bittrex!G777,IF(AND(C777="Trade",'Bittrex Data'!C777="Limit_Sell"),Bittrex!G777,IF(AND(Bittrex!C777="Trade",'Bittrex Data'!C777="Limit_Buy"),F777,"")))))</f>
        <v/>
      </c>
      <c r="J777" t="str">
        <f>IF('Bittrex Data'!B777="","",IF('Bittrex Data'!B777="","",IF(Bittrex!H777=Bittrex!E777,D777,Bittrex!E777)))</f>
        <v/>
      </c>
      <c r="K777" t="str">
        <f>IF('Bittrex Data'!B777="","",IF(Bittrex!I777=Bittrex!G777,Bittrex!F777,Bittrex!G777))</f>
        <v/>
      </c>
    </row>
    <row r="778" spans="3:11" x14ac:dyDescent="0.2">
      <c r="C778" t="str">
        <f>IF('Bittrex Data'!A778="","",IF(AND('Bittrex Data'!C778="LIMIT_SELL",Bittrex!D778="USD"),"Sale",IF(AND('Bittrex Data'!C778="LIMIT_BUY",Bittrex!D778="USD"),"Buy","Trade")))</f>
        <v/>
      </c>
      <c r="D778" t="str">
        <f>IF('Bittrex Data'!B778="","",LEFT(LEFT('Bittrex Data'!B778,SEARCH("-",'Bittrex Data'!B778,1)),LEN(LEFT('Bittrex Data'!B778,SEARCH("-",'Bittrex Data'!B778,1)))-1))</f>
        <v/>
      </c>
      <c r="E778" t="str">
        <f>IF('Bittrex Data'!B778="","",RIGHT(RIGHT('Bittrex Data'!B778,LEN('Bittrex Data'!B778)-SEARCH("-",'Bittrex Data'!B778,1)+1),LEN(RIGHT('Bittrex Data'!B778,LEN('Bittrex Data'!B778)-SEARCH("-",'Bittrex Data'!B778,1)+1))-1))</f>
        <v/>
      </c>
      <c r="F778" t="str">
        <f>IF('Bittrex Data'!C778="","",IF('Bittrex Data'!C778="Limit_Sell",'Bittrex Data'!G778-'Bittrex Data'!F778,IF('Bittrex Data'!C778="Limit_Buy",'Bittrex Data'!G778+'Bittrex Data'!F778,"")))</f>
        <v/>
      </c>
      <c r="G778" t="str">
        <f>IF('Bittrex Data'!B778="","",'Bittrex Data'!D778)</f>
        <v/>
      </c>
      <c r="H778" t="str">
        <f>IF('Bittrex Data'!C778="","",IF(Bittrex!C778="Buy",Bittrex!D778,IF(Bittrex!C778="Sale",Bittrex!E778,IF(AND(Bittrex!C778="Trade",'Bittrex Data'!C778="Limit_Sell"),Bittrex!E778,IF(AND(Bittrex!C778="Trade",'Bittrex Data'!C778="Limit_Buy"),Bittrex!D778,"")))))</f>
        <v/>
      </c>
      <c r="I778" t="str">
        <f>IF('Bittrex Data'!C778="","",IF(Bittrex!C778="Buy",F778,IF(C778="Sale",Bittrex!G778,IF(AND(C778="Trade",'Bittrex Data'!C778="Limit_Sell"),Bittrex!G778,IF(AND(Bittrex!C778="Trade",'Bittrex Data'!C778="Limit_Buy"),F778,"")))))</f>
        <v/>
      </c>
      <c r="J778" t="str">
        <f>IF('Bittrex Data'!B778="","",IF('Bittrex Data'!B778="","",IF(Bittrex!H778=Bittrex!E778,D778,Bittrex!E778)))</f>
        <v/>
      </c>
      <c r="K778" t="str">
        <f>IF('Bittrex Data'!B778="","",IF(Bittrex!I778=Bittrex!G778,Bittrex!F778,Bittrex!G778))</f>
        <v/>
      </c>
    </row>
    <row r="779" spans="3:11" x14ac:dyDescent="0.2">
      <c r="C779" t="str">
        <f>IF('Bittrex Data'!A779="","",IF(AND('Bittrex Data'!C779="LIMIT_SELL",Bittrex!D779="USD"),"Sale",IF(AND('Bittrex Data'!C779="LIMIT_BUY",Bittrex!D779="USD"),"Buy","Trade")))</f>
        <v/>
      </c>
      <c r="D779" t="str">
        <f>IF('Bittrex Data'!B779="","",LEFT(LEFT('Bittrex Data'!B779,SEARCH("-",'Bittrex Data'!B779,1)),LEN(LEFT('Bittrex Data'!B779,SEARCH("-",'Bittrex Data'!B779,1)))-1))</f>
        <v/>
      </c>
      <c r="E779" t="str">
        <f>IF('Bittrex Data'!B779="","",RIGHT(RIGHT('Bittrex Data'!B779,LEN('Bittrex Data'!B779)-SEARCH("-",'Bittrex Data'!B779,1)+1),LEN(RIGHT('Bittrex Data'!B779,LEN('Bittrex Data'!B779)-SEARCH("-",'Bittrex Data'!B779,1)+1))-1))</f>
        <v/>
      </c>
      <c r="F779" t="str">
        <f>IF('Bittrex Data'!C779="","",IF('Bittrex Data'!C779="Limit_Sell",'Bittrex Data'!G779-'Bittrex Data'!F779,IF('Bittrex Data'!C779="Limit_Buy",'Bittrex Data'!G779+'Bittrex Data'!F779,"")))</f>
        <v/>
      </c>
      <c r="G779" t="str">
        <f>IF('Bittrex Data'!B779="","",'Bittrex Data'!D779)</f>
        <v/>
      </c>
      <c r="H779" t="str">
        <f>IF('Bittrex Data'!C779="","",IF(Bittrex!C779="Buy",Bittrex!D779,IF(Bittrex!C779="Sale",Bittrex!E779,IF(AND(Bittrex!C779="Trade",'Bittrex Data'!C779="Limit_Sell"),Bittrex!E779,IF(AND(Bittrex!C779="Trade",'Bittrex Data'!C779="Limit_Buy"),Bittrex!D779,"")))))</f>
        <v/>
      </c>
      <c r="I779" t="str">
        <f>IF('Bittrex Data'!C779="","",IF(Bittrex!C779="Buy",F779,IF(C779="Sale",Bittrex!G779,IF(AND(C779="Trade",'Bittrex Data'!C779="Limit_Sell"),Bittrex!G779,IF(AND(Bittrex!C779="Trade",'Bittrex Data'!C779="Limit_Buy"),F779,"")))))</f>
        <v/>
      </c>
      <c r="J779" t="str">
        <f>IF('Bittrex Data'!B779="","",IF('Bittrex Data'!B779="","",IF(Bittrex!H779=Bittrex!E779,D779,Bittrex!E779)))</f>
        <v/>
      </c>
      <c r="K779" t="str">
        <f>IF('Bittrex Data'!B779="","",IF(Bittrex!I779=Bittrex!G779,Bittrex!F779,Bittrex!G779))</f>
        <v/>
      </c>
    </row>
    <row r="780" spans="3:11" x14ac:dyDescent="0.2">
      <c r="C780" t="str">
        <f>IF('Bittrex Data'!A780="","",IF(AND('Bittrex Data'!C780="LIMIT_SELL",Bittrex!D780="USD"),"Sale",IF(AND('Bittrex Data'!C780="LIMIT_BUY",Bittrex!D780="USD"),"Buy","Trade")))</f>
        <v/>
      </c>
      <c r="D780" t="str">
        <f>IF('Bittrex Data'!B780="","",LEFT(LEFT('Bittrex Data'!B780,SEARCH("-",'Bittrex Data'!B780,1)),LEN(LEFT('Bittrex Data'!B780,SEARCH("-",'Bittrex Data'!B780,1)))-1))</f>
        <v/>
      </c>
      <c r="E780" t="str">
        <f>IF('Bittrex Data'!B780="","",RIGHT(RIGHT('Bittrex Data'!B780,LEN('Bittrex Data'!B780)-SEARCH("-",'Bittrex Data'!B780,1)+1),LEN(RIGHT('Bittrex Data'!B780,LEN('Bittrex Data'!B780)-SEARCH("-",'Bittrex Data'!B780,1)+1))-1))</f>
        <v/>
      </c>
      <c r="F780" t="str">
        <f>IF('Bittrex Data'!C780="","",IF('Bittrex Data'!C780="Limit_Sell",'Bittrex Data'!G780-'Bittrex Data'!F780,IF('Bittrex Data'!C780="Limit_Buy",'Bittrex Data'!G780+'Bittrex Data'!F780,"")))</f>
        <v/>
      </c>
      <c r="G780" t="str">
        <f>IF('Bittrex Data'!B780="","",'Bittrex Data'!D780)</f>
        <v/>
      </c>
      <c r="H780" t="str">
        <f>IF('Bittrex Data'!C780="","",IF(Bittrex!C780="Buy",Bittrex!D780,IF(Bittrex!C780="Sale",Bittrex!E780,IF(AND(Bittrex!C780="Trade",'Bittrex Data'!C780="Limit_Sell"),Bittrex!E780,IF(AND(Bittrex!C780="Trade",'Bittrex Data'!C780="Limit_Buy"),Bittrex!D780,"")))))</f>
        <v/>
      </c>
      <c r="I780" t="str">
        <f>IF('Bittrex Data'!C780="","",IF(Bittrex!C780="Buy",F780,IF(C780="Sale",Bittrex!G780,IF(AND(C780="Trade",'Bittrex Data'!C780="Limit_Sell"),Bittrex!G780,IF(AND(Bittrex!C780="Trade",'Bittrex Data'!C780="Limit_Buy"),F780,"")))))</f>
        <v/>
      </c>
      <c r="J780" t="str">
        <f>IF('Bittrex Data'!B780="","",IF('Bittrex Data'!B780="","",IF(Bittrex!H780=Bittrex!E780,D780,Bittrex!E780)))</f>
        <v/>
      </c>
      <c r="K780" t="str">
        <f>IF('Bittrex Data'!B780="","",IF(Bittrex!I780=Bittrex!G780,Bittrex!F780,Bittrex!G780))</f>
        <v/>
      </c>
    </row>
    <row r="781" spans="3:11" x14ac:dyDescent="0.2">
      <c r="C781" t="str">
        <f>IF('Bittrex Data'!A781="","",IF(AND('Bittrex Data'!C781="LIMIT_SELL",Bittrex!D781="USD"),"Sale",IF(AND('Bittrex Data'!C781="LIMIT_BUY",Bittrex!D781="USD"),"Buy","Trade")))</f>
        <v/>
      </c>
      <c r="D781" t="str">
        <f>IF('Bittrex Data'!B781="","",LEFT(LEFT('Bittrex Data'!B781,SEARCH("-",'Bittrex Data'!B781,1)),LEN(LEFT('Bittrex Data'!B781,SEARCH("-",'Bittrex Data'!B781,1)))-1))</f>
        <v/>
      </c>
      <c r="E781" t="str">
        <f>IF('Bittrex Data'!B781="","",RIGHT(RIGHT('Bittrex Data'!B781,LEN('Bittrex Data'!B781)-SEARCH("-",'Bittrex Data'!B781,1)+1),LEN(RIGHT('Bittrex Data'!B781,LEN('Bittrex Data'!B781)-SEARCH("-",'Bittrex Data'!B781,1)+1))-1))</f>
        <v/>
      </c>
      <c r="F781" t="str">
        <f>IF('Bittrex Data'!C781="","",IF('Bittrex Data'!C781="Limit_Sell",'Bittrex Data'!G781-'Bittrex Data'!F781,IF('Bittrex Data'!C781="Limit_Buy",'Bittrex Data'!G781+'Bittrex Data'!F781,"")))</f>
        <v/>
      </c>
      <c r="G781" t="str">
        <f>IF('Bittrex Data'!B781="","",'Bittrex Data'!D781)</f>
        <v/>
      </c>
      <c r="H781" t="str">
        <f>IF('Bittrex Data'!C781="","",IF(Bittrex!C781="Buy",Bittrex!D781,IF(Bittrex!C781="Sale",Bittrex!E781,IF(AND(Bittrex!C781="Trade",'Bittrex Data'!C781="Limit_Sell"),Bittrex!E781,IF(AND(Bittrex!C781="Trade",'Bittrex Data'!C781="Limit_Buy"),Bittrex!D781,"")))))</f>
        <v/>
      </c>
      <c r="I781" t="str">
        <f>IF('Bittrex Data'!C781="","",IF(Bittrex!C781="Buy",F781,IF(C781="Sale",Bittrex!G781,IF(AND(C781="Trade",'Bittrex Data'!C781="Limit_Sell"),Bittrex!G781,IF(AND(Bittrex!C781="Trade",'Bittrex Data'!C781="Limit_Buy"),F781,"")))))</f>
        <v/>
      </c>
      <c r="J781" t="str">
        <f>IF('Bittrex Data'!B781="","",IF('Bittrex Data'!B781="","",IF(Bittrex!H781=Bittrex!E781,D781,Bittrex!E781)))</f>
        <v/>
      </c>
      <c r="K781" t="str">
        <f>IF('Bittrex Data'!B781="","",IF(Bittrex!I781=Bittrex!G781,Bittrex!F781,Bittrex!G781))</f>
        <v/>
      </c>
    </row>
    <row r="782" spans="3:11" x14ac:dyDescent="0.2">
      <c r="C782" t="str">
        <f>IF('Bittrex Data'!A782="","",IF(AND('Bittrex Data'!C782="LIMIT_SELL",Bittrex!D782="USD"),"Sale",IF(AND('Bittrex Data'!C782="LIMIT_BUY",Bittrex!D782="USD"),"Buy","Trade")))</f>
        <v/>
      </c>
      <c r="D782" t="str">
        <f>IF('Bittrex Data'!B782="","",LEFT(LEFT('Bittrex Data'!B782,SEARCH("-",'Bittrex Data'!B782,1)),LEN(LEFT('Bittrex Data'!B782,SEARCH("-",'Bittrex Data'!B782,1)))-1))</f>
        <v/>
      </c>
      <c r="E782" t="str">
        <f>IF('Bittrex Data'!B782="","",RIGHT(RIGHT('Bittrex Data'!B782,LEN('Bittrex Data'!B782)-SEARCH("-",'Bittrex Data'!B782,1)+1),LEN(RIGHT('Bittrex Data'!B782,LEN('Bittrex Data'!B782)-SEARCH("-",'Bittrex Data'!B782,1)+1))-1))</f>
        <v/>
      </c>
      <c r="F782" t="str">
        <f>IF('Bittrex Data'!C782="","",IF('Bittrex Data'!C782="Limit_Sell",'Bittrex Data'!G782-'Bittrex Data'!F782,IF('Bittrex Data'!C782="Limit_Buy",'Bittrex Data'!G782+'Bittrex Data'!F782,"")))</f>
        <v/>
      </c>
      <c r="G782" t="str">
        <f>IF('Bittrex Data'!B782="","",'Bittrex Data'!D782)</f>
        <v/>
      </c>
      <c r="H782" t="str">
        <f>IF('Bittrex Data'!C782="","",IF(Bittrex!C782="Buy",Bittrex!D782,IF(Bittrex!C782="Sale",Bittrex!E782,IF(AND(Bittrex!C782="Trade",'Bittrex Data'!C782="Limit_Sell"),Bittrex!E782,IF(AND(Bittrex!C782="Trade",'Bittrex Data'!C782="Limit_Buy"),Bittrex!D782,"")))))</f>
        <v/>
      </c>
      <c r="I782" t="str">
        <f>IF('Bittrex Data'!C782="","",IF(Bittrex!C782="Buy",F782,IF(C782="Sale",Bittrex!G782,IF(AND(C782="Trade",'Bittrex Data'!C782="Limit_Sell"),Bittrex!G782,IF(AND(Bittrex!C782="Trade",'Bittrex Data'!C782="Limit_Buy"),F782,"")))))</f>
        <v/>
      </c>
      <c r="J782" t="str">
        <f>IF('Bittrex Data'!B782="","",IF('Bittrex Data'!B782="","",IF(Bittrex!H782=Bittrex!E782,D782,Bittrex!E782)))</f>
        <v/>
      </c>
      <c r="K782" t="str">
        <f>IF('Bittrex Data'!B782="","",IF(Bittrex!I782=Bittrex!G782,Bittrex!F782,Bittrex!G782))</f>
        <v/>
      </c>
    </row>
    <row r="783" spans="3:11" x14ac:dyDescent="0.2">
      <c r="C783" t="str">
        <f>IF('Bittrex Data'!A783="","",IF(AND('Bittrex Data'!C783="LIMIT_SELL",Bittrex!D783="USD"),"Sale",IF(AND('Bittrex Data'!C783="LIMIT_BUY",Bittrex!D783="USD"),"Buy","Trade")))</f>
        <v/>
      </c>
      <c r="D783" t="str">
        <f>IF('Bittrex Data'!B783="","",LEFT(LEFT('Bittrex Data'!B783,SEARCH("-",'Bittrex Data'!B783,1)),LEN(LEFT('Bittrex Data'!B783,SEARCH("-",'Bittrex Data'!B783,1)))-1))</f>
        <v/>
      </c>
      <c r="E783" t="str">
        <f>IF('Bittrex Data'!B783="","",RIGHT(RIGHT('Bittrex Data'!B783,LEN('Bittrex Data'!B783)-SEARCH("-",'Bittrex Data'!B783,1)+1),LEN(RIGHT('Bittrex Data'!B783,LEN('Bittrex Data'!B783)-SEARCH("-",'Bittrex Data'!B783,1)+1))-1))</f>
        <v/>
      </c>
      <c r="F783" t="str">
        <f>IF('Bittrex Data'!C783="","",IF('Bittrex Data'!C783="Limit_Sell",'Bittrex Data'!G783-'Bittrex Data'!F783,IF('Bittrex Data'!C783="Limit_Buy",'Bittrex Data'!G783+'Bittrex Data'!F783,"")))</f>
        <v/>
      </c>
      <c r="G783" t="str">
        <f>IF('Bittrex Data'!B783="","",'Bittrex Data'!D783)</f>
        <v/>
      </c>
      <c r="H783" t="str">
        <f>IF('Bittrex Data'!C783="","",IF(Bittrex!C783="Buy",Bittrex!D783,IF(Bittrex!C783="Sale",Bittrex!E783,IF(AND(Bittrex!C783="Trade",'Bittrex Data'!C783="Limit_Sell"),Bittrex!E783,IF(AND(Bittrex!C783="Trade",'Bittrex Data'!C783="Limit_Buy"),Bittrex!D783,"")))))</f>
        <v/>
      </c>
      <c r="I783" t="str">
        <f>IF('Bittrex Data'!C783="","",IF(Bittrex!C783="Buy",F783,IF(C783="Sale",Bittrex!G783,IF(AND(C783="Trade",'Bittrex Data'!C783="Limit_Sell"),Bittrex!G783,IF(AND(Bittrex!C783="Trade",'Bittrex Data'!C783="Limit_Buy"),F783,"")))))</f>
        <v/>
      </c>
      <c r="J783" t="str">
        <f>IF('Bittrex Data'!B783="","",IF('Bittrex Data'!B783="","",IF(Bittrex!H783=Bittrex!E783,D783,Bittrex!E783)))</f>
        <v/>
      </c>
      <c r="K783" t="str">
        <f>IF('Bittrex Data'!B783="","",IF(Bittrex!I783=Bittrex!G783,Bittrex!F783,Bittrex!G783))</f>
        <v/>
      </c>
    </row>
    <row r="784" spans="3:11" x14ac:dyDescent="0.2">
      <c r="C784" t="str">
        <f>IF('Bittrex Data'!A784="","",IF(AND('Bittrex Data'!C784="LIMIT_SELL",Bittrex!D784="USD"),"Sale",IF(AND('Bittrex Data'!C784="LIMIT_BUY",Bittrex!D784="USD"),"Buy","Trade")))</f>
        <v/>
      </c>
      <c r="D784" t="str">
        <f>IF('Bittrex Data'!B784="","",LEFT(LEFT('Bittrex Data'!B784,SEARCH("-",'Bittrex Data'!B784,1)),LEN(LEFT('Bittrex Data'!B784,SEARCH("-",'Bittrex Data'!B784,1)))-1))</f>
        <v/>
      </c>
      <c r="E784" t="str">
        <f>IF('Bittrex Data'!B784="","",RIGHT(RIGHT('Bittrex Data'!B784,LEN('Bittrex Data'!B784)-SEARCH("-",'Bittrex Data'!B784,1)+1),LEN(RIGHT('Bittrex Data'!B784,LEN('Bittrex Data'!B784)-SEARCH("-",'Bittrex Data'!B784,1)+1))-1))</f>
        <v/>
      </c>
      <c r="F784" t="str">
        <f>IF('Bittrex Data'!C784="","",IF('Bittrex Data'!C784="Limit_Sell",'Bittrex Data'!G784-'Bittrex Data'!F784,IF('Bittrex Data'!C784="Limit_Buy",'Bittrex Data'!G784+'Bittrex Data'!F784,"")))</f>
        <v/>
      </c>
      <c r="G784" t="str">
        <f>IF('Bittrex Data'!B784="","",'Bittrex Data'!D784)</f>
        <v/>
      </c>
      <c r="H784" t="str">
        <f>IF('Bittrex Data'!C784="","",IF(Bittrex!C784="Buy",Bittrex!D784,IF(Bittrex!C784="Sale",Bittrex!E784,IF(AND(Bittrex!C784="Trade",'Bittrex Data'!C784="Limit_Sell"),Bittrex!E784,IF(AND(Bittrex!C784="Trade",'Bittrex Data'!C784="Limit_Buy"),Bittrex!D784,"")))))</f>
        <v/>
      </c>
      <c r="I784" t="str">
        <f>IF('Bittrex Data'!C784="","",IF(Bittrex!C784="Buy",F784,IF(C784="Sale",Bittrex!G784,IF(AND(C784="Trade",'Bittrex Data'!C784="Limit_Sell"),Bittrex!G784,IF(AND(Bittrex!C784="Trade",'Bittrex Data'!C784="Limit_Buy"),F784,"")))))</f>
        <v/>
      </c>
      <c r="J784" t="str">
        <f>IF('Bittrex Data'!B784="","",IF('Bittrex Data'!B784="","",IF(Bittrex!H784=Bittrex!E784,D784,Bittrex!E784)))</f>
        <v/>
      </c>
      <c r="K784" t="str">
        <f>IF('Bittrex Data'!B784="","",IF(Bittrex!I784=Bittrex!G784,Bittrex!F784,Bittrex!G784))</f>
        <v/>
      </c>
    </row>
    <row r="785" spans="3:11" x14ac:dyDescent="0.2">
      <c r="C785" t="str">
        <f>IF('Bittrex Data'!A785="","",IF(AND('Bittrex Data'!C785="LIMIT_SELL",Bittrex!D785="USD"),"Sale",IF(AND('Bittrex Data'!C785="LIMIT_BUY",Bittrex!D785="USD"),"Buy","Trade")))</f>
        <v/>
      </c>
      <c r="D785" t="str">
        <f>IF('Bittrex Data'!B785="","",LEFT(LEFT('Bittrex Data'!B785,SEARCH("-",'Bittrex Data'!B785,1)),LEN(LEFT('Bittrex Data'!B785,SEARCH("-",'Bittrex Data'!B785,1)))-1))</f>
        <v/>
      </c>
      <c r="E785" t="str">
        <f>IF('Bittrex Data'!B785="","",RIGHT(RIGHT('Bittrex Data'!B785,LEN('Bittrex Data'!B785)-SEARCH("-",'Bittrex Data'!B785,1)+1),LEN(RIGHT('Bittrex Data'!B785,LEN('Bittrex Data'!B785)-SEARCH("-",'Bittrex Data'!B785,1)+1))-1))</f>
        <v/>
      </c>
      <c r="F785" t="str">
        <f>IF('Bittrex Data'!C785="","",IF('Bittrex Data'!C785="Limit_Sell",'Bittrex Data'!G785-'Bittrex Data'!F785,IF('Bittrex Data'!C785="Limit_Buy",'Bittrex Data'!G785+'Bittrex Data'!F785,"")))</f>
        <v/>
      </c>
      <c r="G785" t="str">
        <f>IF('Bittrex Data'!B785="","",'Bittrex Data'!D785)</f>
        <v/>
      </c>
      <c r="H785" t="str">
        <f>IF('Bittrex Data'!C785="","",IF(Bittrex!C785="Buy",Bittrex!D785,IF(Bittrex!C785="Sale",Bittrex!E785,IF(AND(Bittrex!C785="Trade",'Bittrex Data'!C785="Limit_Sell"),Bittrex!E785,IF(AND(Bittrex!C785="Trade",'Bittrex Data'!C785="Limit_Buy"),Bittrex!D785,"")))))</f>
        <v/>
      </c>
      <c r="I785" t="str">
        <f>IF('Bittrex Data'!C785="","",IF(Bittrex!C785="Buy",F785,IF(C785="Sale",Bittrex!G785,IF(AND(C785="Trade",'Bittrex Data'!C785="Limit_Sell"),Bittrex!G785,IF(AND(Bittrex!C785="Trade",'Bittrex Data'!C785="Limit_Buy"),F785,"")))))</f>
        <v/>
      </c>
      <c r="J785" t="str">
        <f>IF('Bittrex Data'!B785="","",IF('Bittrex Data'!B785="","",IF(Bittrex!H785=Bittrex!E785,D785,Bittrex!E785)))</f>
        <v/>
      </c>
      <c r="K785" t="str">
        <f>IF('Bittrex Data'!B785="","",IF(Bittrex!I785=Bittrex!G785,Bittrex!F785,Bittrex!G785))</f>
        <v/>
      </c>
    </row>
    <row r="786" spans="3:11" x14ac:dyDescent="0.2">
      <c r="C786" t="str">
        <f>IF('Bittrex Data'!A786="","",IF(AND('Bittrex Data'!C786="LIMIT_SELL",Bittrex!D786="USD"),"Sale",IF(AND('Bittrex Data'!C786="LIMIT_BUY",Bittrex!D786="USD"),"Buy","Trade")))</f>
        <v/>
      </c>
      <c r="D786" t="str">
        <f>IF('Bittrex Data'!B786="","",LEFT(LEFT('Bittrex Data'!B786,SEARCH("-",'Bittrex Data'!B786,1)),LEN(LEFT('Bittrex Data'!B786,SEARCH("-",'Bittrex Data'!B786,1)))-1))</f>
        <v/>
      </c>
      <c r="E786" t="str">
        <f>IF('Bittrex Data'!B786="","",RIGHT(RIGHT('Bittrex Data'!B786,LEN('Bittrex Data'!B786)-SEARCH("-",'Bittrex Data'!B786,1)+1),LEN(RIGHT('Bittrex Data'!B786,LEN('Bittrex Data'!B786)-SEARCH("-",'Bittrex Data'!B786,1)+1))-1))</f>
        <v/>
      </c>
      <c r="F786" t="str">
        <f>IF('Bittrex Data'!C786="","",IF('Bittrex Data'!C786="Limit_Sell",'Bittrex Data'!G786-'Bittrex Data'!F786,IF('Bittrex Data'!C786="Limit_Buy",'Bittrex Data'!G786+'Bittrex Data'!F786,"")))</f>
        <v/>
      </c>
      <c r="G786" t="str">
        <f>IF('Bittrex Data'!B786="","",'Bittrex Data'!D786)</f>
        <v/>
      </c>
      <c r="H786" t="str">
        <f>IF('Bittrex Data'!C786="","",IF(Bittrex!C786="Buy",Bittrex!D786,IF(Bittrex!C786="Sale",Bittrex!E786,IF(AND(Bittrex!C786="Trade",'Bittrex Data'!C786="Limit_Sell"),Bittrex!E786,IF(AND(Bittrex!C786="Trade",'Bittrex Data'!C786="Limit_Buy"),Bittrex!D786,"")))))</f>
        <v/>
      </c>
      <c r="I786" t="str">
        <f>IF('Bittrex Data'!C786="","",IF(Bittrex!C786="Buy",F786,IF(C786="Sale",Bittrex!G786,IF(AND(C786="Trade",'Bittrex Data'!C786="Limit_Sell"),Bittrex!G786,IF(AND(Bittrex!C786="Trade",'Bittrex Data'!C786="Limit_Buy"),F786,"")))))</f>
        <v/>
      </c>
      <c r="J786" t="str">
        <f>IF('Bittrex Data'!B786="","",IF('Bittrex Data'!B786="","",IF(Bittrex!H786=Bittrex!E786,D786,Bittrex!E786)))</f>
        <v/>
      </c>
      <c r="K786" t="str">
        <f>IF('Bittrex Data'!B786="","",IF(Bittrex!I786=Bittrex!G786,Bittrex!F786,Bittrex!G786))</f>
        <v/>
      </c>
    </row>
    <row r="787" spans="3:11" x14ac:dyDescent="0.2">
      <c r="C787" t="str">
        <f>IF('Bittrex Data'!A787="","",IF(AND('Bittrex Data'!C787="LIMIT_SELL",Bittrex!D787="USD"),"Sale",IF(AND('Bittrex Data'!C787="LIMIT_BUY",Bittrex!D787="USD"),"Buy","Trade")))</f>
        <v/>
      </c>
      <c r="D787" t="str">
        <f>IF('Bittrex Data'!B787="","",LEFT(LEFT('Bittrex Data'!B787,SEARCH("-",'Bittrex Data'!B787,1)),LEN(LEFT('Bittrex Data'!B787,SEARCH("-",'Bittrex Data'!B787,1)))-1))</f>
        <v/>
      </c>
      <c r="E787" t="str">
        <f>IF('Bittrex Data'!B787="","",RIGHT(RIGHT('Bittrex Data'!B787,LEN('Bittrex Data'!B787)-SEARCH("-",'Bittrex Data'!B787,1)+1),LEN(RIGHT('Bittrex Data'!B787,LEN('Bittrex Data'!B787)-SEARCH("-",'Bittrex Data'!B787,1)+1))-1))</f>
        <v/>
      </c>
      <c r="F787" t="str">
        <f>IF('Bittrex Data'!C787="","",IF('Bittrex Data'!C787="Limit_Sell",'Bittrex Data'!G787-'Bittrex Data'!F787,IF('Bittrex Data'!C787="Limit_Buy",'Bittrex Data'!G787+'Bittrex Data'!F787,"")))</f>
        <v/>
      </c>
      <c r="G787" t="str">
        <f>IF('Bittrex Data'!B787="","",'Bittrex Data'!D787)</f>
        <v/>
      </c>
      <c r="H787" t="str">
        <f>IF('Bittrex Data'!C787="","",IF(Bittrex!C787="Buy",Bittrex!D787,IF(Bittrex!C787="Sale",Bittrex!E787,IF(AND(Bittrex!C787="Trade",'Bittrex Data'!C787="Limit_Sell"),Bittrex!E787,IF(AND(Bittrex!C787="Trade",'Bittrex Data'!C787="Limit_Buy"),Bittrex!D787,"")))))</f>
        <v/>
      </c>
      <c r="I787" t="str">
        <f>IF('Bittrex Data'!C787="","",IF(Bittrex!C787="Buy",F787,IF(C787="Sale",Bittrex!G787,IF(AND(C787="Trade",'Bittrex Data'!C787="Limit_Sell"),Bittrex!G787,IF(AND(Bittrex!C787="Trade",'Bittrex Data'!C787="Limit_Buy"),F787,"")))))</f>
        <v/>
      </c>
      <c r="J787" t="str">
        <f>IF('Bittrex Data'!B787="","",IF('Bittrex Data'!B787="","",IF(Bittrex!H787=Bittrex!E787,D787,Bittrex!E787)))</f>
        <v/>
      </c>
      <c r="K787" t="str">
        <f>IF('Bittrex Data'!B787="","",IF(Bittrex!I787=Bittrex!G787,Bittrex!F787,Bittrex!G787))</f>
        <v/>
      </c>
    </row>
    <row r="788" spans="3:11" x14ac:dyDescent="0.2">
      <c r="C788" t="str">
        <f>IF('Bittrex Data'!A788="","",IF(AND('Bittrex Data'!C788="LIMIT_SELL",Bittrex!D788="USD"),"Sale",IF(AND('Bittrex Data'!C788="LIMIT_BUY",Bittrex!D788="USD"),"Buy","Trade")))</f>
        <v/>
      </c>
      <c r="D788" t="str">
        <f>IF('Bittrex Data'!B788="","",LEFT(LEFT('Bittrex Data'!B788,SEARCH("-",'Bittrex Data'!B788,1)),LEN(LEFT('Bittrex Data'!B788,SEARCH("-",'Bittrex Data'!B788,1)))-1))</f>
        <v/>
      </c>
      <c r="E788" t="str">
        <f>IF('Bittrex Data'!B788="","",RIGHT(RIGHT('Bittrex Data'!B788,LEN('Bittrex Data'!B788)-SEARCH("-",'Bittrex Data'!B788,1)+1),LEN(RIGHT('Bittrex Data'!B788,LEN('Bittrex Data'!B788)-SEARCH("-",'Bittrex Data'!B788,1)+1))-1))</f>
        <v/>
      </c>
      <c r="F788" t="str">
        <f>IF('Bittrex Data'!C788="","",IF('Bittrex Data'!C788="Limit_Sell",'Bittrex Data'!G788-'Bittrex Data'!F788,IF('Bittrex Data'!C788="Limit_Buy",'Bittrex Data'!G788+'Bittrex Data'!F788,"")))</f>
        <v/>
      </c>
      <c r="G788" t="str">
        <f>IF('Bittrex Data'!B788="","",'Bittrex Data'!D788)</f>
        <v/>
      </c>
      <c r="H788" t="str">
        <f>IF('Bittrex Data'!C788="","",IF(Bittrex!C788="Buy",Bittrex!D788,IF(Bittrex!C788="Sale",Bittrex!E788,IF(AND(Bittrex!C788="Trade",'Bittrex Data'!C788="Limit_Sell"),Bittrex!E788,IF(AND(Bittrex!C788="Trade",'Bittrex Data'!C788="Limit_Buy"),Bittrex!D788,"")))))</f>
        <v/>
      </c>
      <c r="I788" t="str">
        <f>IF('Bittrex Data'!C788="","",IF(Bittrex!C788="Buy",F788,IF(C788="Sale",Bittrex!G788,IF(AND(C788="Trade",'Bittrex Data'!C788="Limit_Sell"),Bittrex!G788,IF(AND(Bittrex!C788="Trade",'Bittrex Data'!C788="Limit_Buy"),F788,"")))))</f>
        <v/>
      </c>
      <c r="J788" t="str">
        <f>IF('Bittrex Data'!B788="","",IF('Bittrex Data'!B788="","",IF(Bittrex!H788=Bittrex!E788,D788,Bittrex!E788)))</f>
        <v/>
      </c>
      <c r="K788" t="str">
        <f>IF('Bittrex Data'!B788="","",IF(Bittrex!I788=Bittrex!G788,Bittrex!F788,Bittrex!G788))</f>
        <v/>
      </c>
    </row>
    <row r="789" spans="3:11" x14ac:dyDescent="0.2">
      <c r="C789" t="str">
        <f>IF('Bittrex Data'!A789="","",IF(AND('Bittrex Data'!C789="LIMIT_SELL",Bittrex!D789="USD"),"Sale",IF(AND('Bittrex Data'!C789="LIMIT_BUY",Bittrex!D789="USD"),"Buy","Trade")))</f>
        <v/>
      </c>
      <c r="D789" t="str">
        <f>IF('Bittrex Data'!B789="","",LEFT(LEFT('Bittrex Data'!B789,SEARCH("-",'Bittrex Data'!B789,1)),LEN(LEFT('Bittrex Data'!B789,SEARCH("-",'Bittrex Data'!B789,1)))-1))</f>
        <v/>
      </c>
      <c r="E789" t="str">
        <f>IF('Bittrex Data'!B789="","",RIGHT(RIGHT('Bittrex Data'!B789,LEN('Bittrex Data'!B789)-SEARCH("-",'Bittrex Data'!B789,1)+1),LEN(RIGHT('Bittrex Data'!B789,LEN('Bittrex Data'!B789)-SEARCH("-",'Bittrex Data'!B789,1)+1))-1))</f>
        <v/>
      </c>
      <c r="F789" t="str">
        <f>IF('Bittrex Data'!C789="","",IF('Bittrex Data'!C789="Limit_Sell",'Bittrex Data'!G789-'Bittrex Data'!F789,IF('Bittrex Data'!C789="Limit_Buy",'Bittrex Data'!G789+'Bittrex Data'!F789,"")))</f>
        <v/>
      </c>
      <c r="G789" t="str">
        <f>IF('Bittrex Data'!B789="","",'Bittrex Data'!D789)</f>
        <v/>
      </c>
      <c r="H789" t="str">
        <f>IF('Bittrex Data'!C789="","",IF(Bittrex!C789="Buy",Bittrex!D789,IF(Bittrex!C789="Sale",Bittrex!E789,IF(AND(Bittrex!C789="Trade",'Bittrex Data'!C789="Limit_Sell"),Bittrex!E789,IF(AND(Bittrex!C789="Trade",'Bittrex Data'!C789="Limit_Buy"),Bittrex!D789,"")))))</f>
        <v/>
      </c>
      <c r="I789" t="str">
        <f>IF('Bittrex Data'!C789="","",IF(Bittrex!C789="Buy",F789,IF(C789="Sale",Bittrex!G789,IF(AND(C789="Trade",'Bittrex Data'!C789="Limit_Sell"),Bittrex!G789,IF(AND(Bittrex!C789="Trade",'Bittrex Data'!C789="Limit_Buy"),F789,"")))))</f>
        <v/>
      </c>
      <c r="J789" t="str">
        <f>IF('Bittrex Data'!B789="","",IF('Bittrex Data'!B789="","",IF(Bittrex!H789=Bittrex!E789,D789,Bittrex!E789)))</f>
        <v/>
      </c>
      <c r="K789" t="str">
        <f>IF('Bittrex Data'!B789="","",IF(Bittrex!I789=Bittrex!G789,Bittrex!F789,Bittrex!G789))</f>
        <v/>
      </c>
    </row>
    <row r="790" spans="3:11" x14ac:dyDescent="0.2">
      <c r="C790" t="str">
        <f>IF('Bittrex Data'!A790="","",IF(AND('Bittrex Data'!C790="LIMIT_SELL",Bittrex!D790="USD"),"Sale",IF(AND('Bittrex Data'!C790="LIMIT_BUY",Bittrex!D790="USD"),"Buy","Trade")))</f>
        <v/>
      </c>
      <c r="D790" t="str">
        <f>IF('Bittrex Data'!B790="","",LEFT(LEFT('Bittrex Data'!B790,SEARCH("-",'Bittrex Data'!B790,1)),LEN(LEFT('Bittrex Data'!B790,SEARCH("-",'Bittrex Data'!B790,1)))-1))</f>
        <v/>
      </c>
      <c r="E790" t="str">
        <f>IF('Bittrex Data'!B790="","",RIGHT(RIGHT('Bittrex Data'!B790,LEN('Bittrex Data'!B790)-SEARCH("-",'Bittrex Data'!B790,1)+1),LEN(RIGHT('Bittrex Data'!B790,LEN('Bittrex Data'!B790)-SEARCH("-",'Bittrex Data'!B790,1)+1))-1))</f>
        <v/>
      </c>
      <c r="F790" t="str">
        <f>IF('Bittrex Data'!C790="","",IF('Bittrex Data'!C790="Limit_Sell",'Bittrex Data'!G790-'Bittrex Data'!F790,IF('Bittrex Data'!C790="Limit_Buy",'Bittrex Data'!G790+'Bittrex Data'!F790,"")))</f>
        <v/>
      </c>
      <c r="G790" t="str">
        <f>IF('Bittrex Data'!B790="","",'Bittrex Data'!D790)</f>
        <v/>
      </c>
      <c r="H790" t="str">
        <f>IF('Bittrex Data'!C790="","",IF(Bittrex!C790="Buy",Bittrex!D790,IF(Bittrex!C790="Sale",Bittrex!E790,IF(AND(Bittrex!C790="Trade",'Bittrex Data'!C790="Limit_Sell"),Bittrex!E790,IF(AND(Bittrex!C790="Trade",'Bittrex Data'!C790="Limit_Buy"),Bittrex!D790,"")))))</f>
        <v/>
      </c>
      <c r="I790" t="str">
        <f>IF('Bittrex Data'!C790="","",IF(Bittrex!C790="Buy",F790,IF(C790="Sale",Bittrex!G790,IF(AND(C790="Trade",'Bittrex Data'!C790="Limit_Sell"),Bittrex!G790,IF(AND(Bittrex!C790="Trade",'Bittrex Data'!C790="Limit_Buy"),F790,"")))))</f>
        <v/>
      </c>
      <c r="J790" t="str">
        <f>IF('Bittrex Data'!B790="","",IF('Bittrex Data'!B790="","",IF(Bittrex!H790=Bittrex!E790,D790,Bittrex!E790)))</f>
        <v/>
      </c>
      <c r="K790" t="str">
        <f>IF('Bittrex Data'!B790="","",IF(Bittrex!I790=Bittrex!G790,Bittrex!F790,Bittrex!G790))</f>
        <v/>
      </c>
    </row>
    <row r="791" spans="3:11" x14ac:dyDescent="0.2">
      <c r="C791" t="str">
        <f>IF('Bittrex Data'!A791="","",IF(AND('Bittrex Data'!C791="LIMIT_SELL",Bittrex!D791="USD"),"Sale",IF(AND('Bittrex Data'!C791="LIMIT_BUY",Bittrex!D791="USD"),"Buy","Trade")))</f>
        <v/>
      </c>
      <c r="D791" t="str">
        <f>IF('Bittrex Data'!B791="","",LEFT(LEFT('Bittrex Data'!B791,SEARCH("-",'Bittrex Data'!B791,1)),LEN(LEFT('Bittrex Data'!B791,SEARCH("-",'Bittrex Data'!B791,1)))-1))</f>
        <v/>
      </c>
      <c r="E791" t="str">
        <f>IF('Bittrex Data'!B791="","",RIGHT(RIGHT('Bittrex Data'!B791,LEN('Bittrex Data'!B791)-SEARCH("-",'Bittrex Data'!B791,1)+1),LEN(RIGHT('Bittrex Data'!B791,LEN('Bittrex Data'!B791)-SEARCH("-",'Bittrex Data'!B791,1)+1))-1))</f>
        <v/>
      </c>
      <c r="F791" t="str">
        <f>IF('Bittrex Data'!C791="","",IF('Bittrex Data'!C791="Limit_Sell",'Bittrex Data'!G791-'Bittrex Data'!F791,IF('Bittrex Data'!C791="Limit_Buy",'Bittrex Data'!G791+'Bittrex Data'!F791,"")))</f>
        <v/>
      </c>
      <c r="G791" t="str">
        <f>IF('Bittrex Data'!B791="","",'Bittrex Data'!D791)</f>
        <v/>
      </c>
      <c r="H791" t="str">
        <f>IF('Bittrex Data'!C791="","",IF(Bittrex!C791="Buy",Bittrex!D791,IF(Bittrex!C791="Sale",Bittrex!E791,IF(AND(Bittrex!C791="Trade",'Bittrex Data'!C791="Limit_Sell"),Bittrex!E791,IF(AND(Bittrex!C791="Trade",'Bittrex Data'!C791="Limit_Buy"),Bittrex!D791,"")))))</f>
        <v/>
      </c>
      <c r="I791" t="str">
        <f>IF('Bittrex Data'!C791="","",IF(Bittrex!C791="Buy",F791,IF(C791="Sale",Bittrex!G791,IF(AND(C791="Trade",'Bittrex Data'!C791="Limit_Sell"),Bittrex!G791,IF(AND(Bittrex!C791="Trade",'Bittrex Data'!C791="Limit_Buy"),F791,"")))))</f>
        <v/>
      </c>
      <c r="J791" t="str">
        <f>IF('Bittrex Data'!B791="","",IF('Bittrex Data'!B791="","",IF(Bittrex!H791=Bittrex!E791,D791,Bittrex!E791)))</f>
        <v/>
      </c>
      <c r="K791" t="str">
        <f>IF('Bittrex Data'!B791="","",IF(Bittrex!I791=Bittrex!G791,Bittrex!F791,Bittrex!G791))</f>
        <v/>
      </c>
    </row>
    <row r="792" spans="3:11" x14ac:dyDescent="0.2">
      <c r="C792" t="str">
        <f>IF('Bittrex Data'!A792="","",IF(AND('Bittrex Data'!C792="LIMIT_SELL",Bittrex!D792="USD"),"Sale",IF(AND('Bittrex Data'!C792="LIMIT_BUY",Bittrex!D792="USD"),"Buy","Trade")))</f>
        <v/>
      </c>
      <c r="D792" t="str">
        <f>IF('Bittrex Data'!B792="","",LEFT(LEFT('Bittrex Data'!B792,SEARCH("-",'Bittrex Data'!B792,1)),LEN(LEFT('Bittrex Data'!B792,SEARCH("-",'Bittrex Data'!B792,1)))-1))</f>
        <v/>
      </c>
      <c r="E792" t="str">
        <f>IF('Bittrex Data'!B792="","",RIGHT(RIGHT('Bittrex Data'!B792,LEN('Bittrex Data'!B792)-SEARCH("-",'Bittrex Data'!B792,1)+1),LEN(RIGHT('Bittrex Data'!B792,LEN('Bittrex Data'!B792)-SEARCH("-",'Bittrex Data'!B792,1)+1))-1))</f>
        <v/>
      </c>
      <c r="F792" t="str">
        <f>IF('Bittrex Data'!C792="","",IF('Bittrex Data'!C792="Limit_Sell",'Bittrex Data'!G792-'Bittrex Data'!F792,IF('Bittrex Data'!C792="Limit_Buy",'Bittrex Data'!G792+'Bittrex Data'!F792,"")))</f>
        <v/>
      </c>
      <c r="G792" t="str">
        <f>IF('Bittrex Data'!B792="","",'Bittrex Data'!D792)</f>
        <v/>
      </c>
      <c r="H792" t="str">
        <f>IF('Bittrex Data'!C792="","",IF(Bittrex!C792="Buy",Bittrex!D792,IF(Bittrex!C792="Sale",Bittrex!E792,IF(AND(Bittrex!C792="Trade",'Bittrex Data'!C792="Limit_Sell"),Bittrex!E792,IF(AND(Bittrex!C792="Trade",'Bittrex Data'!C792="Limit_Buy"),Bittrex!D792,"")))))</f>
        <v/>
      </c>
      <c r="I792" t="str">
        <f>IF('Bittrex Data'!C792="","",IF(Bittrex!C792="Buy",F792,IF(C792="Sale",Bittrex!G792,IF(AND(C792="Trade",'Bittrex Data'!C792="Limit_Sell"),Bittrex!G792,IF(AND(Bittrex!C792="Trade",'Bittrex Data'!C792="Limit_Buy"),F792,"")))))</f>
        <v/>
      </c>
      <c r="J792" t="str">
        <f>IF('Bittrex Data'!B792="","",IF('Bittrex Data'!B792="","",IF(Bittrex!H792=Bittrex!E792,D792,Bittrex!E792)))</f>
        <v/>
      </c>
      <c r="K792" t="str">
        <f>IF('Bittrex Data'!B792="","",IF(Bittrex!I792=Bittrex!G792,Bittrex!F792,Bittrex!G792))</f>
        <v/>
      </c>
    </row>
    <row r="793" spans="3:11" x14ac:dyDescent="0.2">
      <c r="C793" t="str">
        <f>IF('Bittrex Data'!A793="","",IF(AND('Bittrex Data'!C793="LIMIT_SELL",Bittrex!D793="USD"),"Sale",IF(AND('Bittrex Data'!C793="LIMIT_BUY",Bittrex!D793="USD"),"Buy","Trade")))</f>
        <v/>
      </c>
      <c r="D793" t="str">
        <f>IF('Bittrex Data'!B793="","",LEFT(LEFT('Bittrex Data'!B793,SEARCH("-",'Bittrex Data'!B793,1)),LEN(LEFT('Bittrex Data'!B793,SEARCH("-",'Bittrex Data'!B793,1)))-1))</f>
        <v/>
      </c>
      <c r="E793" t="str">
        <f>IF('Bittrex Data'!B793="","",RIGHT(RIGHT('Bittrex Data'!B793,LEN('Bittrex Data'!B793)-SEARCH("-",'Bittrex Data'!B793,1)+1),LEN(RIGHT('Bittrex Data'!B793,LEN('Bittrex Data'!B793)-SEARCH("-",'Bittrex Data'!B793,1)+1))-1))</f>
        <v/>
      </c>
      <c r="F793" t="str">
        <f>IF('Bittrex Data'!C793="","",IF('Bittrex Data'!C793="Limit_Sell",'Bittrex Data'!G793-'Bittrex Data'!F793,IF('Bittrex Data'!C793="Limit_Buy",'Bittrex Data'!G793+'Bittrex Data'!F793,"")))</f>
        <v/>
      </c>
      <c r="G793" t="str">
        <f>IF('Bittrex Data'!B793="","",'Bittrex Data'!D793)</f>
        <v/>
      </c>
      <c r="H793" t="str">
        <f>IF('Bittrex Data'!C793="","",IF(Bittrex!C793="Buy",Bittrex!D793,IF(Bittrex!C793="Sale",Bittrex!E793,IF(AND(Bittrex!C793="Trade",'Bittrex Data'!C793="Limit_Sell"),Bittrex!E793,IF(AND(Bittrex!C793="Trade",'Bittrex Data'!C793="Limit_Buy"),Bittrex!D793,"")))))</f>
        <v/>
      </c>
      <c r="I793" t="str">
        <f>IF('Bittrex Data'!C793="","",IF(Bittrex!C793="Buy",F793,IF(C793="Sale",Bittrex!G793,IF(AND(C793="Trade",'Bittrex Data'!C793="Limit_Sell"),Bittrex!G793,IF(AND(Bittrex!C793="Trade",'Bittrex Data'!C793="Limit_Buy"),F793,"")))))</f>
        <v/>
      </c>
      <c r="J793" t="str">
        <f>IF('Bittrex Data'!B793="","",IF('Bittrex Data'!B793="","",IF(Bittrex!H793=Bittrex!E793,D793,Bittrex!E793)))</f>
        <v/>
      </c>
      <c r="K793" t="str">
        <f>IF('Bittrex Data'!B793="","",IF(Bittrex!I793=Bittrex!G793,Bittrex!F793,Bittrex!G793))</f>
        <v/>
      </c>
    </row>
    <row r="794" spans="3:11" x14ac:dyDescent="0.2">
      <c r="C794" t="str">
        <f>IF('Bittrex Data'!A794="","",IF(AND('Bittrex Data'!C794="LIMIT_SELL",Bittrex!D794="USD"),"Sale",IF(AND('Bittrex Data'!C794="LIMIT_BUY",Bittrex!D794="USD"),"Buy","Trade")))</f>
        <v/>
      </c>
      <c r="D794" t="str">
        <f>IF('Bittrex Data'!B794="","",LEFT(LEFT('Bittrex Data'!B794,SEARCH("-",'Bittrex Data'!B794,1)),LEN(LEFT('Bittrex Data'!B794,SEARCH("-",'Bittrex Data'!B794,1)))-1))</f>
        <v/>
      </c>
      <c r="E794" t="str">
        <f>IF('Bittrex Data'!B794="","",RIGHT(RIGHT('Bittrex Data'!B794,LEN('Bittrex Data'!B794)-SEARCH("-",'Bittrex Data'!B794,1)+1),LEN(RIGHT('Bittrex Data'!B794,LEN('Bittrex Data'!B794)-SEARCH("-",'Bittrex Data'!B794,1)+1))-1))</f>
        <v/>
      </c>
      <c r="F794" t="str">
        <f>IF('Bittrex Data'!C794="","",IF('Bittrex Data'!C794="Limit_Sell",'Bittrex Data'!G794-'Bittrex Data'!F794,IF('Bittrex Data'!C794="Limit_Buy",'Bittrex Data'!G794+'Bittrex Data'!F794,"")))</f>
        <v/>
      </c>
      <c r="G794" t="str">
        <f>IF('Bittrex Data'!B794="","",'Bittrex Data'!D794)</f>
        <v/>
      </c>
      <c r="H794" t="str">
        <f>IF('Bittrex Data'!C794="","",IF(Bittrex!C794="Buy",Bittrex!D794,IF(Bittrex!C794="Sale",Bittrex!E794,IF(AND(Bittrex!C794="Trade",'Bittrex Data'!C794="Limit_Sell"),Bittrex!E794,IF(AND(Bittrex!C794="Trade",'Bittrex Data'!C794="Limit_Buy"),Bittrex!D794,"")))))</f>
        <v/>
      </c>
      <c r="I794" t="str">
        <f>IF('Bittrex Data'!C794="","",IF(Bittrex!C794="Buy",F794,IF(C794="Sale",Bittrex!G794,IF(AND(C794="Trade",'Bittrex Data'!C794="Limit_Sell"),Bittrex!G794,IF(AND(Bittrex!C794="Trade",'Bittrex Data'!C794="Limit_Buy"),F794,"")))))</f>
        <v/>
      </c>
      <c r="J794" t="str">
        <f>IF('Bittrex Data'!B794="","",IF('Bittrex Data'!B794="","",IF(Bittrex!H794=Bittrex!E794,D794,Bittrex!E794)))</f>
        <v/>
      </c>
      <c r="K794" t="str">
        <f>IF('Bittrex Data'!B794="","",IF(Bittrex!I794=Bittrex!G794,Bittrex!F794,Bittrex!G794))</f>
        <v/>
      </c>
    </row>
    <row r="795" spans="3:11" x14ac:dyDescent="0.2">
      <c r="C795" t="str">
        <f>IF('Bittrex Data'!A795="","",IF(AND('Bittrex Data'!C795="LIMIT_SELL",Bittrex!D795="USD"),"Sale",IF(AND('Bittrex Data'!C795="LIMIT_BUY",Bittrex!D795="USD"),"Buy","Trade")))</f>
        <v/>
      </c>
      <c r="D795" t="str">
        <f>IF('Bittrex Data'!B795="","",LEFT(LEFT('Bittrex Data'!B795,SEARCH("-",'Bittrex Data'!B795,1)),LEN(LEFT('Bittrex Data'!B795,SEARCH("-",'Bittrex Data'!B795,1)))-1))</f>
        <v/>
      </c>
      <c r="E795" t="str">
        <f>IF('Bittrex Data'!B795="","",RIGHT(RIGHT('Bittrex Data'!B795,LEN('Bittrex Data'!B795)-SEARCH("-",'Bittrex Data'!B795,1)+1),LEN(RIGHT('Bittrex Data'!B795,LEN('Bittrex Data'!B795)-SEARCH("-",'Bittrex Data'!B795,1)+1))-1))</f>
        <v/>
      </c>
      <c r="F795" t="str">
        <f>IF('Bittrex Data'!C795="","",IF('Bittrex Data'!C795="Limit_Sell",'Bittrex Data'!G795-'Bittrex Data'!F795,IF('Bittrex Data'!C795="Limit_Buy",'Bittrex Data'!G795+'Bittrex Data'!F795,"")))</f>
        <v/>
      </c>
      <c r="G795" t="str">
        <f>IF('Bittrex Data'!B795="","",'Bittrex Data'!D795)</f>
        <v/>
      </c>
      <c r="H795" t="str">
        <f>IF('Bittrex Data'!C795="","",IF(Bittrex!C795="Buy",Bittrex!D795,IF(Bittrex!C795="Sale",Bittrex!E795,IF(AND(Bittrex!C795="Trade",'Bittrex Data'!C795="Limit_Sell"),Bittrex!E795,IF(AND(Bittrex!C795="Trade",'Bittrex Data'!C795="Limit_Buy"),Bittrex!D795,"")))))</f>
        <v/>
      </c>
      <c r="I795" t="str">
        <f>IF('Bittrex Data'!C795="","",IF(Bittrex!C795="Buy",F795,IF(C795="Sale",Bittrex!G795,IF(AND(C795="Trade",'Bittrex Data'!C795="Limit_Sell"),Bittrex!G795,IF(AND(Bittrex!C795="Trade",'Bittrex Data'!C795="Limit_Buy"),F795,"")))))</f>
        <v/>
      </c>
      <c r="J795" t="str">
        <f>IF('Bittrex Data'!B795="","",IF('Bittrex Data'!B795="","",IF(Bittrex!H795=Bittrex!E795,D795,Bittrex!E795)))</f>
        <v/>
      </c>
      <c r="K795" t="str">
        <f>IF('Bittrex Data'!B795="","",IF(Bittrex!I795=Bittrex!G795,Bittrex!F795,Bittrex!G795))</f>
        <v/>
      </c>
    </row>
    <row r="796" spans="3:11" x14ac:dyDescent="0.2">
      <c r="C796" t="str">
        <f>IF('Bittrex Data'!A796="","",IF(AND('Bittrex Data'!C796="LIMIT_SELL",Bittrex!D796="USD"),"Sale",IF(AND('Bittrex Data'!C796="LIMIT_BUY",Bittrex!D796="USD"),"Buy","Trade")))</f>
        <v/>
      </c>
      <c r="D796" t="str">
        <f>IF('Bittrex Data'!B796="","",LEFT(LEFT('Bittrex Data'!B796,SEARCH("-",'Bittrex Data'!B796,1)),LEN(LEFT('Bittrex Data'!B796,SEARCH("-",'Bittrex Data'!B796,1)))-1))</f>
        <v/>
      </c>
      <c r="E796" t="str">
        <f>IF('Bittrex Data'!B796="","",RIGHT(RIGHT('Bittrex Data'!B796,LEN('Bittrex Data'!B796)-SEARCH("-",'Bittrex Data'!B796,1)+1),LEN(RIGHT('Bittrex Data'!B796,LEN('Bittrex Data'!B796)-SEARCH("-",'Bittrex Data'!B796,1)+1))-1))</f>
        <v/>
      </c>
      <c r="F796" t="str">
        <f>IF('Bittrex Data'!C796="","",IF('Bittrex Data'!C796="Limit_Sell",'Bittrex Data'!G796-'Bittrex Data'!F796,IF('Bittrex Data'!C796="Limit_Buy",'Bittrex Data'!G796+'Bittrex Data'!F796,"")))</f>
        <v/>
      </c>
      <c r="G796" t="str">
        <f>IF('Bittrex Data'!B796="","",'Bittrex Data'!D796)</f>
        <v/>
      </c>
      <c r="H796" t="str">
        <f>IF('Bittrex Data'!C796="","",IF(Bittrex!C796="Buy",Bittrex!D796,IF(Bittrex!C796="Sale",Bittrex!E796,IF(AND(Bittrex!C796="Trade",'Bittrex Data'!C796="Limit_Sell"),Bittrex!E796,IF(AND(Bittrex!C796="Trade",'Bittrex Data'!C796="Limit_Buy"),Bittrex!D796,"")))))</f>
        <v/>
      </c>
      <c r="I796" t="str">
        <f>IF('Bittrex Data'!C796="","",IF(Bittrex!C796="Buy",F796,IF(C796="Sale",Bittrex!G796,IF(AND(C796="Trade",'Bittrex Data'!C796="Limit_Sell"),Bittrex!G796,IF(AND(Bittrex!C796="Trade",'Bittrex Data'!C796="Limit_Buy"),F796,"")))))</f>
        <v/>
      </c>
      <c r="J796" t="str">
        <f>IF('Bittrex Data'!B796="","",IF('Bittrex Data'!B796="","",IF(Bittrex!H796=Bittrex!E796,D796,Bittrex!E796)))</f>
        <v/>
      </c>
      <c r="K796" t="str">
        <f>IF('Bittrex Data'!B796="","",IF(Bittrex!I796=Bittrex!G796,Bittrex!F796,Bittrex!G796))</f>
        <v/>
      </c>
    </row>
    <row r="797" spans="3:11" x14ac:dyDescent="0.2">
      <c r="C797" t="str">
        <f>IF('Bittrex Data'!A797="","",IF(AND('Bittrex Data'!C797="LIMIT_SELL",Bittrex!D797="USD"),"Sale",IF(AND('Bittrex Data'!C797="LIMIT_BUY",Bittrex!D797="USD"),"Buy","Trade")))</f>
        <v/>
      </c>
      <c r="D797" t="str">
        <f>IF('Bittrex Data'!B797="","",LEFT(LEFT('Bittrex Data'!B797,SEARCH("-",'Bittrex Data'!B797,1)),LEN(LEFT('Bittrex Data'!B797,SEARCH("-",'Bittrex Data'!B797,1)))-1))</f>
        <v/>
      </c>
      <c r="E797" t="str">
        <f>IF('Bittrex Data'!B797="","",RIGHT(RIGHT('Bittrex Data'!B797,LEN('Bittrex Data'!B797)-SEARCH("-",'Bittrex Data'!B797,1)+1),LEN(RIGHT('Bittrex Data'!B797,LEN('Bittrex Data'!B797)-SEARCH("-",'Bittrex Data'!B797,1)+1))-1))</f>
        <v/>
      </c>
      <c r="F797" t="str">
        <f>IF('Bittrex Data'!C797="","",IF('Bittrex Data'!C797="Limit_Sell",'Bittrex Data'!G797-'Bittrex Data'!F797,IF('Bittrex Data'!C797="Limit_Buy",'Bittrex Data'!G797+'Bittrex Data'!F797,"")))</f>
        <v/>
      </c>
      <c r="G797" t="str">
        <f>IF('Bittrex Data'!B797="","",'Bittrex Data'!D797)</f>
        <v/>
      </c>
      <c r="H797" t="str">
        <f>IF('Bittrex Data'!C797="","",IF(Bittrex!C797="Buy",Bittrex!D797,IF(Bittrex!C797="Sale",Bittrex!E797,IF(AND(Bittrex!C797="Trade",'Bittrex Data'!C797="Limit_Sell"),Bittrex!E797,IF(AND(Bittrex!C797="Trade",'Bittrex Data'!C797="Limit_Buy"),Bittrex!D797,"")))))</f>
        <v/>
      </c>
      <c r="I797" t="str">
        <f>IF('Bittrex Data'!C797="","",IF(Bittrex!C797="Buy",F797,IF(C797="Sale",Bittrex!G797,IF(AND(C797="Trade",'Bittrex Data'!C797="Limit_Sell"),Bittrex!G797,IF(AND(Bittrex!C797="Trade",'Bittrex Data'!C797="Limit_Buy"),F797,"")))))</f>
        <v/>
      </c>
      <c r="J797" t="str">
        <f>IF('Bittrex Data'!B797="","",IF('Bittrex Data'!B797="","",IF(Bittrex!H797=Bittrex!E797,D797,Bittrex!E797)))</f>
        <v/>
      </c>
      <c r="K797" t="str">
        <f>IF('Bittrex Data'!B797="","",IF(Bittrex!I797=Bittrex!G797,Bittrex!F797,Bittrex!G797))</f>
        <v/>
      </c>
    </row>
    <row r="798" spans="3:11" x14ac:dyDescent="0.2">
      <c r="C798" t="str">
        <f>IF('Bittrex Data'!A798="","",IF(AND('Bittrex Data'!C798="LIMIT_SELL",Bittrex!D798="USD"),"Sale",IF(AND('Bittrex Data'!C798="LIMIT_BUY",Bittrex!D798="USD"),"Buy","Trade")))</f>
        <v/>
      </c>
      <c r="D798" t="str">
        <f>IF('Bittrex Data'!B798="","",LEFT(LEFT('Bittrex Data'!B798,SEARCH("-",'Bittrex Data'!B798,1)),LEN(LEFT('Bittrex Data'!B798,SEARCH("-",'Bittrex Data'!B798,1)))-1))</f>
        <v/>
      </c>
      <c r="E798" t="str">
        <f>IF('Bittrex Data'!B798="","",RIGHT(RIGHT('Bittrex Data'!B798,LEN('Bittrex Data'!B798)-SEARCH("-",'Bittrex Data'!B798,1)+1),LEN(RIGHT('Bittrex Data'!B798,LEN('Bittrex Data'!B798)-SEARCH("-",'Bittrex Data'!B798,1)+1))-1))</f>
        <v/>
      </c>
      <c r="F798" t="str">
        <f>IF('Bittrex Data'!C798="","",IF('Bittrex Data'!C798="Limit_Sell",'Bittrex Data'!G798-'Bittrex Data'!F798,IF('Bittrex Data'!C798="Limit_Buy",'Bittrex Data'!G798+'Bittrex Data'!F798,"")))</f>
        <v/>
      </c>
      <c r="G798" t="str">
        <f>IF('Bittrex Data'!B798="","",'Bittrex Data'!D798)</f>
        <v/>
      </c>
      <c r="H798" t="str">
        <f>IF('Bittrex Data'!C798="","",IF(Bittrex!C798="Buy",Bittrex!D798,IF(Bittrex!C798="Sale",Bittrex!E798,IF(AND(Bittrex!C798="Trade",'Bittrex Data'!C798="Limit_Sell"),Bittrex!E798,IF(AND(Bittrex!C798="Trade",'Bittrex Data'!C798="Limit_Buy"),Bittrex!D798,"")))))</f>
        <v/>
      </c>
      <c r="I798" t="str">
        <f>IF('Bittrex Data'!C798="","",IF(Bittrex!C798="Buy",F798,IF(C798="Sale",Bittrex!G798,IF(AND(C798="Trade",'Bittrex Data'!C798="Limit_Sell"),Bittrex!G798,IF(AND(Bittrex!C798="Trade",'Bittrex Data'!C798="Limit_Buy"),F798,"")))))</f>
        <v/>
      </c>
      <c r="J798" t="str">
        <f>IF('Bittrex Data'!B798="","",IF('Bittrex Data'!B798="","",IF(Bittrex!H798=Bittrex!E798,D798,Bittrex!E798)))</f>
        <v/>
      </c>
      <c r="K798" t="str">
        <f>IF('Bittrex Data'!B798="","",IF(Bittrex!I798=Bittrex!G798,Bittrex!F798,Bittrex!G798))</f>
        <v/>
      </c>
    </row>
    <row r="799" spans="3:11" x14ac:dyDescent="0.2">
      <c r="C799" t="str">
        <f>IF('Bittrex Data'!A799="","",IF(AND('Bittrex Data'!C799="LIMIT_SELL",Bittrex!D799="USD"),"Sale",IF(AND('Bittrex Data'!C799="LIMIT_BUY",Bittrex!D799="USD"),"Buy","Trade")))</f>
        <v/>
      </c>
      <c r="D799" t="str">
        <f>IF('Bittrex Data'!B799="","",LEFT(LEFT('Bittrex Data'!B799,SEARCH("-",'Bittrex Data'!B799,1)),LEN(LEFT('Bittrex Data'!B799,SEARCH("-",'Bittrex Data'!B799,1)))-1))</f>
        <v/>
      </c>
      <c r="E799" t="str">
        <f>IF('Bittrex Data'!B799="","",RIGHT(RIGHT('Bittrex Data'!B799,LEN('Bittrex Data'!B799)-SEARCH("-",'Bittrex Data'!B799,1)+1),LEN(RIGHT('Bittrex Data'!B799,LEN('Bittrex Data'!B799)-SEARCH("-",'Bittrex Data'!B799,1)+1))-1))</f>
        <v/>
      </c>
      <c r="F799" t="str">
        <f>IF('Bittrex Data'!C799="","",IF('Bittrex Data'!C799="Limit_Sell",'Bittrex Data'!G799-'Bittrex Data'!F799,IF('Bittrex Data'!C799="Limit_Buy",'Bittrex Data'!G799+'Bittrex Data'!F799,"")))</f>
        <v/>
      </c>
      <c r="G799" t="str">
        <f>IF('Bittrex Data'!B799="","",'Bittrex Data'!D799)</f>
        <v/>
      </c>
      <c r="H799" t="str">
        <f>IF('Bittrex Data'!C799="","",IF(Bittrex!C799="Buy",Bittrex!D799,IF(Bittrex!C799="Sale",Bittrex!E799,IF(AND(Bittrex!C799="Trade",'Bittrex Data'!C799="Limit_Sell"),Bittrex!E799,IF(AND(Bittrex!C799="Trade",'Bittrex Data'!C799="Limit_Buy"),Bittrex!D799,"")))))</f>
        <v/>
      </c>
      <c r="I799" t="str">
        <f>IF('Bittrex Data'!C799="","",IF(Bittrex!C799="Buy",F799,IF(C799="Sale",Bittrex!G799,IF(AND(C799="Trade",'Bittrex Data'!C799="Limit_Sell"),Bittrex!G799,IF(AND(Bittrex!C799="Trade",'Bittrex Data'!C799="Limit_Buy"),F799,"")))))</f>
        <v/>
      </c>
      <c r="J799" t="str">
        <f>IF('Bittrex Data'!B799="","",IF('Bittrex Data'!B799="","",IF(Bittrex!H799=Bittrex!E799,D799,Bittrex!E799)))</f>
        <v/>
      </c>
      <c r="K799" t="str">
        <f>IF('Bittrex Data'!B799="","",IF(Bittrex!I799=Bittrex!G799,Bittrex!F799,Bittrex!G799))</f>
        <v/>
      </c>
    </row>
    <row r="800" spans="3:11" x14ac:dyDescent="0.2">
      <c r="C800" t="str">
        <f>IF('Bittrex Data'!A800="","",IF(AND('Bittrex Data'!C800="LIMIT_SELL",Bittrex!D800="USD"),"Sale",IF(AND('Bittrex Data'!C800="LIMIT_BUY",Bittrex!D800="USD"),"Buy","Trade")))</f>
        <v/>
      </c>
      <c r="D800" t="str">
        <f>IF('Bittrex Data'!B800="","",LEFT(LEFT('Bittrex Data'!B800,SEARCH("-",'Bittrex Data'!B800,1)),LEN(LEFT('Bittrex Data'!B800,SEARCH("-",'Bittrex Data'!B800,1)))-1))</f>
        <v/>
      </c>
      <c r="E800" t="str">
        <f>IF('Bittrex Data'!B800="","",RIGHT(RIGHT('Bittrex Data'!B800,LEN('Bittrex Data'!B800)-SEARCH("-",'Bittrex Data'!B800,1)+1),LEN(RIGHT('Bittrex Data'!B800,LEN('Bittrex Data'!B800)-SEARCH("-",'Bittrex Data'!B800,1)+1))-1))</f>
        <v/>
      </c>
      <c r="F800" t="str">
        <f>IF('Bittrex Data'!C800="","",IF('Bittrex Data'!C800="Limit_Sell",'Bittrex Data'!G800-'Bittrex Data'!F800,IF('Bittrex Data'!C800="Limit_Buy",'Bittrex Data'!G800+'Bittrex Data'!F800,"")))</f>
        <v/>
      </c>
      <c r="G800" t="str">
        <f>IF('Bittrex Data'!B800="","",'Bittrex Data'!D800)</f>
        <v/>
      </c>
      <c r="H800" t="str">
        <f>IF('Bittrex Data'!C800="","",IF(Bittrex!C800="Buy",Bittrex!D800,IF(Bittrex!C800="Sale",Bittrex!E800,IF(AND(Bittrex!C800="Trade",'Bittrex Data'!C800="Limit_Sell"),Bittrex!E800,IF(AND(Bittrex!C800="Trade",'Bittrex Data'!C800="Limit_Buy"),Bittrex!D800,"")))))</f>
        <v/>
      </c>
      <c r="I800" t="str">
        <f>IF('Bittrex Data'!C800="","",IF(Bittrex!C800="Buy",F800,IF(C800="Sale",Bittrex!G800,IF(AND(C800="Trade",'Bittrex Data'!C800="Limit_Sell"),Bittrex!G800,IF(AND(Bittrex!C800="Trade",'Bittrex Data'!C800="Limit_Buy"),F800,"")))))</f>
        <v/>
      </c>
      <c r="J800" t="str">
        <f>IF('Bittrex Data'!B800="","",IF('Bittrex Data'!B800="","",IF(Bittrex!H800=Bittrex!E800,D800,Bittrex!E800)))</f>
        <v/>
      </c>
      <c r="K800" t="str">
        <f>IF('Bittrex Data'!B800="","",IF(Bittrex!I800=Bittrex!G800,Bittrex!F800,Bittrex!G800))</f>
        <v/>
      </c>
    </row>
    <row r="801" spans="3:11" x14ac:dyDescent="0.2">
      <c r="C801" t="str">
        <f>IF('Bittrex Data'!A801="","",IF(AND('Bittrex Data'!C801="LIMIT_SELL",Bittrex!D801="USD"),"Sale",IF(AND('Bittrex Data'!C801="LIMIT_BUY",Bittrex!D801="USD"),"Buy","Trade")))</f>
        <v/>
      </c>
      <c r="D801" t="str">
        <f>IF('Bittrex Data'!B801="","",LEFT(LEFT('Bittrex Data'!B801,SEARCH("-",'Bittrex Data'!B801,1)),LEN(LEFT('Bittrex Data'!B801,SEARCH("-",'Bittrex Data'!B801,1)))-1))</f>
        <v/>
      </c>
      <c r="E801" t="str">
        <f>IF('Bittrex Data'!B801="","",RIGHT(RIGHT('Bittrex Data'!B801,LEN('Bittrex Data'!B801)-SEARCH("-",'Bittrex Data'!B801,1)+1),LEN(RIGHT('Bittrex Data'!B801,LEN('Bittrex Data'!B801)-SEARCH("-",'Bittrex Data'!B801,1)+1))-1))</f>
        <v/>
      </c>
      <c r="F801" t="str">
        <f>IF('Bittrex Data'!C801="","",IF('Bittrex Data'!C801="Limit_Sell",'Bittrex Data'!G801-'Bittrex Data'!F801,IF('Bittrex Data'!C801="Limit_Buy",'Bittrex Data'!G801+'Bittrex Data'!F801,"")))</f>
        <v/>
      </c>
      <c r="G801" t="str">
        <f>IF('Bittrex Data'!B801="","",'Bittrex Data'!D801)</f>
        <v/>
      </c>
      <c r="H801" t="str">
        <f>IF('Bittrex Data'!C801="","",IF(Bittrex!C801="Buy",Bittrex!D801,IF(Bittrex!C801="Sale",Bittrex!E801,IF(AND(Bittrex!C801="Trade",'Bittrex Data'!C801="Limit_Sell"),Bittrex!E801,IF(AND(Bittrex!C801="Trade",'Bittrex Data'!C801="Limit_Buy"),Bittrex!D801,"")))))</f>
        <v/>
      </c>
      <c r="I801" t="str">
        <f>IF('Bittrex Data'!C801="","",IF(Bittrex!C801="Buy",F801,IF(C801="Sale",Bittrex!G801,IF(AND(C801="Trade",'Bittrex Data'!C801="Limit_Sell"),Bittrex!G801,IF(AND(Bittrex!C801="Trade",'Bittrex Data'!C801="Limit_Buy"),F801,"")))))</f>
        <v/>
      </c>
      <c r="J801" t="str">
        <f>IF('Bittrex Data'!B801="","",IF('Bittrex Data'!B801="","",IF(Bittrex!H801=Bittrex!E801,D801,Bittrex!E801)))</f>
        <v/>
      </c>
      <c r="K801" t="str">
        <f>IF('Bittrex Data'!B801="","",IF(Bittrex!I801=Bittrex!G801,Bittrex!F801,Bittrex!G801))</f>
        <v/>
      </c>
    </row>
    <row r="802" spans="3:11" x14ac:dyDescent="0.2">
      <c r="C802" t="str">
        <f>IF('Bittrex Data'!A802="","",IF(AND('Bittrex Data'!C802="LIMIT_SELL",Bittrex!D802="USD"),"Sale",IF(AND('Bittrex Data'!C802="LIMIT_BUY",Bittrex!D802="USD"),"Buy","Trade")))</f>
        <v/>
      </c>
      <c r="D802" t="str">
        <f>IF('Bittrex Data'!B802="","",LEFT(LEFT('Bittrex Data'!B802,SEARCH("-",'Bittrex Data'!B802,1)),LEN(LEFT('Bittrex Data'!B802,SEARCH("-",'Bittrex Data'!B802,1)))-1))</f>
        <v/>
      </c>
      <c r="E802" t="str">
        <f>IF('Bittrex Data'!B802="","",RIGHT(RIGHT('Bittrex Data'!B802,LEN('Bittrex Data'!B802)-SEARCH("-",'Bittrex Data'!B802,1)+1),LEN(RIGHT('Bittrex Data'!B802,LEN('Bittrex Data'!B802)-SEARCH("-",'Bittrex Data'!B802,1)+1))-1))</f>
        <v/>
      </c>
      <c r="F802" t="str">
        <f>IF('Bittrex Data'!C802="","",IF('Bittrex Data'!C802="Limit_Sell",'Bittrex Data'!G802-'Bittrex Data'!F802,IF('Bittrex Data'!C802="Limit_Buy",'Bittrex Data'!G802+'Bittrex Data'!F802,"")))</f>
        <v/>
      </c>
      <c r="G802" t="str">
        <f>IF('Bittrex Data'!B802="","",'Bittrex Data'!D802)</f>
        <v/>
      </c>
      <c r="H802" t="str">
        <f>IF('Bittrex Data'!C802="","",IF(Bittrex!C802="Buy",Bittrex!D802,IF(Bittrex!C802="Sale",Bittrex!E802,IF(AND(Bittrex!C802="Trade",'Bittrex Data'!C802="Limit_Sell"),Bittrex!E802,IF(AND(Bittrex!C802="Trade",'Bittrex Data'!C802="Limit_Buy"),Bittrex!D802,"")))))</f>
        <v/>
      </c>
      <c r="I802" t="str">
        <f>IF('Bittrex Data'!C802="","",IF(Bittrex!C802="Buy",F802,IF(C802="Sale",Bittrex!G802,IF(AND(C802="Trade",'Bittrex Data'!C802="Limit_Sell"),Bittrex!G802,IF(AND(Bittrex!C802="Trade",'Bittrex Data'!C802="Limit_Buy"),F802,"")))))</f>
        <v/>
      </c>
      <c r="J802" t="str">
        <f>IF('Bittrex Data'!B802="","",IF('Bittrex Data'!B802="","",IF(Bittrex!H802=Bittrex!E802,D802,Bittrex!E802)))</f>
        <v/>
      </c>
      <c r="K802" t="str">
        <f>IF('Bittrex Data'!B802="","",IF(Bittrex!I802=Bittrex!G802,Bittrex!F802,Bittrex!G802))</f>
        <v/>
      </c>
    </row>
    <row r="803" spans="3:11" x14ac:dyDescent="0.2">
      <c r="C803" t="str">
        <f>IF('Bittrex Data'!A803="","",IF(AND('Bittrex Data'!C803="LIMIT_SELL",Bittrex!D803="USD"),"Sale",IF(AND('Bittrex Data'!C803="LIMIT_BUY",Bittrex!D803="USD"),"Buy","Trade")))</f>
        <v/>
      </c>
      <c r="D803" t="str">
        <f>IF('Bittrex Data'!B803="","",LEFT(LEFT('Bittrex Data'!B803,SEARCH("-",'Bittrex Data'!B803,1)),LEN(LEFT('Bittrex Data'!B803,SEARCH("-",'Bittrex Data'!B803,1)))-1))</f>
        <v/>
      </c>
      <c r="E803" t="str">
        <f>IF('Bittrex Data'!B803="","",RIGHT(RIGHT('Bittrex Data'!B803,LEN('Bittrex Data'!B803)-SEARCH("-",'Bittrex Data'!B803,1)+1),LEN(RIGHT('Bittrex Data'!B803,LEN('Bittrex Data'!B803)-SEARCH("-",'Bittrex Data'!B803,1)+1))-1))</f>
        <v/>
      </c>
      <c r="F803" t="str">
        <f>IF('Bittrex Data'!C803="","",IF('Bittrex Data'!C803="Limit_Sell",'Bittrex Data'!G803-'Bittrex Data'!F803,IF('Bittrex Data'!C803="Limit_Buy",'Bittrex Data'!G803+'Bittrex Data'!F803,"")))</f>
        <v/>
      </c>
      <c r="G803" t="str">
        <f>IF('Bittrex Data'!B803="","",'Bittrex Data'!D803)</f>
        <v/>
      </c>
      <c r="H803" t="str">
        <f>IF('Bittrex Data'!C803="","",IF(Bittrex!C803="Buy",Bittrex!D803,IF(Bittrex!C803="Sale",Bittrex!E803,IF(AND(Bittrex!C803="Trade",'Bittrex Data'!C803="Limit_Sell"),Bittrex!E803,IF(AND(Bittrex!C803="Trade",'Bittrex Data'!C803="Limit_Buy"),Bittrex!D803,"")))))</f>
        <v/>
      </c>
      <c r="I803" t="str">
        <f>IF('Bittrex Data'!C803="","",IF(Bittrex!C803="Buy",F803,IF(C803="Sale",Bittrex!G803,IF(AND(C803="Trade",'Bittrex Data'!C803="Limit_Sell"),Bittrex!G803,IF(AND(Bittrex!C803="Trade",'Bittrex Data'!C803="Limit_Buy"),F803,"")))))</f>
        <v/>
      </c>
      <c r="J803" t="str">
        <f>IF('Bittrex Data'!B803="","",IF('Bittrex Data'!B803="","",IF(Bittrex!H803=Bittrex!E803,D803,Bittrex!E803)))</f>
        <v/>
      </c>
      <c r="K803" t="str">
        <f>IF('Bittrex Data'!B803="","",IF(Bittrex!I803=Bittrex!G803,Bittrex!F803,Bittrex!G803))</f>
        <v/>
      </c>
    </row>
    <row r="804" spans="3:11" x14ac:dyDescent="0.2">
      <c r="C804" t="str">
        <f>IF('Bittrex Data'!A804="","",IF(AND('Bittrex Data'!C804="LIMIT_SELL",Bittrex!D804="USD"),"Sale",IF(AND('Bittrex Data'!C804="LIMIT_BUY",Bittrex!D804="USD"),"Buy","Trade")))</f>
        <v/>
      </c>
      <c r="D804" t="str">
        <f>IF('Bittrex Data'!B804="","",LEFT(LEFT('Bittrex Data'!B804,SEARCH("-",'Bittrex Data'!B804,1)),LEN(LEFT('Bittrex Data'!B804,SEARCH("-",'Bittrex Data'!B804,1)))-1))</f>
        <v/>
      </c>
      <c r="E804" t="str">
        <f>IF('Bittrex Data'!B804="","",RIGHT(RIGHT('Bittrex Data'!B804,LEN('Bittrex Data'!B804)-SEARCH("-",'Bittrex Data'!B804,1)+1),LEN(RIGHT('Bittrex Data'!B804,LEN('Bittrex Data'!B804)-SEARCH("-",'Bittrex Data'!B804,1)+1))-1))</f>
        <v/>
      </c>
      <c r="F804" t="str">
        <f>IF('Bittrex Data'!C804="","",IF('Bittrex Data'!C804="Limit_Sell",'Bittrex Data'!G804-'Bittrex Data'!F804,IF('Bittrex Data'!C804="Limit_Buy",'Bittrex Data'!G804+'Bittrex Data'!F804,"")))</f>
        <v/>
      </c>
      <c r="G804" t="str">
        <f>IF('Bittrex Data'!B804="","",'Bittrex Data'!D804)</f>
        <v/>
      </c>
      <c r="H804" t="str">
        <f>IF('Bittrex Data'!C804="","",IF(Bittrex!C804="Buy",Bittrex!D804,IF(Bittrex!C804="Sale",Bittrex!E804,IF(AND(Bittrex!C804="Trade",'Bittrex Data'!C804="Limit_Sell"),Bittrex!E804,IF(AND(Bittrex!C804="Trade",'Bittrex Data'!C804="Limit_Buy"),Bittrex!D804,"")))))</f>
        <v/>
      </c>
      <c r="I804" t="str">
        <f>IF('Bittrex Data'!C804="","",IF(Bittrex!C804="Buy",F804,IF(C804="Sale",Bittrex!G804,IF(AND(C804="Trade",'Bittrex Data'!C804="Limit_Sell"),Bittrex!G804,IF(AND(Bittrex!C804="Trade",'Bittrex Data'!C804="Limit_Buy"),F804,"")))))</f>
        <v/>
      </c>
      <c r="J804" t="str">
        <f>IF('Bittrex Data'!B804="","",IF('Bittrex Data'!B804="","",IF(Bittrex!H804=Bittrex!E804,D804,Bittrex!E804)))</f>
        <v/>
      </c>
      <c r="K804" t="str">
        <f>IF('Bittrex Data'!B804="","",IF(Bittrex!I804=Bittrex!G804,Bittrex!F804,Bittrex!G804))</f>
        <v/>
      </c>
    </row>
    <row r="805" spans="3:11" x14ac:dyDescent="0.2">
      <c r="C805" t="str">
        <f>IF('Bittrex Data'!A805="","",IF(AND('Bittrex Data'!C805="LIMIT_SELL",Bittrex!D805="USD"),"Sale",IF(AND('Bittrex Data'!C805="LIMIT_BUY",Bittrex!D805="USD"),"Buy","Trade")))</f>
        <v/>
      </c>
      <c r="D805" t="str">
        <f>IF('Bittrex Data'!B805="","",LEFT(LEFT('Bittrex Data'!B805,SEARCH("-",'Bittrex Data'!B805,1)),LEN(LEFT('Bittrex Data'!B805,SEARCH("-",'Bittrex Data'!B805,1)))-1))</f>
        <v/>
      </c>
      <c r="E805" t="str">
        <f>IF('Bittrex Data'!B805="","",RIGHT(RIGHT('Bittrex Data'!B805,LEN('Bittrex Data'!B805)-SEARCH("-",'Bittrex Data'!B805,1)+1),LEN(RIGHT('Bittrex Data'!B805,LEN('Bittrex Data'!B805)-SEARCH("-",'Bittrex Data'!B805,1)+1))-1))</f>
        <v/>
      </c>
      <c r="F805" t="str">
        <f>IF('Bittrex Data'!C805="","",IF('Bittrex Data'!C805="Limit_Sell",'Bittrex Data'!G805-'Bittrex Data'!F805,IF('Bittrex Data'!C805="Limit_Buy",'Bittrex Data'!G805+'Bittrex Data'!F805,"")))</f>
        <v/>
      </c>
      <c r="G805" t="str">
        <f>IF('Bittrex Data'!B805="","",'Bittrex Data'!D805)</f>
        <v/>
      </c>
      <c r="H805" t="str">
        <f>IF('Bittrex Data'!C805="","",IF(Bittrex!C805="Buy",Bittrex!D805,IF(Bittrex!C805="Sale",Bittrex!E805,IF(AND(Bittrex!C805="Trade",'Bittrex Data'!C805="Limit_Sell"),Bittrex!E805,IF(AND(Bittrex!C805="Trade",'Bittrex Data'!C805="Limit_Buy"),Bittrex!D805,"")))))</f>
        <v/>
      </c>
      <c r="I805" t="str">
        <f>IF('Bittrex Data'!C805="","",IF(Bittrex!C805="Buy",F805,IF(C805="Sale",Bittrex!G805,IF(AND(C805="Trade",'Bittrex Data'!C805="Limit_Sell"),Bittrex!G805,IF(AND(Bittrex!C805="Trade",'Bittrex Data'!C805="Limit_Buy"),F805,"")))))</f>
        <v/>
      </c>
      <c r="J805" t="str">
        <f>IF('Bittrex Data'!B805="","",IF('Bittrex Data'!B805="","",IF(Bittrex!H805=Bittrex!E805,D805,Bittrex!E805)))</f>
        <v/>
      </c>
      <c r="K805" t="str">
        <f>IF('Bittrex Data'!B805="","",IF(Bittrex!I805=Bittrex!G805,Bittrex!F805,Bittrex!G805))</f>
        <v/>
      </c>
    </row>
    <row r="806" spans="3:11" x14ac:dyDescent="0.2">
      <c r="C806" t="str">
        <f>IF('Bittrex Data'!A806="","",IF(AND('Bittrex Data'!C806="LIMIT_SELL",Bittrex!D806="USD"),"Sale",IF(AND('Bittrex Data'!C806="LIMIT_BUY",Bittrex!D806="USD"),"Buy","Trade")))</f>
        <v/>
      </c>
      <c r="D806" t="str">
        <f>IF('Bittrex Data'!B806="","",LEFT(LEFT('Bittrex Data'!B806,SEARCH("-",'Bittrex Data'!B806,1)),LEN(LEFT('Bittrex Data'!B806,SEARCH("-",'Bittrex Data'!B806,1)))-1))</f>
        <v/>
      </c>
      <c r="E806" t="str">
        <f>IF('Bittrex Data'!B806="","",RIGHT(RIGHT('Bittrex Data'!B806,LEN('Bittrex Data'!B806)-SEARCH("-",'Bittrex Data'!B806,1)+1),LEN(RIGHT('Bittrex Data'!B806,LEN('Bittrex Data'!B806)-SEARCH("-",'Bittrex Data'!B806,1)+1))-1))</f>
        <v/>
      </c>
      <c r="F806" t="str">
        <f>IF('Bittrex Data'!C806="","",IF('Bittrex Data'!C806="Limit_Sell",'Bittrex Data'!G806-'Bittrex Data'!F806,IF('Bittrex Data'!C806="Limit_Buy",'Bittrex Data'!G806+'Bittrex Data'!F806,"")))</f>
        <v/>
      </c>
      <c r="G806" t="str">
        <f>IF('Bittrex Data'!B806="","",'Bittrex Data'!D806)</f>
        <v/>
      </c>
      <c r="H806" t="str">
        <f>IF('Bittrex Data'!C806="","",IF(Bittrex!C806="Buy",Bittrex!D806,IF(Bittrex!C806="Sale",Bittrex!E806,IF(AND(Bittrex!C806="Trade",'Bittrex Data'!C806="Limit_Sell"),Bittrex!E806,IF(AND(Bittrex!C806="Trade",'Bittrex Data'!C806="Limit_Buy"),Bittrex!D806,"")))))</f>
        <v/>
      </c>
      <c r="I806" t="str">
        <f>IF('Bittrex Data'!C806="","",IF(Bittrex!C806="Buy",F806,IF(C806="Sale",Bittrex!G806,IF(AND(C806="Trade",'Bittrex Data'!C806="Limit_Sell"),Bittrex!G806,IF(AND(Bittrex!C806="Trade",'Bittrex Data'!C806="Limit_Buy"),F806,"")))))</f>
        <v/>
      </c>
      <c r="J806" t="str">
        <f>IF('Bittrex Data'!B806="","",IF('Bittrex Data'!B806="","",IF(Bittrex!H806=Bittrex!E806,D806,Bittrex!E806)))</f>
        <v/>
      </c>
      <c r="K806" t="str">
        <f>IF('Bittrex Data'!B806="","",IF(Bittrex!I806=Bittrex!G806,Bittrex!F806,Bittrex!G806))</f>
        <v/>
      </c>
    </row>
    <row r="807" spans="3:11" x14ac:dyDescent="0.2">
      <c r="C807" t="str">
        <f>IF('Bittrex Data'!A807="","",IF(AND('Bittrex Data'!C807="LIMIT_SELL",Bittrex!D807="USD"),"Sale",IF(AND('Bittrex Data'!C807="LIMIT_BUY",Bittrex!D807="USD"),"Buy","Trade")))</f>
        <v/>
      </c>
      <c r="D807" t="str">
        <f>IF('Bittrex Data'!B807="","",LEFT(LEFT('Bittrex Data'!B807,SEARCH("-",'Bittrex Data'!B807,1)),LEN(LEFT('Bittrex Data'!B807,SEARCH("-",'Bittrex Data'!B807,1)))-1))</f>
        <v/>
      </c>
      <c r="E807" t="str">
        <f>IF('Bittrex Data'!B807="","",RIGHT(RIGHT('Bittrex Data'!B807,LEN('Bittrex Data'!B807)-SEARCH("-",'Bittrex Data'!B807,1)+1),LEN(RIGHT('Bittrex Data'!B807,LEN('Bittrex Data'!B807)-SEARCH("-",'Bittrex Data'!B807,1)+1))-1))</f>
        <v/>
      </c>
      <c r="F807" t="str">
        <f>IF('Bittrex Data'!C807="","",IF('Bittrex Data'!C807="Limit_Sell",'Bittrex Data'!G807-'Bittrex Data'!F807,IF('Bittrex Data'!C807="Limit_Buy",'Bittrex Data'!G807+'Bittrex Data'!F807,"")))</f>
        <v/>
      </c>
      <c r="G807" t="str">
        <f>IF('Bittrex Data'!B807="","",'Bittrex Data'!D807)</f>
        <v/>
      </c>
      <c r="H807" t="str">
        <f>IF('Bittrex Data'!C807="","",IF(Bittrex!C807="Buy",Bittrex!D807,IF(Bittrex!C807="Sale",Bittrex!E807,IF(AND(Bittrex!C807="Trade",'Bittrex Data'!C807="Limit_Sell"),Bittrex!E807,IF(AND(Bittrex!C807="Trade",'Bittrex Data'!C807="Limit_Buy"),Bittrex!D807,"")))))</f>
        <v/>
      </c>
      <c r="I807" t="str">
        <f>IF('Bittrex Data'!C807="","",IF(Bittrex!C807="Buy",F807,IF(C807="Sale",Bittrex!G807,IF(AND(C807="Trade",'Bittrex Data'!C807="Limit_Sell"),Bittrex!G807,IF(AND(Bittrex!C807="Trade",'Bittrex Data'!C807="Limit_Buy"),F807,"")))))</f>
        <v/>
      </c>
      <c r="J807" t="str">
        <f>IF('Bittrex Data'!B807="","",IF('Bittrex Data'!B807="","",IF(Bittrex!H807=Bittrex!E807,D807,Bittrex!E807)))</f>
        <v/>
      </c>
      <c r="K807" t="str">
        <f>IF('Bittrex Data'!B807="","",IF(Bittrex!I807=Bittrex!G807,Bittrex!F807,Bittrex!G807))</f>
        <v/>
      </c>
    </row>
    <row r="808" spans="3:11" x14ac:dyDescent="0.2">
      <c r="C808" t="str">
        <f>IF('Bittrex Data'!A808="","",IF(AND('Bittrex Data'!C808="LIMIT_SELL",Bittrex!D808="USD"),"Sale",IF(AND('Bittrex Data'!C808="LIMIT_BUY",Bittrex!D808="USD"),"Buy","Trade")))</f>
        <v/>
      </c>
      <c r="D808" t="str">
        <f>IF('Bittrex Data'!B808="","",LEFT(LEFT('Bittrex Data'!B808,SEARCH("-",'Bittrex Data'!B808,1)),LEN(LEFT('Bittrex Data'!B808,SEARCH("-",'Bittrex Data'!B808,1)))-1))</f>
        <v/>
      </c>
      <c r="E808" t="str">
        <f>IF('Bittrex Data'!B808="","",RIGHT(RIGHT('Bittrex Data'!B808,LEN('Bittrex Data'!B808)-SEARCH("-",'Bittrex Data'!B808,1)+1),LEN(RIGHT('Bittrex Data'!B808,LEN('Bittrex Data'!B808)-SEARCH("-",'Bittrex Data'!B808,1)+1))-1))</f>
        <v/>
      </c>
      <c r="F808" t="str">
        <f>IF('Bittrex Data'!C808="","",IF('Bittrex Data'!C808="Limit_Sell",'Bittrex Data'!G808-'Bittrex Data'!F808,IF('Bittrex Data'!C808="Limit_Buy",'Bittrex Data'!G808+'Bittrex Data'!F808,"")))</f>
        <v/>
      </c>
      <c r="G808" t="str">
        <f>IF('Bittrex Data'!B808="","",'Bittrex Data'!D808)</f>
        <v/>
      </c>
      <c r="H808" t="str">
        <f>IF('Bittrex Data'!C808="","",IF(Bittrex!C808="Buy",Bittrex!D808,IF(Bittrex!C808="Sale",Bittrex!E808,IF(AND(Bittrex!C808="Trade",'Bittrex Data'!C808="Limit_Sell"),Bittrex!E808,IF(AND(Bittrex!C808="Trade",'Bittrex Data'!C808="Limit_Buy"),Bittrex!D808,"")))))</f>
        <v/>
      </c>
      <c r="I808" t="str">
        <f>IF('Bittrex Data'!C808="","",IF(Bittrex!C808="Buy",F808,IF(C808="Sale",Bittrex!G808,IF(AND(C808="Trade",'Bittrex Data'!C808="Limit_Sell"),Bittrex!G808,IF(AND(Bittrex!C808="Trade",'Bittrex Data'!C808="Limit_Buy"),F808,"")))))</f>
        <v/>
      </c>
      <c r="J808" t="str">
        <f>IF('Bittrex Data'!B808="","",IF('Bittrex Data'!B808="","",IF(Bittrex!H808=Bittrex!E808,D808,Bittrex!E808)))</f>
        <v/>
      </c>
      <c r="K808" t="str">
        <f>IF('Bittrex Data'!B808="","",IF(Bittrex!I808=Bittrex!G808,Bittrex!F808,Bittrex!G808))</f>
        <v/>
      </c>
    </row>
    <row r="809" spans="3:11" x14ac:dyDescent="0.2">
      <c r="C809" t="str">
        <f>IF('Bittrex Data'!A809="","",IF(AND('Bittrex Data'!C809="LIMIT_SELL",Bittrex!D809="USD"),"Sale",IF(AND('Bittrex Data'!C809="LIMIT_BUY",Bittrex!D809="USD"),"Buy","Trade")))</f>
        <v/>
      </c>
      <c r="D809" t="str">
        <f>IF('Bittrex Data'!B809="","",LEFT(LEFT('Bittrex Data'!B809,SEARCH("-",'Bittrex Data'!B809,1)),LEN(LEFT('Bittrex Data'!B809,SEARCH("-",'Bittrex Data'!B809,1)))-1))</f>
        <v/>
      </c>
      <c r="E809" t="str">
        <f>IF('Bittrex Data'!B809="","",RIGHT(RIGHT('Bittrex Data'!B809,LEN('Bittrex Data'!B809)-SEARCH("-",'Bittrex Data'!B809,1)+1),LEN(RIGHT('Bittrex Data'!B809,LEN('Bittrex Data'!B809)-SEARCH("-",'Bittrex Data'!B809,1)+1))-1))</f>
        <v/>
      </c>
      <c r="F809" t="str">
        <f>IF('Bittrex Data'!C809="","",IF('Bittrex Data'!C809="Limit_Sell",'Bittrex Data'!G809-'Bittrex Data'!F809,IF('Bittrex Data'!C809="Limit_Buy",'Bittrex Data'!G809+'Bittrex Data'!F809,"")))</f>
        <v/>
      </c>
      <c r="G809" t="str">
        <f>IF('Bittrex Data'!B809="","",'Bittrex Data'!D809)</f>
        <v/>
      </c>
      <c r="H809" t="str">
        <f>IF('Bittrex Data'!C809="","",IF(Bittrex!C809="Buy",Bittrex!D809,IF(Bittrex!C809="Sale",Bittrex!E809,IF(AND(Bittrex!C809="Trade",'Bittrex Data'!C809="Limit_Sell"),Bittrex!E809,IF(AND(Bittrex!C809="Trade",'Bittrex Data'!C809="Limit_Buy"),Bittrex!D809,"")))))</f>
        <v/>
      </c>
      <c r="I809" t="str">
        <f>IF('Bittrex Data'!C809="","",IF(Bittrex!C809="Buy",F809,IF(C809="Sale",Bittrex!G809,IF(AND(C809="Trade",'Bittrex Data'!C809="Limit_Sell"),Bittrex!G809,IF(AND(Bittrex!C809="Trade",'Bittrex Data'!C809="Limit_Buy"),F809,"")))))</f>
        <v/>
      </c>
      <c r="J809" t="str">
        <f>IF('Bittrex Data'!B809="","",IF('Bittrex Data'!B809="","",IF(Bittrex!H809=Bittrex!E809,D809,Bittrex!E809)))</f>
        <v/>
      </c>
      <c r="K809" t="str">
        <f>IF('Bittrex Data'!B809="","",IF(Bittrex!I809=Bittrex!G809,Bittrex!F809,Bittrex!G809))</f>
        <v/>
      </c>
    </row>
    <row r="810" spans="3:11" x14ac:dyDescent="0.2">
      <c r="C810" t="str">
        <f>IF('Bittrex Data'!A810="","",IF(AND('Bittrex Data'!C810="LIMIT_SELL",Bittrex!D810="USD"),"Sale",IF(AND('Bittrex Data'!C810="LIMIT_BUY",Bittrex!D810="USD"),"Buy","Trade")))</f>
        <v/>
      </c>
      <c r="D810" t="str">
        <f>IF('Bittrex Data'!B810="","",LEFT(LEFT('Bittrex Data'!B810,SEARCH("-",'Bittrex Data'!B810,1)),LEN(LEFT('Bittrex Data'!B810,SEARCH("-",'Bittrex Data'!B810,1)))-1))</f>
        <v/>
      </c>
      <c r="E810" t="str">
        <f>IF('Bittrex Data'!B810="","",RIGHT(RIGHT('Bittrex Data'!B810,LEN('Bittrex Data'!B810)-SEARCH("-",'Bittrex Data'!B810,1)+1),LEN(RIGHT('Bittrex Data'!B810,LEN('Bittrex Data'!B810)-SEARCH("-",'Bittrex Data'!B810,1)+1))-1))</f>
        <v/>
      </c>
      <c r="F810" t="str">
        <f>IF('Bittrex Data'!C810="","",IF('Bittrex Data'!C810="Limit_Sell",'Bittrex Data'!G810-'Bittrex Data'!F810,IF('Bittrex Data'!C810="Limit_Buy",'Bittrex Data'!G810+'Bittrex Data'!F810,"")))</f>
        <v/>
      </c>
      <c r="G810" t="str">
        <f>IF('Bittrex Data'!B810="","",'Bittrex Data'!D810)</f>
        <v/>
      </c>
      <c r="H810" t="str">
        <f>IF('Bittrex Data'!C810="","",IF(Bittrex!C810="Buy",Bittrex!D810,IF(Bittrex!C810="Sale",Bittrex!E810,IF(AND(Bittrex!C810="Trade",'Bittrex Data'!C810="Limit_Sell"),Bittrex!E810,IF(AND(Bittrex!C810="Trade",'Bittrex Data'!C810="Limit_Buy"),Bittrex!D810,"")))))</f>
        <v/>
      </c>
      <c r="I810" t="str">
        <f>IF('Bittrex Data'!C810="","",IF(Bittrex!C810="Buy",F810,IF(C810="Sale",Bittrex!G810,IF(AND(C810="Trade",'Bittrex Data'!C810="Limit_Sell"),Bittrex!G810,IF(AND(Bittrex!C810="Trade",'Bittrex Data'!C810="Limit_Buy"),F810,"")))))</f>
        <v/>
      </c>
      <c r="J810" t="str">
        <f>IF('Bittrex Data'!B810="","",IF('Bittrex Data'!B810="","",IF(Bittrex!H810=Bittrex!E810,D810,Bittrex!E810)))</f>
        <v/>
      </c>
      <c r="K810" t="str">
        <f>IF('Bittrex Data'!B810="","",IF(Bittrex!I810=Bittrex!G810,Bittrex!F810,Bittrex!G810))</f>
        <v/>
      </c>
    </row>
    <row r="811" spans="3:11" x14ac:dyDescent="0.2">
      <c r="C811" t="str">
        <f>IF('Bittrex Data'!A811="","",IF(AND('Bittrex Data'!C811="LIMIT_SELL",Bittrex!D811="USD"),"Sale",IF(AND('Bittrex Data'!C811="LIMIT_BUY",Bittrex!D811="USD"),"Buy","Trade")))</f>
        <v/>
      </c>
      <c r="D811" t="str">
        <f>IF('Bittrex Data'!B811="","",LEFT(LEFT('Bittrex Data'!B811,SEARCH("-",'Bittrex Data'!B811,1)),LEN(LEFT('Bittrex Data'!B811,SEARCH("-",'Bittrex Data'!B811,1)))-1))</f>
        <v/>
      </c>
      <c r="E811" t="str">
        <f>IF('Bittrex Data'!B811="","",RIGHT(RIGHT('Bittrex Data'!B811,LEN('Bittrex Data'!B811)-SEARCH("-",'Bittrex Data'!B811,1)+1),LEN(RIGHT('Bittrex Data'!B811,LEN('Bittrex Data'!B811)-SEARCH("-",'Bittrex Data'!B811,1)+1))-1))</f>
        <v/>
      </c>
      <c r="F811" t="str">
        <f>IF('Bittrex Data'!C811="","",IF('Bittrex Data'!C811="Limit_Sell",'Bittrex Data'!G811-'Bittrex Data'!F811,IF('Bittrex Data'!C811="Limit_Buy",'Bittrex Data'!G811+'Bittrex Data'!F811,"")))</f>
        <v/>
      </c>
      <c r="G811" t="str">
        <f>IF('Bittrex Data'!B811="","",'Bittrex Data'!D811)</f>
        <v/>
      </c>
      <c r="H811" t="str">
        <f>IF('Bittrex Data'!C811="","",IF(Bittrex!C811="Buy",Bittrex!D811,IF(Bittrex!C811="Sale",Bittrex!E811,IF(AND(Bittrex!C811="Trade",'Bittrex Data'!C811="Limit_Sell"),Bittrex!E811,IF(AND(Bittrex!C811="Trade",'Bittrex Data'!C811="Limit_Buy"),Bittrex!D811,"")))))</f>
        <v/>
      </c>
      <c r="I811" t="str">
        <f>IF('Bittrex Data'!C811="","",IF(Bittrex!C811="Buy",F811,IF(C811="Sale",Bittrex!G811,IF(AND(C811="Trade",'Bittrex Data'!C811="Limit_Sell"),Bittrex!G811,IF(AND(Bittrex!C811="Trade",'Bittrex Data'!C811="Limit_Buy"),F811,"")))))</f>
        <v/>
      </c>
      <c r="J811" t="str">
        <f>IF('Bittrex Data'!B811="","",IF('Bittrex Data'!B811="","",IF(Bittrex!H811=Bittrex!E811,D811,Bittrex!E811)))</f>
        <v/>
      </c>
      <c r="K811" t="str">
        <f>IF('Bittrex Data'!B811="","",IF(Bittrex!I811=Bittrex!G811,Bittrex!F811,Bittrex!G811))</f>
        <v/>
      </c>
    </row>
    <row r="812" spans="3:11" x14ac:dyDescent="0.2">
      <c r="C812" t="str">
        <f>IF('Bittrex Data'!A812="","",IF(AND('Bittrex Data'!C812="LIMIT_SELL",Bittrex!D812="USD"),"Sale",IF(AND('Bittrex Data'!C812="LIMIT_BUY",Bittrex!D812="USD"),"Buy","Trade")))</f>
        <v/>
      </c>
      <c r="D812" t="str">
        <f>IF('Bittrex Data'!B812="","",LEFT(LEFT('Bittrex Data'!B812,SEARCH("-",'Bittrex Data'!B812,1)),LEN(LEFT('Bittrex Data'!B812,SEARCH("-",'Bittrex Data'!B812,1)))-1))</f>
        <v/>
      </c>
      <c r="E812" t="str">
        <f>IF('Bittrex Data'!B812="","",RIGHT(RIGHT('Bittrex Data'!B812,LEN('Bittrex Data'!B812)-SEARCH("-",'Bittrex Data'!B812,1)+1),LEN(RIGHT('Bittrex Data'!B812,LEN('Bittrex Data'!B812)-SEARCH("-",'Bittrex Data'!B812,1)+1))-1))</f>
        <v/>
      </c>
      <c r="F812" t="str">
        <f>IF('Bittrex Data'!C812="","",IF('Bittrex Data'!C812="Limit_Sell",'Bittrex Data'!G812-'Bittrex Data'!F812,IF('Bittrex Data'!C812="Limit_Buy",'Bittrex Data'!G812+'Bittrex Data'!F812,"")))</f>
        <v/>
      </c>
      <c r="G812" t="str">
        <f>IF('Bittrex Data'!B812="","",'Bittrex Data'!D812)</f>
        <v/>
      </c>
      <c r="H812" t="str">
        <f>IF('Bittrex Data'!C812="","",IF(Bittrex!C812="Buy",Bittrex!D812,IF(Bittrex!C812="Sale",Bittrex!E812,IF(AND(Bittrex!C812="Trade",'Bittrex Data'!C812="Limit_Sell"),Bittrex!E812,IF(AND(Bittrex!C812="Trade",'Bittrex Data'!C812="Limit_Buy"),Bittrex!D812,"")))))</f>
        <v/>
      </c>
      <c r="I812" t="str">
        <f>IF('Bittrex Data'!C812="","",IF(Bittrex!C812="Buy",F812,IF(C812="Sale",Bittrex!G812,IF(AND(C812="Trade",'Bittrex Data'!C812="Limit_Sell"),Bittrex!G812,IF(AND(Bittrex!C812="Trade",'Bittrex Data'!C812="Limit_Buy"),F812,"")))))</f>
        <v/>
      </c>
      <c r="J812" t="str">
        <f>IF('Bittrex Data'!B812="","",IF('Bittrex Data'!B812="","",IF(Bittrex!H812=Bittrex!E812,D812,Bittrex!E812)))</f>
        <v/>
      </c>
      <c r="K812" t="str">
        <f>IF('Bittrex Data'!B812="","",IF(Bittrex!I812=Bittrex!G812,Bittrex!F812,Bittrex!G812))</f>
        <v/>
      </c>
    </row>
    <row r="813" spans="3:11" x14ac:dyDescent="0.2">
      <c r="C813" t="str">
        <f>IF('Bittrex Data'!A813="","",IF(AND('Bittrex Data'!C813="LIMIT_SELL",Bittrex!D813="USD"),"Sale",IF(AND('Bittrex Data'!C813="LIMIT_BUY",Bittrex!D813="USD"),"Buy","Trade")))</f>
        <v/>
      </c>
      <c r="D813" t="str">
        <f>IF('Bittrex Data'!B813="","",LEFT(LEFT('Bittrex Data'!B813,SEARCH("-",'Bittrex Data'!B813,1)),LEN(LEFT('Bittrex Data'!B813,SEARCH("-",'Bittrex Data'!B813,1)))-1))</f>
        <v/>
      </c>
      <c r="E813" t="str">
        <f>IF('Bittrex Data'!B813="","",RIGHT(RIGHT('Bittrex Data'!B813,LEN('Bittrex Data'!B813)-SEARCH("-",'Bittrex Data'!B813,1)+1),LEN(RIGHT('Bittrex Data'!B813,LEN('Bittrex Data'!B813)-SEARCH("-",'Bittrex Data'!B813,1)+1))-1))</f>
        <v/>
      </c>
      <c r="F813" t="str">
        <f>IF('Bittrex Data'!C813="","",IF('Bittrex Data'!C813="Limit_Sell",'Bittrex Data'!G813-'Bittrex Data'!F813,IF('Bittrex Data'!C813="Limit_Buy",'Bittrex Data'!G813+'Bittrex Data'!F813,"")))</f>
        <v/>
      </c>
      <c r="G813" t="str">
        <f>IF('Bittrex Data'!B813="","",'Bittrex Data'!D813)</f>
        <v/>
      </c>
      <c r="H813" t="str">
        <f>IF('Bittrex Data'!C813="","",IF(Bittrex!C813="Buy",Bittrex!D813,IF(Bittrex!C813="Sale",Bittrex!E813,IF(AND(Bittrex!C813="Trade",'Bittrex Data'!C813="Limit_Sell"),Bittrex!E813,IF(AND(Bittrex!C813="Trade",'Bittrex Data'!C813="Limit_Buy"),Bittrex!D813,"")))))</f>
        <v/>
      </c>
      <c r="I813" t="str">
        <f>IF('Bittrex Data'!C813="","",IF(Bittrex!C813="Buy",F813,IF(C813="Sale",Bittrex!G813,IF(AND(C813="Trade",'Bittrex Data'!C813="Limit_Sell"),Bittrex!G813,IF(AND(Bittrex!C813="Trade",'Bittrex Data'!C813="Limit_Buy"),F813,"")))))</f>
        <v/>
      </c>
      <c r="J813" t="str">
        <f>IF('Bittrex Data'!B813="","",IF('Bittrex Data'!B813="","",IF(Bittrex!H813=Bittrex!E813,D813,Bittrex!E813)))</f>
        <v/>
      </c>
      <c r="K813" t="str">
        <f>IF('Bittrex Data'!B813="","",IF(Bittrex!I813=Bittrex!G813,Bittrex!F813,Bittrex!G813))</f>
        <v/>
      </c>
    </row>
    <row r="814" spans="3:11" x14ac:dyDescent="0.2">
      <c r="C814" t="str">
        <f>IF('Bittrex Data'!A814="","",IF(AND('Bittrex Data'!C814="LIMIT_SELL",Bittrex!D814="USD"),"Sale",IF(AND('Bittrex Data'!C814="LIMIT_BUY",Bittrex!D814="USD"),"Buy","Trade")))</f>
        <v/>
      </c>
      <c r="D814" t="str">
        <f>IF('Bittrex Data'!B814="","",LEFT(LEFT('Bittrex Data'!B814,SEARCH("-",'Bittrex Data'!B814,1)),LEN(LEFT('Bittrex Data'!B814,SEARCH("-",'Bittrex Data'!B814,1)))-1))</f>
        <v/>
      </c>
      <c r="E814" t="str">
        <f>IF('Bittrex Data'!B814="","",RIGHT(RIGHT('Bittrex Data'!B814,LEN('Bittrex Data'!B814)-SEARCH("-",'Bittrex Data'!B814,1)+1),LEN(RIGHT('Bittrex Data'!B814,LEN('Bittrex Data'!B814)-SEARCH("-",'Bittrex Data'!B814,1)+1))-1))</f>
        <v/>
      </c>
      <c r="F814" t="str">
        <f>IF('Bittrex Data'!C814="","",IF('Bittrex Data'!C814="Limit_Sell",'Bittrex Data'!G814-'Bittrex Data'!F814,IF('Bittrex Data'!C814="Limit_Buy",'Bittrex Data'!G814+'Bittrex Data'!F814,"")))</f>
        <v/>
      </c>
      <c r="G814" t="str">
        <f>IF('Bittrex Data'!B814="","",'Bittrex Data'!D814)</f>
        <v/>
      </c>
      <c r="H814" t="str">
        <f>IF('Bittrex Data'!C814="","",IF(Bittrex!C814="Buy",Bittrex!D814,IF(Bittrex!C814="Sale",Bittrex!E814,IF(AND(Bittrex!C814="Trade",'Bittrex Data'!C814="Limit_Sell"),Bittrex!E814,IF(AND(Bittrex!C814="Trade",'Bittrex Data'!C814="Limit_Buy"),Bittrex!D814,"")))))</f>
        <v/>
      </c>
      <c r="I814" t="str">
        <f>IF('Bittrex Data'!C814="","",IF(Bittrex!C814="Buy",F814,IF(C814="Sale",Bittrex!G814,IF(AND(C814="Trade",'Bittrex Data'!C814="Limit_Sell"),Bittrex!G814,IF(AND(Bittrex!C814="Trade",'Bittrex Data'!C814="Limit_Buy"),F814,"")))))</f>
        <v/>
      </c>
      <c r="J814" t="str">
        <f>IF('Bittrex Data'!B814="","",IF('Bittrex Data'!B814="","",IF(Bittrex!H814=Bittrex!E814,D814,Bittrex!E814)))</f>
        <v/>
      </c>
      <c r="K814" t="str">
        <f>IF('Bittrex Data'!B814="","",IF(Bittrex!I814=Bittrex!G814,Bittrex!F814,Bittrex!G814))</f>
        <v/>
      </c>
    </row>
    <row r="815" spans="3:11" x14ac:dyDescent="0.2">
      <c r="C815" t="str">
        <f>IF('Bittrex Data'!A815="","",IF(AND('Bittrex Data'!C815="LIMIT_SELL",Bittrex!D815="USD"),"Sale",IF(AND('Bittrex Data'!C815="LIMIT_BUY",Bittrex!D815="USD"),"Buy","Trade")))</f>
        <v/>
      </c>
      <c r="D815" t="str">
        <f>IF('Bittrex Data'!B815="","",LEFT(LEFT('Bittrex Data'!B815,SEARCH("-",'Bittrex Data'!B815,1)),LEN(LEFT('Bittrex Data'!B815,SEARCH("-",'Bittrex Data'!B815,1)))-1))</f>
        <v/>
      </c>
      <c r="E815" t="str">
        <f>IF('Bittrex Data'!B815="","",RIGHT(RIGHT('Bittrex Data'!B815,LEN('Bittrex Data'!B815)-SEARCH("-",'Bittrex Data'!B815,1)+1),LEN(RIGHT('Bittrex Data'!B815,LEN('Bittrex Data'!B815)-SEARCH("-",'Bittrex Data'!B815,1)+1))-1))</f>
        <v/>
      </c>
      <c r="F815" t="str">
        <f>IF('Bittrex Data'!C815="","",IF('Bittrex Data'!C815="Limit_Sell",'Bittrex Data'!G815-'Bittrex Data'!F815,IF('Bittrex Data'!C815="Limit_Buy",'Bittrex Data'!G815+'Bittrex Data'!F815,"")))</f>
        <v/>
      </c>
      <c r="G815" t="str">
        <f>IF('Bittrex Data'!B815="","",'Bittrex Data'!D815)</f>
        <v/>
      </c>
      <c r="H815" t="str">
        <f>IF('Bittrex Data'!C815="","",IF(Bittrex!C815="Buy",Bittrex!D815,IF(Bittrex!C815="Sale",Bittrex!E815,IF(AND(Bittrex!C815="Trade",'Bittrex Data'!C815="Limit_Sell"),Bittrex!E815,IF(AND(Bittrex!C815="Trade",'Bittrex Data'!C815="Limit_Buy"),Bittrex!D815,"")))))</f>
        <v/>
      </c>
      <c r="I815" t="str">
        <f>IF('Bittrex Data'!C815="","",IF(Bittrex!C815="Buy",F815,IF(C815="Sale",Bittrex!G815,IF(AND(C815="Trade",'Bittrex Data'!C815="Limit_Sell"),Bittrex!G815,IF(AND(Bittrex!C815="Trade",'Bittrex Data'!C815="Limit_Buy"),F815,"")))))</f>
        <v/>
      </c>
      <c r="J815" t="str">
        <f>IF('Bittrex Data'!B815="","",IF('Bittrex Data'!B815="","",IF(Bittrex!H815=Bittrex!E815,D815,Bittrex!E815)))</f>
        <v/>
      </c>
      <c r="K815" t="str">
        <f>IF('Bittrex Data'!B815="","",IF(Bittrex!I815=Bittrex!G815,Bittrex!F815,Bittrex!G815))</f>
        <v/>
      </c>
    </row>
    <row r="816" spans="3:11" x14ac:dyDescent="0.2">
      <c r="C816" t="str">
        <f>IF('Bittrex Data'!A816="","",IF(AND('Bittrex Data'!C816="LIMIT_SELL",Bittrex!D816="USD"),"Sale",IF(AND('Bittrex Data'!C816="LIMIT_BUY",Bittrex!D816="USD"),"Buy","Trade")))</f>
        <v/>
      </c>
      <c r="D816" t="str">
        <f>IF('Bittrex Data'!B816="","",LEFT(LEFT('Bittrex Data'!B816,SEARCH("-",'Bittrex Data'!B816,1)),LEN(LEFT('Bittrex Data'!B816,SEARCH("-",'Bittrex Data'!B816,1)))-1))</f>
        <v/>
      </c>
      <c r="E816" t="str">
        <f>IF('Bittrex Data'!B816="","",RIGHT(RIGHT('Bittrex Data'!B816,LEN('Bittrex Data'!B816)-SEARCH("-",'Bittrex Data'!B816,1)+1),LEN(RIGHT('Bittrex Data'!B816,LEN('Bittrex Data'!B816)-SEARCH("-",'Bittrex Data'!B816,1)+1))-1))</f>
        <v/>
      </c>
      <c r="F816" t="str">
        <f>IF('Bittrex Data'!C816="","",IF('Bittrex Data'!C816="Limit_Sell",'Bittrex Data'!G816-'Bittrex Data'!F816,IF('Bittrex Data'!C816="Limit_Buy",'Bittrex Data'!G816+'Bittrex Data'!F816,"")))</f>
        <v/>
      </c>
      <c r="G816" t="str">
        <f>IF('Bittrex Data'!B816="","",'Bittrex Data'!D816)</f>
        <v/>
      </c>
      <c r="H816" t="str">
        <f>IF('Bittrex Data'!C816="","",IF(Bittrex!C816="Buy",Bittrex!D816,IF(Bittrex!C816="Sale",Bittrex!E816,IF(AND(Bittrex!C816="Trade",'Bittrex Data'!C816="Limit_Sell"),Bittrex!E816,IF(AND(Bittrex!C816="Trade",'Bittrex Data'!C816="Limit_Buy"),Bittrex!D816,"")))))</f>
        <v/>
      </c>
      <c r="I816" t="str">
        <f>IF('Bittrex Data'!C816="","",IF(Bittrex!C816="Buy",F816,IF(C816="Sale",Bittrex!G816,IF(AND(C816="Trade",'Bittrex Data'!C816="Limit_Sell"),Bittrex!G816,IF(AND(Bittrex!C816="Trade",'Bittrex Data'!C816="Limit_Buy"),F816,"")))))</f>
        <v/>
      </c>
      <c r="J816" t="str">
        <f>IF('Bittrex Data'!B816="","",IF('Bittrex Data'!B816="","",IF(Bittrex!H816=Bittrex!E816,D816,Bittrex!E816)))</f>
        <v/>
      </c>
      <c r="K816" t="str">
        <f>IF('Bittrex Data'!B816="","",IF(Bittrex!I816=Bittrex!G816,Bittrex!F816,Bittrex!G816))</f>
        <v/>
      </c>
    </row>
    <row r="817" spans="3:11" x14ac:dyDescent="0.2">
      <c r="C817" t="str">
        <f>IF('Bittrex Data'!A817="","",IF(AND('Bittrex Data'!C817="LIMIT_SELL",Bittrex!D817="USD"),"Sale",IF(AND('Bittrex Data'!C817="LIMIT_BUY",Bittrex!D817="USD"),"Buy","Trade")))</f>
        <v/>
      </c>
      <c r="D817" t="str">
        <f>IF('Bittrex Data'!B817="","",LEFT(LEFT('Bittrex Data'!B817,SEARCH("-",'Bittrex Data'!B817,1)),LEN(LEFT('Bittrex Data'!B817,SEARCH("-",'Bittrex Data'!B817,1)))-1))</f>
        <v/>
      </c>
      <c r="E817" t="str">
        <f>IF('Bittrex Data'!B817="","",RIGHT(RIGHT('Bittrex Data'!B817,LEN('Bittrex Data'!B817)-SEARCH("-",'Bittrex Data'!B817,1)+1),LEN(RIGHT('Bittrex Data'!B817,LEN('Bittrex Data'!B817)-SEARCH("-",'Bittrex Data'!B817,1)+1))-1))</f>
        <v/>
      </c>
      <c r="F817" t="str">
        <f>IF('Bittrex Data'!C817="","",IF('Bittrex Data'!C817="Limit_Sell",'Bittrex Data'!G817-'Bittrex Data'!F817,IF('Bittrex Data'!C817="Limit_Buy",'Bittrex Data'!G817+'Bittrex Data'!F817,"")))</f>
        <v/>
      </c>
      <c r="G817" t="str">
        <f>IF('Bittrex Data'!B817="","",'Bittrex Data'!D817)</f>
        <v/>
      </c>
      <c r="H817" t="str">
        <f>IF('Bittrex Data'!C817="","",IF(Bittrex!C817="Buy",Bittrex!D817,IF(Bittrex!C817="Sale",Bittrex!E817,IF(AND(Bittrex!C817="Trade",'Bittrex Data'!C817="Limit_Sell"),Bittrex!E817,IF(AND(Bittrex!C817="Trade",'Bittrex Data'!C817="Limit_Buy"),Bittrex!D817,"")))))</f>
        <v/>
      </c>
      <c r="I817" t="str">
        <f>IF('Bittrex Data'!C817="","",IF(Bittrex!C817="Buy",F817,IF(C817="Sale",Bittrex!G817,IF(AND(C817="Trade",'Bittrex Data'!C817="Limit_Sell"),Bittrex!G817,IF(AND(Bittrex!C817="Trade",'Bittrex Data'!C817="Limit_Buy"),F817,"")))))</f>
        <v/>
      </c>
      <c r="J817" t="str">
        <f>IF('Bittrex Data'!B817="","",IF('Bittrex Data'!B817="","",IF(Bittrex!H817=Bittrex!E817,D817,Bittrex!E817)))</f>
        <v/>
      </c>
      <c r="K817" t="str">
        <f>IF('Bittrex Data'!B817="","",IF(Bittrex!I817=Bittrex!G817,Bittrex!F817,Bittrex!G817))</f>
        <v/>
      </c>
    </row>
    <row r="818" spans="3:11" x14ac:dyDescent="0.2">
      <c r="C818" t="str">
        <f>IF('Bittrex Data'!A818="","",IF(AND('Bittrex Data'!C818="LIMIT_SELL",Bittrex!D818="USD"),"Sale",IF(AND('Bittrex Data'!C818="LIMIT_BUY",Bittrex!D818="USD"),"Buy","Trade")))</f>
        <v/>
      </c>
      <c r="D818" t="str">
        <f>IF('Bittrex Data'!B818="","",LEFT(LEFT('Bittrex Data'!B818,SEARCH("-",'Bittrex Data'!B818,1)),LEN(LEFT('Bittrex Data'!B818,SEARCH("-",'Bittrex Data'!B818,1)))-1))</f>
        <v/>
      </c>
      <c r="E818" t="str">
        <f>IF('Bittrex Data'!B818="","",RIGHT(RIGHT('Bittrex Data'!B818,LEN('Bittrex Data'!B818)-SEARCH("-",'Bittrex Data'!B818,1)+1),LEN(RIGHT('Bittrex Data'!B818,LEN('Bittrex Data'!B818)-SEARCH("-",'Bittrex Data'!B818,1)+1))-1))</f>
        <v/>
      </c>
      <c r="F818" t="str">
        <f>IF('Bittrex Data'!C818="","",IF('Bittrex Data'!C818="Limit_Sell",'Bittrex Data'!G818-'Bittrex Data'!F818,IF('Bittrex Data'!C818="Limit_Buy",'Bittrex Data'!G818+'Bittrex Data'!F818,"")))</f>
        <v/>
      </c>
      <c r="G818" t="str">
        <f>IF('Bittrex Data'!B818="","",'Bittrex Data'!D818)</f>
        <v/>
      </c>
      <c r="H818" t="str">
        <f>IF('Bittrex Data'!C818="","",IF(Bittrex!C818="Buy",Bittrex!D818,IF(Bittrex!C818="Sale",Bittrex!E818,IF(AND(Bittrex!C818="Trade",'Bittrex Data'!C818="Limit_Sell"),Bittrex!E818,IF(AND(Bittrex!C818="Trade",'Bittrex Data'!C818="Limit_Buy"),Bittrex!D818,"")))))</f>
        <v/>
      </c>
      <c r="I818" t="str">
        <f>IF('Bittrex Data'!C818="","",IF(Bittrex!C818="Buy",F818,IF(C818="Sale",Bittrex!G818,IF(AND(C818="Trade",'Bittrex Data'!C818="Limit_Sell"),Bittrex!G818,IF(AND(Bittrex!C818="Trade",'Bittrex Data'!C818="Limit_Buy"),F818,"")))))</f>
        <v/>
      </c>
      <c r="J818" t="str">
        <f>IF('Bittrex Data'!B818="","",IF('Bittrex Data'!B818="","",IF(Bittrex!H818=Bittrex!E818,D818,Bittrex!E818)))</f>
        <v/>
      </c>
      <c r="K818" t="str">
        <f>IF('Bittrex Data'!B818="","",IF(Bittrex!I818=Bittrex!G818,Bittrex!F818,Bittrex!G818))</f>
        <v/>
      </c>
    </row>
    <row r="819" spans="3:11" x14ac:dyDescent="0.2">
      <c r="C819" t="str">
        <f>IF('Bittrex Data'!A819="","",IF(AND('Bittrex Data'!C819="LIMIT_SELL",Bittrex!D819="USD"),"Sale",IF(AND('Bittrex Data'!C819="LIMIT_BUY",Bittrex!D819="USD"),"Buy","Trade")))</f>
        <v/>
      </c>
      <c r="D819" t="str">
        <f>IF('Bittrex Data'!B819="","",LEFT(LEFT('Bittrex Data'!B819,SEARCH("-",'Bittrex Data'!B819,1)),LEN(LEFT('Bittrex Data'!B819,SEARCH("-",'Bittrex Data'!B819,1)))-1))</f>
        <v/>
      </c>
      <c r="E819" t="str">
        <f>IF('Bittrex Data'!B819="","",RIGHT(RIGHT('Bittrex Data'!B819,LEN('Bittrex Data'!B819)-SEARCH("-",'Bittrex Data'!B819,1)+1),LEN(RIGHT('Bittrex Data'!B819,LEN('Bittrex Data'!B819)-SEARCH("-",'Bittrex Data'!B819,1)+1))-1))</f>
        <v/>
      </c>
      <c r="F819" t="str">
        <f>IF('Bittrex Data'!C819="","",IF('Bittrex Data'!C819="Limit_Sell",'Bittrex Data'!G819-'Bittrex Data'!F819,IF('Bittrex Data'!C819="Limit_Buy",'Bittrex Data'!G819+'Bittrex Data'!F819,"")))</f>
        <v/>
      </c>
      <c r="G819" t="str">
        <f>IF('Bittrex Data'!B819="","",'Bittrex Data'!D819)</f>
        <v/>
      </c>
      <c r="H819" t="str">
        <f>IF('Bittrex Data'!C819="","",IF(Bittrex!C819="Buy",Bittrex!D819,IF(Bittrex!C819="Sale",Bittrex!E819,IF(AND(Bittrex!C819="Trade",'Bittrex Data'!C819="Limit_Sell"),Bittrex!E819,IF(AND(Bittrex!C819="Trade",'Bittrex Data'!C819="Limit_Buy"),Bittrex!D819,"")))))</f>
        <v/>
      </c>
      <c r="I819" t="str">
        <f>IF('Bittrex Data'!C819="","",IF(Bittrex!C819="Buy",F819,IF(C819="Sale",Bittrex!G819,IF(AND(C819="Trade",'Bittrex Data'!C819="Limit_Sell"),Bittrex!G819,IF(AND(Bittrex!C819="Trade",'Bittrex Data'!C819="Limit_Buy"),F819,"")))))</f>
        <v/>
      </c>
      <c r="J819" t="str">
        <f>IF('Bittrex Data'!B819="","",IF('Bittrex Data'!B819="","",IF(Bittrex!H819=Bittrex!E819,D819,Bittrex!E819)))</f>
        <v/>
      </c>
      <c r="K819" t="str">
        <f>IF('Bittrex Data'!B819="","",IF(Bittrex!I819=Bittrex!G819,Bittrex!F819,Bittrex!G819))</f>
        <v/>
      </c>
    </row>
    <row r="820" spans="3:11" x14ac:dyDescent="0.2">
      <c r="C820" t="str">
        <f>IF('Bittrex Data'!A820="","",IF(AND('Bittrex Data'!C820="LIMIT_SELL",Bittrex!D820="USD"),"Sale",IF(AND('Bittrex Data'!C820="LIMIT_BUY",Bittrex!D820="USD"),"Buy","Trade")))</f>
        <v/>
      </c>
      <c r="D820" t="str">
        <f>IF('Bittrex Data'!B820="","",LEFT(LEFT('Bittrex Data'!B820,SEARCH("-",'Bittrex Data'!B820,1)),LEN(LEFT('Bittrex Data'!B820,SEARCH("-",'Bittrex Data'!B820,1)))-1))</f>
        <v/>
      </c>
      <c r="E820" t="str">
        <f>IF('Bittrex Data'!B820="","",RIGHT(RIGHT('Bittrex Data'!B820,LEN('Bittrex Data'!B820)-SEARCH("-",'Bittrex Data'!B820,1)+1),LEN(RIGHT('Bittrex Data'!B820,LEN('Bittrex Data'!B820)-SEARCH("-",'Bittrex Data'!B820,1)+1))-1))</f>
        <v/>
      </c>
      <c r="F820" t="str">
        <f>IF('Bittrex Data'!C820="","",IF('Bittrex Data'!C820="Limit_Sell",'Bittrex Data'!G820-'Bittrex Data'!F820,IF('Bittrex Data'!C820="Limit_Buy",'Bittrex Data'!G820+'Bittrex Data'!F820,"")))</f>
        <v/>
      </c>
      <c r="G820" t="str">
        <f>IF('Bittrex Data'!B820="","",'Bittrex Data'!D820)</f>
        <v/>
      </c>
      <c r="H820" t="str">
        <f>IF('Bittrex Data'!C820="","",IF(Bittrex!C820="Buy",Bittrex!D820,IF(Bittrex!C820="Sale",Bittrex!E820,IF(AND(Bittrex!C820="Trade",'Bittrex Data'!C820="Limit_Sell"),Bittrex!E820,IF(AND(Bittrex!C820="Trade",'Bittrex Data'!C820="Limit_Buy"),Bittrex!D820,"")))))</f>
        <v/>
      </c>
      <c r="I820" t="str">
        <f>IF('Bittrex Data'!C820="","",IF(Bittrex!C820="Buy",F820,IF(C820="Sale",Bittrex!G820,IF(AND(C820="Trade",'Bittrex Data'!C820="Limit_Sell"),Bittrex!G820,IF(AND(Bittrex!C820="Trade",'Bittrex Data'!C820="Limit_Buy"),F820,"")))))</f>
        <v/>
      </c>
      <c r="J820" t="str">
        <f>IF('Bittrex Data'!B820="","",IF('Bittrex Data'!B820="","",IF(Bittrex!H820=Bittrex!E820,D820,Bittrex!E820)))</f>
        <v/>
      </c>
      <c r="K820" t="str">
        <f>IF('Bittrex Data'!B820="","",IF(Bittrex!I820=Bittrex!G820,Bittrex!F820,Bittrex!G820))</f>
        <v/>
      </c>
    </row>
    <row r="821" spans="3:11" x14ac:dyDescent="0.2">
      <c r="C821" t="str">
        <f>IF('Bittrex Data'!A821="","",IF(AND('Bittrex Data'!C821="LIMIT_SELL",Bittrex!D821="USD"),"Sale",IF(AND('Bittrex Data'!C821="LIMIT_BUY",Bittrex!D821="USD"),"Buy","Trade")))</f>
        <v/>
      </c>
      <c r="D821" t="str">
        <f>IF('Bittrex Data'!B821="","",LEFT(LEFT('Bittrex Data'!B821,SEARCH("-",'Bittrex Data'!B821,1)),LEN(LEFT('Bittrex Data'!B821,SEARCH("-",'Bittrex Data'!B821,1)))-1))</f>
        <v/>
      </c>
      <c r="E821" t="str">
        <f>IF('Bittrex Data'!B821="","",RIGHT(RIGHT('Bittrex Data'!B821,LEN('Bittrex Data'!B821)-SEARCH("-",'Bittrex Data'!B821,1)+1),LEN(RIGHT('Bittrex Data'!B821,LEN('Bittrex Data'!B821)-SEARCH("-",'Bittrex Data'!B821,1)+1))-1))</f>
        <v/>
      </c>
      <c r="F821" t="str">
        <f>IF('Bittrex Data'!C821="","",IF('Bittrex Data'!C821="Limit_Sell",'Bittrex Data'!G821-'Bittrex Data'!F821,IF('Bittrex Data'!C821="Limit_Buy",'Bittrex Data'!G821+'Bittrex Data'!F821,"")))</f>
        <v/>
      </c>
      <c r="G821" t="str">
        <f>IF('Bittrex Data'!B821="","",'Bittrex Data'!D821)</f>
        <v/>
      </c>
      <c r="H821" t="str">
        <f>IF('Bittrex Data'!C821="","",IF(Bittrex!C821="Buy",Bittrex!D821,IF(Bittrex!C821="Sale",Bittrex!E821,IF(AND(Bittrex!C821="Trade",'Bittrex Data'!C821="Limit_Sell"),Bittrex!E821,IF(AND(Bittrex!C821="Trade",'Bittrex Data'!C821="Limit_Buy"),Bittrex!D821,"")))))</f>
        <v/>
      </c>
      <c r="I821" t="str">
        <f>IF('Bittrex Data'!C821="","",IF(Bittrex!C821="Buy",F821,IF(C821="Sale",Bittrex!G821,IF(AND(C821="Trade",'Bittrex Data'!C821="Limit_Sell"),Bittrex!G821,IF(AND(Bittrex!C821="Trade",'Bittrex Data'!C821="Limit_Buy"),F821,"")))))</f>
        <v/>
      </c>
      <c r="J821" t="str">
        <f>IF('Bittrex Data'!B821="","",IF('Bittrex Data'!B821="","",IF(Bittrex!H821=Bittrex!E821,D821,Bittrex!E821)))</f>
        <v/>
      </c>
      <c r="K821" t="str">
        <f>IF('Bittrex Data'!B821="","",IF(Bittrex!I821=Bittrex!G821,Bittrex!F821,Bittrex!G821))</f>
        <v/>
      </c>
    </row>
    <row r="822" spans="3:11" x14ac:dyDescent="0.2">
      <c r="C822" t="str">
        <f>IF('Bittrex Data'!A822="","",IF(AND('Bittrex Data'!C822="LIMIT_SELL",Bittrex!D822="USD"),"Sale",IF(AND('Bittrex Data'!C822="LIMIT_BUY",Bittrex!D822="USD"),"Buy","Trade")))</f>
        <v/>
      </c>
      <c r="D822" t="str">
        <f>IF('Bittrex Data'!B822="","",LEFT(LEFT('Bittrex Data'!B822,SEARCH("-",'Bittrex Data'!B822,1)),LEN(LEFT('Bittrex Data'!B822,SEARCH("-",'Bittrex Data'!B822,1)))-1))</f>
        <v/>
      </c>
      <c r="E822" t="str">
        <f>IF('Bittrex Data'!B822="","",RIGHT(RIGHT('Bittrex Data'!B822,LEN('Bittrex Data'!B822)-SEARCH("-",'Bittrex Data'!B822,1)+1),LEN(RIGHT('Bittrex Data'!B822,LEN('Bittrex Data'!B822)-SEARCH("-",'Bittrex Data'!B822,1)+1))-1))</f>
        <v/>
      </c>
      <c r="F822" t="str">
        <f>IF('Bittrex Data'!C822="","",IF('Bittrex Data'!C822="Limit_Sell",'Bittrex Data'!G822-'Bittrex Data'!F822,IF('Bittrex Data'!C822="Limit_Buy",'Bittrex Data'!G822+'Bittrex Data'!F822,"")))</f>
        <v/>
      </c>
      <c r="G822" t="str">
        <f>IF('Bittrex Data'!B822="","",'Bittrex Data'!D822)</f>
        <v/>
      </c>
      <c r="H822" t="str">
        <f>IF('Bittrex Data'!C822="","",IF(Bittrex!C822="Buy",Bittrex!D822,IF(Bittrex!C822="Sale",Bittrex!E822,IF(AND(Bittrex!C822="Trade",'Bittrex Data'!C822="Limit_Sell"),Bittrex!E822,IF(AND(Bittrex!C822="Trade",'Bittrex Data'!C822="Limit_Buy"),Bittrex!D822,"")))))</f>
        <v/>
      </c>
      <c r="I822" t="str">
        <f>IF('Bittrex Data'!C822="","",IF(Bittrex!C822="Buy",F822,IF(C822="Sale",Bittrex!G822,IF(AND(C822="Trade",'Bittrex Data'!C822="Limit_Sell"),Bittrex!G822,IF(AND(Bittrex!C822="Trade",'Bittrex Data'!C822="Limit_Buy"),F822,"")))))</f>
        <v/>
      </c>
      <c r="J822" t="str">
        <f>IF('Bittrex Data'!B822="","",IF('Bittrex Data'!B822="","",IF(Bittrex!H822=Bittrex!E822,D822,Bittrex!E822)))</f>
        <v/>
      </c>
      <c r="K822" t="str">
        <f>IF('Bittrex Data'!B822="","",IF(Bittrex!I822=Bittrex!G822,Bittrex!F822,Bittrex!G822))</f>
        <v/>
      </c>
    </row>
    <row r="823" spans="3:11" x14ac:dyDescent="0.2">
      <c r="C823" t="str">
        <f>IF('Bittrex Data'!A823="","",IF(AND('Bittrex Data'!C823="LIMIT_SELL",Bittrex!D823="USD"),"Sale",IF(AND('Bittrex Data'!C823="LIMIT_BUY",Bittrex!D823="USD"),"Buy","Trade")))</f>
        <v/>
      </c>
      <c r="D823" t="str">
        <f>IF('Bittrex Data'!B823="","",LEFT(LEFT('Bittrex Data'!B823,SEARCH("-",'Bittrex Data'!B823,1)),LEN(LEFT('Bittrex Data'!B823,SEARCH("-",'Bittrex Data'!B823,1)))-1))</f>
        <v/>
      </c>
      <c r="E823" t="str">
        <f>IF('Bittrex Data'!B823="","",RIGHT(RIGHT('Bittrex Data'!B823,LEN('Bittrex Data'!B823)-SEARCH("-",'Bittrex Data'!B823,1)+1),LEN(RIGHT('Bittrex Data'!B823,LEN('Bittrex Data'!B823)-SEARCH("-",'Bittrex Data'!B823,1)+1))-1))</f>
        <v/>
      </c>
      <c r="F823" t="str">
        <f>IF('Bittrex Data'!C823="","",IF('Bittrex Data'!C823="Limit_Sell",'Bittrex Data'!G823-'Bittrex Data'!F823,IF('Bittrex Data'!C823="Limit_Buy",'Bittrex Data'!G823+'Bittrex Data'!F823,"")))</f>
        <v/>
      </c>
      <c r="G823" t="str">
        <f>IF('Bittrex Data'!B823="","",'Bittrex Data'!D823)</f>
        <v/>
      </c>
      <c r="H823" t="str">
        <f>IF('Bittrex Data'!C823="","",IF(Bittrex!C823="Buy",Bittrex!D823,IF(Bittrex!C823="Sale",Bittrex!E823,IF(AND(Bittrex!C823="Trade",'Bittrex Data'!C823="Limit_Sell"),Bittrex!E823,IF(AND(Bittrex!C823="Trade",'Bittrex Data'!C823="Limit_Buy"),Bittrex!D823,"")))))</f>
        <v/>
      </c>
      <c r="I823" t="str">
        <f>IF('Bittrex Data'!C823="","",IF(Bittrex!C823="Buy",F823,IF(C823="Sale",Bittrex!G823,IF(AND(C823="Trade",'Bittrex Data'!C823="Limit_Sell"),Bittrex!G823,IF(AND(Bittrex!C823="Trade",'Bittrex Data'!C823="Limit_Buy"),F823,"")))))</f>
        <v/>
      </c>
      <c r="J823" t="str">
        <f>IF('Bittrex Data'!B823="","",IF('Bittrex Data'!B823="","",IF(Bittrex!H823=Bittrex!E823,D823,Bittrex!E823)))</f>
        <v/>
      </c>
      <c r="K823" t="str">
        <f>IF('Bittrex Data'!B823="","",IF(Bittrex!I823=Bittrex!G823,Bittrex!F823,Bittrex!G823))</f>
        <v/>
      </c>
    </row>
    <row r="824" spans="3:11" x14ac:dyDescent="0.2">
      <c r="C824" t="str">
        <f>IF('Bittrex Data'!A824="","",IF(AND('Bittrex Data'!C824="LIMIT_SELL",Bittrex!D824="USD"),"Sale",IF(AND('Bittrex Data'!C824="LIMIT_BUY",Bittrex!D824="USD"),"Buy","Trade")))</f>
        <v/>
      </c>
      <c r="D824" t="str">
        <f>IF('Bittrex Data'!B824="","",LEFT(LEFT('Bittrex Data'!B824,SEARCH("-",'Bittrex Data'!B824,1)),LEN(LEFT('Bittrex Data'!B824,SEARCH("-",'Bittrex Data'!B824,1)))-1))</f>
        <v/>
      </c>
      <c r="E824" t="str">
        <f>IF('Bittrex Data'!B824="","",RIGHT(RIGHT('Bittrex Data'!B824,LEN('Bittrex Data'!B824)-SEARCH("-",'Bittrex Data'!B824,1)+1),LEN(RIGHT('Bittrex Data'!B824,LEN('Bittrex Data'!B824)-SEARCH("-",'Bittrex Data'!B824,1)+1))-1))</f>
        <v/>
      </c>
      <c r="F824" t="str">
        <f>IF('Bittrex Data'!C824="","",IF('Bittrex Data'!C824="Limit_Sell",'Bittrex Data'!G824-'Bittrex Data'!F824,IF('Bittrex Data'!C824="Limit_Buy",'Bittrex Data'!G824+'Bittrex Data'!F824,"")))</f>
        <v/>
      </c>
      <c r="G824" t="str">
        <f>IF('Bittrex Data'!B824="","",'Bittrex Data'!D824)</f>
        <v/>
      </c>
      <c r="H824" t="str">
        <f>IF('Bittrex Data'!C824="","",IF(Bittrex!C824="Buy",Bittrex!D824,IF(Bittrex!C824="Sale",Bittrex!E824,IF(AND(Bittrex!C824="Trade",'Bittrex Data'!C824="Limit_Sell"),Bittrex!E824,IF(AND(Bittrex!C824="Trade",'Bittrex Data'!C824="Limit_Buy"),Bittrex!D824,"")))))</f>
        <v/>
      </c>
      <c r="I824" t="str">
        <f>IF('Bittrex Data'!C824="","",IF(Bittrex!C824="Buy",F824,IF(C824="Sale",Bittrex!G824,IF(AND(C824="Trade",'Bittrex Data'!C824="Limit_Sell"),Bittrex!G824,IF(AND(Bittrex!C824="Trade",'Bittrex Data'!C824="Limit_Buy"),F824,"")))))</f>
        <v/>
      </c>
      <c r="J824" t="str">
        <f>IF('Bittrex Data'!B824="","",IF('Bittrex Data'!B824="","",IF(Bittrex!H824=Bittrex!E824,D824,Bittrex!E824)))</f>
        <v/>
      </c>
      <c r="K824" t="str">
        <f>IF('Bittrex Data'!B824="","",IF(Bittrex!I824=Bittrex!G824,Bittrex!F824,Bittrex!G824))</f>
        <v/>
      </c>
    </row>
    <row r="825" spans="3:11" x14ac:dyDescent="0.2">
      <c r="C825" t="str">
        <f>IF('Bittrex Data'!A825="","",IF(AND('Bittrex Data'!C825="LIMIT_SELL",Bittrex!D825="USD"),"Sale",IF(AND('Bittrex Data'!C825="LIMIT_BUY",Bittrex!D825="USD"),"Buy","Trade")))</f>
        <v/>
      </c>
      <c r="D825" t="str">
        <f>IF('Bittrex Data'!B825="","",LEFT(LEFT('Bittrex Data'!B825,SEARCH("-",'Bittrex Data'!B825,1)),LEN(LEFT('Bittrex Data'!B825,SEARCH("-",'Bittrex Data'!B825,1)))-1))</f>
        <v/>
      </c>
      <c r="E825" t="str">
        <f>IF('Bittrex Data'!B825="","",RIGHT(RIGHT('Bittrex Data'!B825,LEN('Bittrex Data'!B825)-SEARCH("-",'Bittrex Data'!B825,1)+1),LEN(RIGHT('Bittrex Data'!B825,LEN('Bittrex Data'!B825)-SEARCH("-",'Bittrex Data'!B825,1)+1))-1))</f>
        <v/>
      </c>
      <c r="F825" t="str">
        <f>IF('Bittrex Data'!C825="","",IF('Bittrex Data'!C825="Limit_Sell",'Bittrex Data'!G825-'Bittrex Data'!F825,IF('Bittrex Data'!C825="Limit_Buy",'Bittrex Data'!G825+'Bittrex Data'!F825,"")))</f>
        <v/>
      </c>
      <c r="G825" t="str">
        <f>IF('Bittrex Data'!B825="","",'Bittrex Data'!D825)</f>
        <v/>
      </c>
      <c r="H825" t="str">
        <f>IF('Bittrex Data'!C825="","",IF(Bittrex!C825="Buy",Bittrex!D825,IF(Bittrex!C825="Sale",Bittrex!E825,IF(AND(Bittrex!C825="Trade",'Bittrex Data'!C825="Limit_Sell"),Bittrex!E825,IF(AND(Bittrex!C825="Trade",'Bittrex Data'!C825="Limit_Buy"),Bittrex!D825,"")))))</f>
        <v/>
      </c>
      <c r="I825" t="str">
        <f>IF('Bittrex Data'!C825="","",IF(Bittrex!C825="Buy",F825,IF(C825="Sale",Bittrex!G825,IF(AND(C825="Trade",'Bittrex Data'!C825="Limit_Sell"),Bittrex!G825,IF(AND(Bittrex!C825="Trade",'Bittrex Data'!C825="Limit_Buy"),F825,"")))))</f>
        <v/>
      </c>
      <c r="J825" t="str">
        <f>IF('Bittrex Data'!B825="","",IF('Bittrex Data'!B825="","",IF(Bittrex!H825=Bittrex!E825,D825,Bittrex!E825)))</f>
        <v/>
      </c>
      <c r="K825" t="str">
        <f>IF('Bittrex Data'!B825="","",IF(Bittrex!I825=Bittrex!G825,Bittrex!F825,Bittrex!G825))</f>
        <v/>
      </c>
    </row>
    <row r="826" spans="3:11" x14ac:dyDescent="0.2">
      <c r="C826" t="str">
        <f>IF('Bittrex Data'!A826="","",IF(AND('Bittrex Data'!C826="LIMIT_SELL",Bittrex!D826="USD"),"Sale",IF(AND('Bittrex Data'!C826="LIMIT_BUY",Bittrex!D826="USD"),"Buy","Trade")))</f>
        <v/>
      </c>
      <c r="D826" t="str">
        <f>IF('Bittrex Data'!B826="","",LEFT(LEFT('Bittrex Data'!B826,SEARCH("-",'Bittrex Data'!B826,1)),LEN(LEFT('Bittrex Data'!B826,SEARCH("-",'Bittrex Data'!B826,1)))-1))</f>
        <v/>
      </c>
      <c r="E826" t="str">
        <f>IF('Bittrex Data'!B826="","",RIGHT(RIGHT('Bittrex Data'!B826,LEN('Bittrex Data'!B826)-SEARCH("-",'Bittrex Data'!B826,1)+1),LEN(RIGHT('Bittrex Data'!B826,LEN('Bittrex Data'!B826)-SEARCH("-",'Bittrex Data'!B826,1)+1))-1))</f>
        <v/>
      </c>
      <c r="F826" t="str">
        <f>IF('Bittrex Data'!C826="","",IF('Bittrex Data'!C826="Limit_Sell",'Bittrex Data'!G826-'Bittrex Data'!F826,IF('Bittrex Data'!C826="Limit_Buy",'Bittrex Data'!G826+'Bittrex Data'!F826,"")))</f>
        <v/>
      </c>
      <c r="G826" t="str">
        <f>IF('Bittrex Data'!B826="","",'Bittrex Data'!D826)</f>
        <v/>
      </c>
      <c r="H826" t="str">
        <f>IF('Bittrex Data'!C826="","",IF(Bittrex!C826="Buy",Bittrex!D826,IF(Bittrex!C826="Sale",Bittrex!E826,IF(AND(Bittrex!C826="Trade",'Bittrex Data'!C826="Limit_Sell"),Bittrex!E826,IF(AND(Bittrex!C826="Trade",'Bittrex Data'!C826="Limit_Buy"),Bittrex!D826,"")))))</f>
        <v/>
      </c>
      <c r="I826" t="str">
        <f>IF('Bittrex Data'!C826="","",IF(Bittrex!C826="Buy",F826,IF(C826="Sale",Bittrex!G826,IF(AND(C826="Trade",'Bittrex Data'!C826="Limit_Sell"),Bittrex!G826,IF(AND(Bittrex!C826="Trade",'Bittrex Data'!C826="Limit_Buy"),F826,"")))))</f>
        <v/>
      </c>
      <c r="J826" t="str">
        <f>IF('Bittrex Data'!B826="","",IF('Bittrex Data'!B826="","",IF(Bittrex!H826=Bittrex!E826,D826,Bittrex!E826)))</f>
        <v/>
      </c>
      <c r="K826" t="str">
        <f>IF('Bittrex Data'!B826="","",IF(Bittrex!I826=Bittrex!G826,Bittrex!F826,Bittrex!G826))</f>
        <v/>
      </c>
    </row>
    <row r="827" spans="3:11" x14ac:dyDescent="0.2">
      <c r="C827" t="str">
        <f>IF('Bittrex Data'!A827="","",IF(AND('Bittrex Data'!C827="LIMIT_SELL",Bittrex!D827="USD"),"Sale",IF(AND('Bittrex Data'!C827="LIMIT_BUY",Bittrex!D827="USD"),"Buy","Trade")))</f>
        <v/>
      </c>
      <c r="D827" t="str">
        <f>IF('Bittrex Data'!B827="","",LEFT(LEFT('Bittrex Data'!B827,SEARCH("-",'Bittrex Data'!B827,1)),LEN(LEFT('Bittrex Data'!B827,SEARCH("-",'Bittrex Data'!B827,1)))-1))</f>
        <v/>
      </c>
      <c r="E827" t="str">
        <f>IF('Bittrex Data'!B827="","",RIGHT(RIGHT('Bittrex Data'!B827,LEN('Bittrex Data'!B827)-SEARCH("-",'Bittrex Data'!B827,1)+1),LEN(RIGHT('Bittrex Data'!B827,LEN('Bittrex Data'!B827)-SEARCH("-",'Bittrex Data'!B827,1)+1))-1))</f>
        <v/>
      </c>
      <c r="F827" t="str">
        <f>IF('Bittrex Data'!C827="","",IF('Bittrex Data'!C827="Limit_Sell",'Bittrex Data'!G827-'Bittrex Data'!F827,IF('Bittrex Data'!C827="Limit_Buy",'Bittrex Data'!G827+'Bittrex Data'!F827,"")))</f>
        <v/>
      </c>
      <c r="G827" t="str">
        <f>IF('Bittrex Data'!B827="","",'Bittrex Data'!D827)</f>
        <v/>
      </c>
      <c r="H827" t="str">
        <f>IF('Bittrex Data'!C827="","",IF(Bittrex!C827="Buy",Bittrex!D827,IF(Bittrex!C827="Sale",Bittrex!E827,IF(AND(Bittrex!C827="Trade",'Bittrex Data'!C827="Limit_Sell"),Bittrex!E827,IF(AND(Bittrex!C827="Trade",'Bittrex Data'!C827="Limit_Buy"),Bittrex!D827,"")))))</f>
        <v/>
      </c>
      <c r="I827" t="str">
        <f>IF('Bittrex Data'!C827="","",IF(Bittrex!C827="Buy",F827,IF(C827="Sale",Bittrex!G827,IF(AND(C827="Trade",'Bittrex Data'!C827="Limit_Sell"),Bittrex!G827,IF(AND(Bittrex!C827="Trade",'Bittrex Data'!C827="Limit_Buy"),F827,"")))))</f>
        <v/>
      </c>
      <c r="J827" t="str">
        <f>IF('Bittrex Data'!B827="","",IF('Bittrex Data'!B827="","",IF(Bittrex!H827=Bittrex!E827,D827,Bittrex!E827)))</f>
        <v/>
      </c>
      <c r="K827" t="str">
        <f>IF('Bittrex Data'!B827="","",IF(Bittrex!I827=Bittrex!G827,Bittrex!F827,Bittrex!G827))</f>
        <v/>
      </c>
    </row>
    <row r="828" spans="3:11" x14ac:dyDescent="0.2">
      <c r="C828" t="str">
        <f>IF('Bittrex Data'!A828="","",IF(AND('Bittrex Data'!C828="LIMIT_SELL",Bittrex!D828="USD"),"Sale",IF(AND('Bittrex Data'!C828="LIMIT_BUY",Bittrex!D828="USD"),"Buy","Trade")))</f>
        <v/>
      </c>
      <c r="D828" t="str">
        <f>IF('Bittrex Data'!B828="","",LEFT(LEFT('Bittrex Data'!B828,SEARCH("-",'Bittrex Data'!B828,1)),LEN(LEFT('Bittrex Data'!B828,SEARCH("-",'Bittrex Data'!B828,1)))-1))</f>
        <v/>
      </c>
      <c r="E828" t="str">
        <f>IF('Bittrex Data'!B828="","",RIGHT(RIGHT('Bittrex Data'!B828,LEN('Bittrex Data'!B828)-SEARCH("-",'Bittrex Data'!B828,1)+1),LEN(RIGHT('Bittrex Data'!B828,LEN('Bittrex Data'!B828)-SEARCH("-",'Bittrex Data'!B828,1)+1))-1))</f>
        <v/>
      </c>
      <c r="F828" t="str">
        <f>IF('Bittrex Data'!C828="","",IF('Bittrex Data'!C828="Limit_Sell",'Bittrex Data'!G828-'Bittrex Data'!F828,IF('Bittrex Data'!C828="Limit_Buy",'Bittrex Data'!G828+'Bittrex Data'!F828,"")))</f>
        <v/>
      </c>
      <c r="G828" t="str">
        <f>IF('Bittrex Data'!B828="","",'Bittrex Data'!D828)</f>
        <v/>
      </c>
      <c r="H828" t="str">
        <f>IF('Bittrex Data'!C828="","",IF(Bittrex!C828="Buy",Bittrex!D828,IF(Bittrex!C828="Sale",Bittrex!E828,IF(AND(Bittrex!C828="Trade",'Bittrex Data'!C828="Limit_Sell"),Bittrex!E828,IF(AND(Bittrex!C828="Trade",'Bittrex Data'!C828="Limit_Buy"),Bittrex!D828,"")))))</f>
        <v/>
      </c>
      <c r="I828" t="str">
        <f>IF('Bittrex Data'!C828="","",IF(Bittrex!C828="Buy",F828,IF(C828="Sale",Bittrex!G828,IF(AND(C828="Trade",'Bittrex Data'!C828="Limit_Sell"),Bittrex!G828,IF(AND(Bittrex!C828="Trade",'Bittrex Data'!C828="Limit_Buy"),F828,"")))))</f>
        <v/>
      </c>
      <c r="J828" t="str">
        <f>IF('Bittrex Data'!B828="","",IF('Bittrex Data'!B828="","",IF(Bittrex!H828=Bittrex!E828,D828,Bittrex!E828)))</f>
        <v/>
      </c>
      <c r="K828" t="str">
        <f>IF('Bittrex Data'!B828="","",IF(Bittrex!I828=Bittrex!G828,Bittrex!F828,Bittrex!G828))</f>
        <v/>
      </c>
    </row>
    <row r="829" spans="3:11" x14ac:dyDescent="0.2">
      <c r="C829" t="str">
        <f>IF('Bittrex Data'!A829="","",IF(AND('Bittrex Data'!C829="LIMIT_SELL",Bittrex!D829="USD"),"Sale",IF(AND('Bittrex Data'!C829="LIMIT_BUY",Bittrex!D829="USD"),"Buy","Trade")))</f>
        <v/>
      </c>
      <c r="D829" t="str">
        <f>IF('Bittrex Data'!B829="","",LEFT(LEFT('Bittrex Data'!B829,SEARCH("-",'Bittrex Data'!B829,1)),LEN(LEFT('Bittrex Data'!B829,SEARCH("-",'Bittrex Data'!B829,1)))-1))</f>
        <v/>
      </c>
      <c r="E829" t="str">
        <f>IF('Bittrex Data'!B829="","",RIGHT(RIGHT('Bittrex Data'!B829,LEN('Bittrex Data'!B829)-SEARCH("-",'Bittrex Data'!B829,1)+1),LEN(RIGHT('Bittrex Data'!B829,LEN('Bittrex Data'!B829)-SEARCH("-",'Bittrex Data'!B829,1)+1))-1))</f>
        <v/>
      </c>
      <c r="F829" t="str">
        <f>IF('Bittrex Data'!C829="","",IF('Bittrex Data'!C829="Limit_Sell",'Bittrex Data'!G829-'Bittrex Data'!F829,IF('Bittrex Data'!C829="Limit_Buy",'Bittrex Data'!G829+'Bittrex Data'!F829,"")))</f>
        <v/>
      </c>
      <c r="G829" t="str">
        <f>IF('Bittrex Data'!B829="","",'Bittrex Data'!D829)</f>
        <v/>
      </c>
      <c r="H829" t="str">
        <f>IF('Bittrex Data'!C829="","",IF(Bittrex!C829="Buy",Bittrex!D829,IF(Bittrex!C829="Sale",Bittrex!E829,IF(AND(Bittrex!C829="Trade",'Bittrex Data'!C829="Limit_Sell"),Bittrex!E829,IF(AND(Bittrex!C829="Trade",'Bittrex Data'!C829="Limit_Buy"),Bittrex!D829,"")))))</f>
        <v/>
      </c>
      <c r="I829" t="str">
        <f>IF('Bittrex Data'!C829="","",IF(Bittrex!C829="Buy",F829,IF(C829="Sale",Bittrex!G829,IF(AND(C829="Trade",'Bittrex Data'!C829="Limit_Sell"),Bittrex!G829,IF(AND(Bittrex!C829="Trade",'Bittrex Data'!C829="Limit_Buy"),F829,"")))))</f>
        <v/>
      </c>
      <c r="J829" t="str">
        <f>IF('Bittrex Data'!B829="","",IF('Bittrex Data'!B829="","",IF(Bittrex!H829=Bittrex!E829,D829,Bittrex!E829)))</f>
        <v/>
      </c>
      <c r="K829" t="str">
        <f>IF('Bittrex Data'!B829="","",IF(Bittrex!I829=Bittrex!G829,Bittrex!F829,Bittrex!G829))</f>
        <v/>
      </c>
    </row>
    <row r="830" spans="3:11" x14ac:dyDescent="0.2">
      <c r="C830" t="str">
        <f>IF('Bittrex Data'!A830="","",IF(AND('Bittrex Data'!C830="LIMIT_SELL",Bittrex!D830="USD"),"Sale",IF(AND('Bittrex Data'!C830="LIMIT_BUY",Bittrex!D830="USD"),"Buy","Trade")))</f>
        <v/>
      </c>
      <c r="D830" t="str">
        <f>IF('Bittrex Data'!B830="","",LEFT(LEFT('Bittrex Data'!B830,SEARCH("-",'Bittrex Data'!B830,1)),LEN(LEFT('Bittrex Data'!B830,SEARCH("-",'Bittrex Data'!B830,1)))-1))</f>
        <v/>
      </c>
      <c r="E830" t="str">
        <f>IF('Bittrex Data'!B830="","",RIGHT(RIGHT('Bittrex Data'!B830,LEN('Bittrex Data'!B830)-SEARCH("-",'Bittrex Data'!B830,1)+1),LEN(RIGHT('Bittrex Data'!B830,LEN('Bittrex Data'!B830)-SEARCH("-",'Bittrex Data'!B830,1)+1))-1))</f>
        <v/>
      </c>
      <c r="F830" t="str">
        <f>IF('Bittrex Data'!C830="","",IF('Bittrex Data'!C830="Limit_Sell",'Bittrex Data'!G830-'Bittrex Data'!F830,IF('Bittrex Data'!C830="Limit_Buy",'Bittrex Data'!G830+'Bittrex Data'!F830,"")))</f>
        <v/>
      </c>
      <c r="G830" t="str">
        <f>IF('Bittrex Data'!B830="","",'Bittrex Data'!D830)</f>
        <v/>
      </c>
      <c r="H830" t="str">
        <f>IF('Bittrex Data'!C830="","",IF(Bittrex!C830="Buy",Bittrex!D830,IF(Bittrex!C830="Sale",Bittrex!E830,IF(AND(Bittrex!C830="Trade",'Bittrex Data'!C830="Limit_Sell"),Bittrex!E830,IF(AND(Bittrex!C830="Trade",'Bittrex Data'!C830="Limit_Buy"),Bittrex!D830,"")))))</f>
        <v/>
      </c>
      <c r="I830" t="str">
        <f>IF('Bittrex Data'!C830="","",IF(Bittrex!C830="Buy",F830,IF(C830="Sale",Bittrex!G830,IF(AND(C830="Trade",'Bittrex Data'!C830="Limit_Sell"),Bittrex!G830,IF(AND(Bittrex!C830="Trade",'Bittrex Data'!C830="Limit_Buy"),F830,"")))))</f>
        <v/>
      </c>
      <c r="J830" t="str">
        <f>IF('Bittrex Data'!B830="","",IF('Bittrex Data'!B830="","",IF(Bittrex!H830=Bittrex!E830,D830,Bittrex!E830)))</f>
        <v/>
      </c>
      <c r="K830" t="str">
        <f>IF('Bittrex Data'!B830="","",IF(Bittrex!I830=Bittrex!G830,Bittrex!F830,Bittrex!G830))</f>
        <v/>
      </c>
    </row>
    <row r="831" spans="3:11" x14ac:dyDescent="0.2">
      <c r="C831" t="str">
        <f>IF('Bittrex Data'!A831="","",IF(AND('Bittrex Data'!C831="LIMIT_SELL",Bittrex!D831="USD"),"Sale",IF(AND('Bittrex Data'!C831="LIMIT_BUY",Bittrex!D831="USD"),"Buy","Trade")))</f>
        <v/>
      </c>
      <c r="D831" t="str">
        <f>IF('Bittrex Data'!B831="","",LEFT(LEFT('Bittrex Data'!B831,SEARCH("-",'Bittrex Data'!B831,1)),LEN(LEFT('Bittrex Data'!B831,SEARCH("-",'Bittrex Data'!B831,1)))-1))</f>
        <v/>
      </c>
      <c r="E831" t="str">
        <f>IF('Bittrex Data'!B831="","",RIGHT(RIGHT('Bittrex Data'!B831,LEN('Bittrex Data'!B831)-SEARCH("-",'Bittrex Data'!B831,1)+1),LEN(RIGHT('Bittrex Data'!B831,LEN('Bittrex Data'!B831)-SEARCH("-",'Bittrex Data'!B831,1)+1))-1))</f>
        <v/>
      </c>
      <c r="F831" t="str">
        <f>IF('Bittrex Data'!C831="","",IF('Bittrex Data'!C831="Limit_Sell",'Bittrex Data'!G831-'Bittrex Data'!F831,IF('Bittrex Data'!C831="Limit_Buy",'Bittrex Data'!G831+'Bittrex Data'!F831,"")))</f>
        <v/>
      </c>
      <c r="G831" t="str">
        <f>IF('Bittrex Data'!B831="","",'Bittrex Data'!D831)</f>
        <v/>
      </c>
      <c r="H831" t="str">
        <f>IF('Bittrex Data'!C831="","",IF(Bittrex!C831="Buy",Bittrex!D831,IF(Bittrex!C831="Sale",Bittrex!E831,IF(AND(Bittrex!C831="Trade",'Bittrex Data'!C831="Limit_Sell"),Bittrex!E831,IF(AND(Bittrex!C831="Trade",'Bittrex Data'!C831="Limit_Buy"),Bittrex!D831,"")))))</f>
        <v/>
      </c>
      <c r="I831" t="str">
        <f>IF('Bittrex Data'!C831="","",IF(Bittrex!C831="Buy",F831,IF(C831="Sale",Bittrex!G831,IF(AND(C831="Trade",'Bittrex Data'!C831="Limit_Sell"),Bittrex!G831,IF(AND(Bittrex!C831="Trade",'Bittrex Data'!C831="Limit_Buy"),F831,"")))))</f>
        <v/>
      </c>
      <c r="J831" t="str">
        <f>IF('Bittrex Data'!B831="","",IF('Bittrex Data'!B831="","",IF(Bittrex!H831=Bittrex!E831,D831,Bittrex!E831)))</f>
        <v/>
      </c>
      <c r="K831" t="str">
        <f>IF('Bittrex Data'!B831="","",IF(Bittrex!I831=Bittrex!G831,Bittrex!F831,Bittrex!G831))</f>
        <v/>
      </c>
    </row>
    <row r="832" spans="3:11" x14ac:dyDescent="0.2">
      <c r="C832" t="str">
        <f>IF('Bittrex Data'!A832="","",IF(AND('Bittrex Data'!C832="LIMIT_SELL",Bittrex!D832="USD"),"Sale",IF(AND('Bittrex Data'!C832="LIMIT_BUY",Bittrex!D832="USD"),"Buy","Trade")))</f>
        <v/>
      </c>
      <c r="D832" t="str">
        <f>IF('Bittrex Data'!B832="","",LEFT(LEFT('Bittrex Data'!B832,SEARCH("-",'Bittrex Data'!B832,1)),LEN(LEFT('Bittrex Data'!B832,SEARCH("-",'Bittrex Data'!B832,1)))-1))</f>
        <v/>
      </c>
      <c r="E832" t="str">
        <f>IF('Bittrex Data'!B832="","",RIGHT(RIGHT('Bittrex Data'!B832,LEN('Bittrex Data'!B832)-SEARCH("-",'Bittrex Data'!B832,1)+1),LEN(RIGHT('Bittrex Data'!B832,LEN('Bittrex Data'!B832)-SEARCH("-",'Bittrex Data'!B832,1)+1))-1))</f>
        <v/>
      </c>
      <c r="F832" t="str">
        <f>IF('Bittrex Data'!C832="","",IF('Bittrex Data'!C832="Limit_Sell",'Bittrex Data'!G832-'Bittrex Data'!F832,IF('Bittrex Data'!C832="Limit_Buy",'Bittrex Data'!G832+'Bittrex Data'!F832,"")))</f>
        <v/>
      </c>
      <c r="G832" t="str">
        <f>IF('Bittrex Data'!B832="","",'Bittrex Data'!D832)</f>
        <v/>
      </c>
      <c r="H832" t="str">
        <f>IF('Bittrex Data'!C832="","",IF(Bittrex!C832="Buy",Bittrex!D832,IF(Bittrex!C832="Sale",Bittrex!E832,IF(AND(Bittrex!C832="Trade",'Bittrex Data'!C832="Limit_Sell"),Bittrex!E832,IF(AND(Bittrex!C832="Trade",'Bittrex Data'!C832="Limit_Buy"),Bittrex!D832,"")))))</f>
        <v/>
      </c>
      <c r="I832" t="str">
        <f>IF('Bittrex Data'!C832="","",IF(Bittrex!C832="Buy",F832,IF(C832="Sale",Bittrex!G832,IF(AND(C832="Trade",'Bittrex Data'!C832="Limit_Sell"),Bittrex!G832,IF(AND(Bittrex!C832="Trade",'Bittrex Data'!C832="Limit_Buy"),F832,"")))))</f>
        <v/>
      </c>
      <c r="J832" t="str">
        <f>IF('Bittrex Data'!B832="","",IF('Bittrex Data'!B832="","",IF(Bittrex!H832=Bittrex!E832,D832,Bittrex!E832)))</f>
        <v/>
      </c>
      <c r="K832" t="str">
        <f>IF('Bittrex Data'!B832="","",IF(Bittrex!I832=Bittrex!G832,Bittrex!F832,Bittrex!G832))</f>
        <v/>
      </c>
    </row>
    <row r="833" spans="3:11" x14ac:dyDescent="0.2">
      <c r="C833" t="str">
        <f>IF('Bittrex Data'!A833="","",IF(AND('Bittrex Data'!C833="LIMIT_SELL",Bittrex!D833="USD"),"Sale",IF(AND('Bittrex Data'!C833="LIMIT_BUY",Bittrex!D833="USD"),"Buy","Trade")))</f>
        <v/>
      </c>
      <c r="D833" t="str">
        <f>IF('Bittrex Data'!B833="","",LEFT(LEFT('Bittrex Data'!B833,SEARCH("-",'Bittrex Data'!B833,1)),LEN(LEFT('Bittrex Data'!B833,SEARCH("-",'Bittrex Data'!B833,1)))-1))</f>
        <v/>
      </c>
      <c r="E833" t="str">
        <f>IF('Bittrex Data'!B833="","",RIGHT(RIGHT('Bittrex Data'!B833,LEN('Bittrex Data'!B833)-SEARCH("-",'Bittrex Data'!B833,1)+1),LEN(RIGHT('Bittrex Data'!B833,LEN('Bittrex Data'!B833)-SEARCH("-",'Bittrex Data'!B833,1)+1))-1))</f>
        <v/>
      </c>
      <c r="F833" t="str">
        <f>IF('Bittrex Data'!C833="","",IF('Bittrex Data'!C833="Limit_Sell",'Bittrex Data'!G833-'Bittrex Data'!F833,IF('Bittrex Data'!C833="Limit_Buy",'Bittrex Data'!G833+'Bittrex Data'!F833,"")))</f>
        <v/>
      </c>
      <c r="G833" t="str">
        <f>IF('Bittrex Data'!B833="","",'Bittrex Data'!D833)</f>
        <v/>
      </c>
      <c r="H833" t="str">
        <f>IF('Bittrex Data'!C833="","",IF(Bittrex!C833="Buy",Bittrex!D833,IF(Bittrex!C833="Sale",Bittrex!E833,IF(AND(Bittrex!C833="Trade",'Bittrex Data'!C833="Limit_Sell"),Bittrex!E833,IF(AND(Bittrex!C833="Trade",'Bittrex Data'!C833="Limit_Buy"),Bittrex!D833,"")))))</f>
        <v/>
      </c>
      <c r="I833" t="str">
        <f>IF('Bittrex Data'!C833="","",IF(Bittrex!C833="Buy",F833,IF(C833="Sale",Bittrex!G833,IF(AND(C833="Trade",'Bittrex Data'!C833="Limit_Sell"),Bittrex!G833,IF(AND(Bittrex!C833="Trade",'Bittrex Data'!C833="Limit_Buy"),F833,"")))))</f>
        <v/>
      </c>
      <c r="J833" t="str">
        <f>IF('Bittrex Data'!B833="","",IF('Bittrex Data'!B833="","",IF(Bittrex!H833=Bittrex!E833,D833,Bittrex!E833)))</f>
        <v/>
      </c>
      <c r="K833" t="str">
        <f>IF('Bittrex Data'!B833="","",IF(Bittrex!I833=Bittrex!G833,Bittrex!F833,Bittrex!G833))</f>
        <v/>
      </c>
    </row>
    <row r="834" spans="3:11" x14ac:dyDescent="0.2">
      <c r="C834" t="str">
        <f>IF('Bittrex Data'!A834="","",IF(AND('Bittrex Data'!C834="LIMIT_SELL",Bittrex!D834="USD"),"Sale",IF(AND('Bittrex Data'!C834="LIMIT_BUY",Bittrex!D834="USD"),"Buy","Trade")))</f>
        <v/>
      </c>
      <c r="D834" t="str">
        <f>IF('Bittrex Data'!B834="","",LEFT(LEFT('Bittrex Data'!B834,SEARCH("-",'Bittrex Data'!B834,1)),LEN(LEFT('Bittrex Data'!B834,SEARCH("-",'Bittrex Data'!B834,1)))-1))</f>
        <v/>
      </c>
      <c r="E834" t="str">
        <f>IF('Bittrex Data'!B834="","",RIGHT(RIGHT('Bittrex Data'!B834,LEN('Bittrex Data'!B834)-SEARCH("-",'Bittrex Data'!B834,1)+1),LEN(RIGHT('Bittrex Data'!B834,LEN('Bittrex Data'!B834)-SEARCH("-",'Bittrex Data'!B834,1)+1))-1))</f>
        <v/>
      </c>
      <c r="F834" t="str">
        <f>IF('Bittrex Data'!C834="","",IF('Bittrex Data'!C834="Limit_Sell",'Bittrex Data'!G834-'Bittrex Data'!F834,IF('Bittrex Data'!C834="Limit_Buy",'Bittrex Data'!G834+'Bittrex Data'!F834,"")))</f>
        <v/>
      </c>
      <c r="G834" t="str">
        <f>IF('Bittrex Data'!B834="","",'Bittrex Data'!D834)</f>
        <v/>
      </c>
      <c r="H834" t="str">
        <f>IF('Bittrex Data'!C834="","",IF(Bittrex!C834="Buy",Bittrex!D834,IF(Bittrex!C834="Sale",Bittrex!E834,IF(AND(Bittrex!C834="Trade",'Bittrex Data'!C834="Limit_Sell"),Bittrex!E834,IF(AND(Bittrex!C834="Trade",'Bittrex Data'!C834="Limit_Buy"),Bittrex!D834,"")))))</f>
        <v/>
      </c>
      <c r="I834" t="str">
        <f>IF('Bittrex Data'!C834="","",IF(Bittrex!C834="Buy",F834,IF(C834="Sale",Bittrex!G834,IF(AND(C834="Trade",'Bittrex Data'!C834="Limit_Sell"),Bittrex!G834,IF(AND(Bittrex!C834="Trade",'Bittrex Data'!C834="Limit_Buy"),F834,"")))))</f>
        <v/>
      </c>
      <c r="J834" t="str">
        <f>IF('Bittrex Data'!B834="","",IF('Bittrex Data'!B834="","",IF(Bittrex!H834=Bittrex!E834,D834,Bittrex!E834)))</f>
        <v/>
      </c>
      <c r="K834" t="str">
        <f>IF('Bittrex Data'!B834="","",IF(Bittrex!I834=Bittrex!G834,Bittrex!F834,Bittrex!G834))</f>
        <v/>
      </c>
    </row>
    <row r="835" spans="3:11" x14ac:dyDescent="0.2">
      <c r="C835" t="str">
        <f>IF('Bittrex Data'!A835="","",IF(AND('Bittrex Data'!C835="LIMIT_SELL",Bittrex!D835="USD"),"Sale",IF(AND('Bittrex Data'!C835="LIMIT_BUY",Bittrex!D835="USD"),"Buy","Trade")))</f>
        <v/>
      </c>
      <c r="D835" t="str">
        <f>IF('Bittrex Data'!B835="","",LEFT(LEFT('Bittrex Data'!B835,SEARCH("-",'Bittrex Data'!B835,1)),LEN(LEFT('Bittrex Data'!B835,SEARCH("-",'Bittrex Data'!B835,1)))-1))</f>
        <v/>
      </c>
      <c r="E835" t="str">
        <f>IF('Bittrex Data'!B835="","",RIGHT(RIGHT('Bittrex Data'!B835,LEN('Bittrex Data'!B835)-SEARCH("-",'Bittrex Data'!B835,1)+1),LEN(RIGHT('Bittrex Data'!B835,LEN('Bittrex Data'!B835)-SEARCH("-",'Bittrex Data'!B835,1)+1))-1))</f>
        <v/>
      </c>
      <c r="F835" t="str">
        <f>IF('Bittrex Data'!C835="","",IF('Bittrex Data'!C835="Limit_Sell",'Bittrex Data'!G835-'Bittrex Data'!F835,IF('Bittrex Data'!C835="Limit_Buy",'Bittrex Data'!G835+'Bittrex Data'!F835,"")))</f>
        <v/>
      </c>
      <c r="G835" t="str">
        <f>IF('Bittrex Data'!B835="","",'Bittrex Data'!D835)</f>
        <v/>
      </c>
      <c r="H835" t="str">
        <f>IF('Bittrex Data'!C835="","",IF(Bittrex!C835="Buy",Bittrex!D835,IF(Bittrex!C835="Sale",Bittrex!E835,IF(AND(Bittrex!C835="Trade",'Bittrex Data'!C835="Limit_Sell"),Bittrex!E835,IF(AND(Bittrex!C835="Trade",'Bittrex Data'!C835="Limit_Buy"),Bittrex!D835,"")))))</f>
        <v/>
      </c>
      <c r="I835" t="str">
        <f>IF('Bittrex Data'!C835="","",IF(Bittrex!C835="Buy",F835,IF(C835="Sale",Bittrex!G835,IF(AND(C835="Trade",'Bittrex Data'!C835="Limit_Sell"),Bittrex!G835,IF(AND(Bittrex!C835="Trade",'Bittrex Data'!C835="Limit_Buy"),F835,"")))))</f>
        <v/>
      </c>
      <c r="J835" t="str">
        <f>IF('Bittrex Data'!B835="","",IF('Bittrex Data'!B835="","",IF(Bittrex!H835=Bittrex!E835,D835,Bittrex!E835)))</f>
        <v/>
      </c>
      <c r="K835" t="str">
        <f>IF('Bittrex Data'!B835="","",IF(Bittrex!I835=Bittrex!G835,Bittrex!F835,Bittrex!G835))</f>
        <v/>
      </c>
    </row>
    <row r="836" spans="3:11" x14ac:dyDescent="0.2">
      <c r="C836" t="str">
        <f>IF('Bittrex Data'!A836="","",IF(AND('Bittrex Data'!C836="LIMIT_SELL",Bittrex!D836="USD"),"Sale",IF(AND('Bittrex Data'!C836="LIMIT_BUY",Bittrex!D836="USD"),"Buy","Trade")))</f>
        <v/>
      </c>
      <c r="D836" t="str">
        <f>IF('Bittrex Data'!B836="","",LEFT(LEFT('Bittrex Data'!B836,SEARCH("-",'Bittrex Data'!B836,1)),LEN(LEFT('Bittrex Data'!B836,SEARCH("-",'Bittrex Data'!B836,1)))-1))</f>
        <v/>
      </c>
      <c r="E836" t="str">
        <f>IF('Bittrex Data'!B836="","",RIGHT(RIGHT('Bittrex Data'!B836,LEN('Bittrex Data'!B836)-SEARCH("-",'Bittrex Data'!B836,1)+1),LEN(RIGHT('Bittrex Data'!B836,LEN('Bittrex Data'!B836)-SEARCH("-",'Bittrex Data'!B836,1)+1))-1))</f>
        <v/>
      </c>
      <c r="F836" t="str">
        <f>IF('Bittrex Data'!C836="","",IF('Bittrex Data'!C836="Limit_Sell",'Bittrex Data'!G836-'Bittrex Data'!F836,IF('Bittrex Data'!C836="Limit_Buy",'Bittrex Data'!G836+'Bittrex Data'!F836,"")))</f>
        <v/>
      </c>
      <c r="G836" t="str">
        <f>IF('Bittrex Data'!B836="","",'Bittrex Data'!D836)</f>
        <v/>
      </c>
      <c r="H836" t="str">
        <f>IF('Bittrex Data'!C836="","",IF(Bittrex!C836="Buy",Bittrex!D836,IF(Bittrex!C836="Sale",Bittrex!E836,IF(AND(Bittrex!C836="Trade",'Bittrex Data'!C836="Limit_Sell"),Bittrex!E836,IF(AND(Bittrex!C836="Trade",'Bittrex Data'!C836="Limit_Buy"),Bittrex!D836,"")))))</f>
        <v/>
      </c>
      <c r="I836" t="str">
        <f>IF('Bittrex Data'!C836="","",IF(Bittrex!C836="Buy",F836,IF(C836="Sale",Bittrex!G836,IF(AND(C836="Trade",'Bittrex Data'!C836="Limit_Sell"),Bittrex!G836,IF(AND(Bittrex!C836="Trade",'Bittrex Data'!C836="Limit_Buy"),F836,"")))))</f>
        <v/>
      </c>
      <c r="J836" t="str">
        <f>IF('Bittrex Data'!B836="","",IF('Bittrex Data'!B836="","",IF(Bittrex!H836=Bittrex!E836,D836,Bittrex!E836)))</f>
        <v/>
      </c>
      <c r="K836" t="str">
        <f>IF('Bittrex Data'!B836="","",IF(Bittrex!I836=Bittrex!G836,Bittrex!F836,Bittrex!G836))</f>
        <v/>
      </c>
    </row>
    <row r="837" spans="3:11" x14ac:dyDescent="0.2">
      <c r="C837" t="str">
        <f>IF('Bittrex Data'!A837="","",IF(AND('Bittrex Data'!C837="LIMIT_SELL",Bittrex!D837="USD"),"Sale",IF(AND('Bittrex Data'!C837="LIMIT_BUY",Bittrex!D837="USD"),"Buy","Trade")))</f>
        <v/>
      </c>
      <c r="D837" t="str">
        <f>IF('Bittrex Data'!B837="","",LEFT(LEFT('Bittrex Data'!B837,SEARCH("-",'Bittrex Data'!B837,1)),LEN(LEFT('Bittrex Data'!B837,SEARCH("-",'Bittrex Data'!B837,1)))-1))</f>
        <v/>
      </c>
      <c r="E837" t="str">
        <f>IF('Bittrex Data'!B837="","",RIGHT(RIGHT('Bittrex Data'!B837,LEN('Bittrex Data'!B837)-SEARCH("-",'Bittrex Data'!B837,1)+1),LEN(RIGHT('Bittrex Data'!B837,LEN('Bittrex Data'!B837)-SEARCH("-",'Bittrex Data'!B837,1)+1))-1))</f>
        <v/>
      </c>
      <c r="F837" t="str">
        <f>IF('Bittrex Data'!C837="","",IF('Bittrex Data'!C837="Limit_Sell",'Bittrex Data'!G837-'Bittrex Data'!F837,IF('Bittrex Data'!C837="Limit_Buy",'Bittrex Data'!G837+'Bittrex Data'!F837,"")))</f>
        <v/>
      </c>
      <c r="G837" t="str">
        <f>IF('Bittrex Data'!B837="","",'Bittrex Data'!D837)</f>
        <v/>
      </c>
      <c r="H837" t="str">
        <f>IF('Bittrex Data'!C837="","",IF(Bittrex!C837="Buy",Bittrex!D837,IF(Bittrex!C837="Sale",Bittrex!E837,IF(AND(Bittrex!C837="Trade",'Bittrex Data'!C837="Limit_Sell"),Bittrex!E837,IF(AND(Bittrex!C837="Trade",'Bittrex Data'!C837="Limit_Buy"),Bittrex!D837,"")))))</f>
        <v/>
      </c>
      <c r="I837" t="str">
        <f>IF('Bittrex Data'!C837="","",IF(Bittrex!C837="Buy",F837,IF(C837="Sale",Bittrex!G837,IF(AND(C837="Trade",'Bittrex Data'!C837="Limit_Sell"),Bittrex!G837,IF(AND(Bittrex!C837="Trade",'Bittrex Data'!C837="Limit_Buy"),F837,"")))))</f>
        <v/>
      </c>
      <c r="J837" t="str">
        <f>IF('Bittrex Data'!B837="","",IF('Bittrex Data'!B837="","",IF(Bittrex!H837=Bittrex!E837,D837,Bittrex!E837)))</f>
        <v/>
      </c>
      <c r="K837" t="str">
        <f>IF('Bittrex Data'!B837="","",IF(Bittrex!I837=Bittrex!G837,Bittrex!F837,Bittrex!G837))</f>
        <v/>
      </c>
    </row>
    <row r="838" spans="3:11" x14ac:dyDescent="0.2">
      <c r="C838" t="str">
        <f>IF('Bittrex Data'!A838="","",IF(AND('Bittrex Data'!C838="LIMIT_SELL",Bittrex!D838="USD"),"Sale",IF(AND('Bittrex Data'!C838="LIMIT_BUY",Bittrex!D838="USD"),"Buy","Trade")))</f>
        <v/>
      </c>
      <c r="D838" t="str">
        <f>IF('Bittrex Data'!B838="","",LEFT(LEFT('Bittrex Data'!B838,SEARCH("-",'Bittrex Data'!B838,1)),LEN(LEFT('Bittrex Data'!B838,SEARCH("-",'Bittrex Data'!B838,1)))-1))</f>
        <v/>
      </c>
      <c r="E838" t="str">
        <f>IF('Bittrex Data'!B838="","",RIGHT(RIGHT('Bittrex Data'!B838,LEN('Bittrex Data'!B838)-SEARCH("-",'Bittrex Data'!B838,1)+1),LEN(RIGHT('Bittrex Data'!B838,LEN('Bittrex Data'!B838)-SEARCH("-",'Bittrex Data'!B838,1)+1))-1))</f>
        <v/>
      </c>
      <c r="F838" t="str">
        <f>IF('Bittrex Data'!C838="","",IF('Bittrex Data'!C838="Limit_Sell",'Bittrex Data'!G838-'Bittrex Data'!F838,IF('Bittrex Data'!C838="Limit_Buy",'Bittrex Data'!G838+'Bittrex Data'!F838,"")))</f>
        <v/>
      </c>
      <c r="G838" t="str">
        <f>IF('Bittrex Data'!B838="","",'Bittrex Data'!D838)</f>
        <v/>
      </c>
      <c r="H838" t="str">
        <f>IF('Bittrex Data'!C838="","",IF(Bittrex!C838="Buy",Bittrex!D838,IF(Bittrex!C838="Sale",Bittrex!E838,IF(AND(Bittrex!C838="Trade",'Bittrex Data'!C838="Limit_Sell"),Bittrex!E838,IF(AND(Bittrex!C838="Trade",'Bittrex Data'!C838="Limit_Buy"),Bittrex!D838,"")))))</f>
        <v/>
      </c>
      <c r="I838" t="str">
        <f>IF('Bittrex Data'!C838="","",IF(Bittrex!C838="Buy",F838,IF(C838="Sale",Bittrex!G838,IF(AND(C838="Trade",'Bittrex Data'!C838="Limit_Sell"),Bittrex!G838,IF(AND(Bittrex!C838="Trade",'Bittrex Data'!C838="Limit_Buy"),F838,"")))))</f>
        <v/>
      </c>
      <c r="J838" t="str">
        <f>IF('Bittrex Data'!B838="","",IF('Bittrex Data'!B838="","",IF(Bittrex!H838=Bittrex!E838,D838,Bittrex!E838)))</f>
        <v/>
      </c>
      <c r="K838" t="str">
        <f>IF('Bittrex Data'!B838="","",IF(Bittrex!I838=Bittrex!G838,Bittrex!F838,Bittrex!G838))</f>
        <v/>
      </c>
    </row>
    <row r="839" spans="3:11" x14ac:dyDescent="0.2">
      <c r="C839" t="str">
        <f>IF('Bittrex Data'!A839="","",IF(AND('Bittrex Data'!C839="LIMIT_SELL",Bittrex!D839="USD"),"Sale",IF(AND('Bittrex Data'!C839="LIMIT_BUY",Bittrex!D839="USD"),"Buy","Trade")))</f>
        <v/>
      </c>
      <c r="D839" t="str">
        <f>IF('Bittrex Data'!B839="","",LEFT(LEFT('Bittrex Data'!B839,SEARCH("-",'Bittrex Data'!B839,1)),LEN(LEFT('Bittrex Data'!B839,SEARCH("-",'Bittrex Data'!B839,1)))-1))</f>
        <v/>
      </c>
      <c r="E839" t="str">
        <f>IF('Bittrex Data'!B839="","",RIGHT(RIGHT('Bittrex Data'!B839,LEN('Bittrex Data'!B839)-SEARCH("-",'Bittrex Data'!B839,1)+1),LEN(RIGHT('Bittrex Data'!B839,LEN('Bittrex Data'!B839)-SEARCH("-",'Bittrex Data'!B839,1)+1))-1))</f>
        <v/>
      </c>
      <c r="F839" t="str">
        <f>IF('Bittrex Data'!C839="","",IF('Bittrex Data'!C839="Limit_Sell",'Bittrex Data'!G839-'Bittrex Data'!F839,IF('Bittrex Data'!C839="Limit_Buy",'Bittrex Data'!G839+'Bittrex Data'!F839,"")))</f>
        <v/>
      </c>
      <c r="G839" t="str">
        <f>IF('Bittrex Data'!B839="","",'Bittrex Data'!D839)</f>
        <v/>
      </c>
      <c r="H839" t="str">
        <f>IF('Bittrex Data'!C839="","",IF(Bittrex!C839="Buy",Bittrex!D839,IF(Bittrex!C839="Sale",Bittrex!E839,IF(AND(Bittrex!C839="Trade",'Bittrex Data'!C839="Limit_Sell"),Bittrex!E839,IF(AND(Bittrex!C839="Trade",'Bittrex Data'!C839="Limit_Buy"),Bittrex!D839,"")))))</f>
        <v/>
      </c>
      <c r="I839" t="str">
        <f>IF('Bittrex Data'!C839="","",IF(Bittrex!C839="Buy",F839,IF(C839="Sale",Bittrex!G839,IF(AND(C839="Trade",'Bittrex Data'!C839="Limit_Sell"),Bittrex!G839,IF(AND(Bittrex!C839="Trade",'Bittrex Data'!C839="Limit_Buy"),F839,"")))))</f>
        <v/>
      </c>
      <c r="J839" t="str">
        <f>IF('Bittrex Data'!B839="","",IF('Bittrex Data'!B839="","",IF(Bittrex!H839=Bittrex!E839,D839,Bittrex!E839)))</f>
        <v/>
      </c>
      <c r="K839" t="str">
        <f>IF('Bittrex Data'!B839="","",IF(Bittrex!I839=Bittrex!G839,Bittrex!F839,Bittrex!G839))</f>
        <v/>
      </c>
    </row>
    <row r="840" spans="3:11" x14ac:dyDescent="0.2">
      <c r="C840" t="str">
        <f>IF('Bittrex Data'!A840="","",IF(AND('Bittrex Data'!C840="LIMIT_SELL",Bittrex!D840="USD"),"Sale",IF(AND('Bittrex Data'!C840="LIMIT_BUY",Bittrex!D840="USD"),"Buy","Trade")))</f>
        <v/>
      </c>
      <c r="D840" t="str">
        <f>IF('Bittrex Data'!B840="","",LEFT(LEFT('Bittrex Data'!B840,SEARCH("-",'Bittrex Data'!B840,1)),LEN(LEFT('Bittrex Data'!B840,SEARCH("-",'Bittrex Data'!B840,1)))-1))</f>
        <v/>
      </c>
      <c r="E840" t="str">
        <f>IF('Bittrex Data'!B840="","",RIGHT(RIGHT('Bittrex Data'!B840,LEN('Bittrex Data'!B840)-SEARCH("-",'Bittrex Data'!B840,1)+1),LEN(RIGHT('Bittrex Data'!B840,LEN('Bittrex Data'!B840)-SEARCH("-",'Bittrex Data'!B840,1)+1))-1))</f>
        <v/>
      </c>
      <c r="F840" t="str">
        <f>IF('Bittrex Data'!C840="","",IF('Bittrex Data'!C840="Limit_Sell",'Bittrex Data'!G840-'Bittrex Data'!F840,IF('Bittrex Data'!C840="Limit_Buy",'Bittrex Data'!G840+'Bittrex Data'!F840,"")))</f>
        <v/>
      </c>
      <c r="G840" t="str">
        <f>IF('Bittrex Data'!B840="","",'Bittrex Data'!D840)</f>
        <v/>
      </c>
      <c r="H840" t="str">
        <f>IF('Bittrex Data'!C840="","",IF(Bittrex!C840="Buy",Bittrex!D840,IF(Bittrex!C840="Sale",Bittrex!E840,IF(AND(Bittrex!C840="Trade",'Bittrex Data'!C840="Limit_Sell"),Bittrex!E840,IF(AND(Bittrex!C840="Trade",'Bittrex Data'!C840="Limit_Buy"),Bittrex!D840,"")))))</f>
        <v/>
      </c>
      <c r="I840" t="str">
        <f>IF('Bittrex Data'!C840="","",IF(Bittrex!C840="Buy",F840,IF(C840="Sale",Bittrex!G840,IF(AND(C840="Trade",'Bittrex Data'!C840="Limit_Sell"),Bittrex!G840,IF(AND(Bittrex!C840="Trade",'Bittrex Data'!C840="Limit_Buy"),F840,"")))))</f>
        <v/>
      </c>
      <c r="J840" t="str">
        <f>IF('Bittrex Data'!B840="","",IF('Bittrex Data'!B840="","",IF(Bittrex!H840=Bittrex!E840,D840,Bittrex!E840)))</f>
        <v/>
      </c>
      <c r="K840" t="str">
        <f>IF('Bittrex Data'!B840="","",IF(Bittrex!I840=Bittrex!G840,Bittrex!F840,Bittrex!G840))</f>
        <v/>
      </c>
    </row>
    <row r="841" spans="3:11" x14ac:dyDescent="0.2">
      <c r="C841" t="str">
        <f>IF('Bittrex Data'!A841="","",IF(AND('Bittrex Data'!C841="LIMIT_SELL",Bittrex!D841="USD"),"Sale",IF(AND('Bittrex Data'!C841="LIMIT_BUY",Bittrex!D841="USD"),"Buy","Trade")))</f>
        <v/>
      </c>
      <c r="D841" t="str">
        <f>IF('Bittrex Data'!B841="","",LEFT(LEFT('Bittrex Data'!B841,SEARCH("-",'Bittrex Data'!B841,1)),LEN(LEFT('Bittrex Data'!B841,SEARCH("-",'Bittrex Data'!B841,1)))-1))</f>
        <v/>
      </c>
      <c r="E841" t="str">
        <f>IF('Bittrex Data'!B841="","",RIGHT(RIGHT('Bittrex Data'!B841,LEN('Bittrex Data'!B841)-SEARCH("-",'Bittrex Data'!B841,1)+1),LEN(RIGHT('Bittrex Data'!B841,LEN('Bittrex Data'!B841)-SEARCH("-",'Bittrex Data'!B841,1)+1))-1))</f>
        <v/>
      </c>
      <c r="F841" t="str">
        <f>IF('Bittrex Data'!C841="","",IF('Bittrex Data'!C841="Limit_Sell",'Bittrex Data'!G841-'Bittrex Data'!F841,IF('Bittrex Data'!C841="Limit_Buy",'Bittrex Data'!G841+'Bittrex Data'!F841,"")))</f>
        <v/>
      </c>
      <c r="G841" t="str">
        <f>IF('Bittrex Data'!B841="","",'Bittrex Data'!D841)</f>
        <v/>
      </c>
      <c r="H841" t="str">
        <f>IF('Bittrex Data'!C841="","",IF(Bittrex!C841="Buy",Bittrex!D841,IF(Bittrex!C841="Sale",Bittrex!E841,IF(AND(Bittrex!C841="Trade",'Bittrex Data'!C841="Limit_Sell"),Bittrex!E841,IF(AND(Bittrex!C841="Trade",'Bittrex Data'!C841="Limit_Buy"),Bittrex!D841,"")))))</f>
        <v/>
      </c>
      <c r="I841" t="str">
        <f>IF('Bittrex Data'!C841="","",IF(Bittrex!C841="Buy",F841,IF(C841="Sale",Bittrex!G841,IF(AND(C841="Trade",'Bittrex Data'!C841="Limit_Sell"),Bittrex!G841,IF(AND(Bittrex!C841="Trade",'Bittrex Data'!C841="Limit_Buy"),F841,"")))))</f>
        <v/>
      </c>
      <c r="J841" t="str">
        <f>IF('Bittrex Data'!B841="","",IF('Bittrex Data'!B841="","",IF(Bittrex!H841=Bittrex!E841,D841,Bittrex!E841)))</f>
        <v/>
      </c>
      <c r="K841" t="str">
        <f>IF('Bittrex Data'!B841="","",IF(Bittrex!I841=Bittrex!G841,Bittrex!F841,Bittrex!G841))</f>
        <v/>
      </c>
    </row>
    <row r="842" spans="3:11" x14ac:dyDescent="0.2">
      <c r="C842" t="str">
        <f>IF('Bittrex Data'!A842="","",IF(AND('Bittrex Data'!C842="LIMIT_SELL",Bittrex!D842="USD"),"Sale",IF(AND('Bittrex Data'!C842="LIMIT_BUY",Bittrex!D842="USD"),"Buy","Trade")))</f>
        <v/>
      </c>
      <c r="D842" t="str">
        <f>IF('Bittrex Data'!B842="","",LEFT(LEFT('Bittrex Data'!B842,SEARCH("-",'Bittrex Data'!B842,1)),LEN(LEFT('Bittrex Data'!B842,SEARCH("-",'Bittrex Data'!B842,1)))-1))</f>
        <v/>
      </c>
      <c r="E842" t="str">
        <f>IF('Bittrex Data'!B842="","",RIGHT(RIGHT('Bittrex Data'!B842,LEN('Bittrex Data'!B842)-SEARCH("-",'Bittrex Data'!B842,1)+1),LEN(RIGHT('Bittrex Data'!B842,LEN('Bittrex Data'!B842)-SEARCH("-",'Bittrex Data'!B842,1)+1))-1))</f>
        <v/>
      </c>
      <c r="F842" t="str">
        <f>IF('Bittrex Data'!C842="","",IF('Bittrex Data'!C842="Limit_Sell",'Bittrex Data'!G842-'Bittrex Data'!F842,IF('Bittrex Data'!C842="Limit_Buy",'Bittrex Data'!G842+'Bittrex Data'!F842,"")))</f>
        <v/>
      </c>
      <c r="G842" t="str">
        <f>IF('Bittrex Data'!B842="","",'Bittrex Data'!D842)</f>
        <v/>
      </c>
      <c r="H842" t="str">
        <f>IF('Bittrex Data'!C842="","",IF(Bittrex!C842="Buy",Bittrex!D842,IF(Bittrex!C842="Sale",Bittrex!E842,IF(AND(Bittrex!C842="Trade",'Bittrex Data'!C842="Limit_Sell"),Bittrex!E842,IF(AND(Bittrex!C842="Trade",'Bittrex Data'!C842="Limit_Buy"),Bittrex!D842,"")))))</f>
        <v/>
      </c>
      <c r="I842" t="str">
        <f>IF('Bittrex Data'!C842="","",IF(Bittrex!C842="Buy",F842,IF(C842="Sale",Bittrex!G842,IF(AND(C842="Trade",'Bittrex Data'!C842="Limit_Sell"),Bittrex!G842,IF(AND(Bittrex!C842="Trade",'Bittrex Data'!C842="Limit_Buy"),F842,"")))))</f>
        <v/>
      </c>
      <c r="J842" t="str">
        <f>IF('Bittrex Data'!B842="","",IF('Bittrex Data'!B842="","",IF(Bittrex!H842=Bittrex!E842,D842,Bittrex!E842)))</f>
        <v/>
      </c>
      <c r="K842" t="str">
        <f>IF('Bittrex Data'!B842="","",IF(Bittrex!I842=Bittrex!G842,Bittrex!F842,Bittrex!G842))</f>
        <v/>
      </c>
    </row>
    <row r="843" spans="3:11" x14ac:dyDescent="0.2">
      <c r="C843" t="str">
        <f>IF('Bittrex Data'!A843="","",IF(AND('Bittrex Data'!C843="LIMIT_SELL",Bittrex!D843="USD"),"Sale",IF(AND('Bittrex Data'!C843="LIMIT_BUY",Bittrex!D843="USD"),"Buy","Trade")))</f>
        <v/>
      </c>
      <c r="D843" t="str">
        <f>IF('Bittrex Data'!B843="","",LEFT(LEFT('Bittrex Data'!B843,SEARCH("-",'Bittrex Data'!B843,1)),LEN(LEFT('Bittrex Data'!B843,SEARCH("-",'Bittrex Data'!B843,1)))-1))</f>
        <v/>
      </c>
      <c r="E843" t="str">
        <f>IF('Bittrex Data'!B843="","",RIGHT(RIGHT('Bittrex Data'!B843,LEN('Bittrex Data'!B843)-SEARCH("-",'Bittrex Data'!B843,1)+1),LEN(RIGHT('Bittrex Data'!B843,LEN('Bittrex Data'!B843)-SEARCH("-",'Bittrex Data'!B843,1)+1))-1))</f>
        <v/>
      </c>
      <c r="F843" t="str">
        <f>IF('Bittrex Data'!C843="","",IF('Bittrex Data'!C843="Limit_Sell",'Bittrex Data'!G843-'Bittrex Data'!F843,IF('Bittrex Data'!C843="Limit_Buy",'Bittrex Data'!G843+'Bittrex Data'!F843,"")))</f>
        <v/>
      </c>
      <c r="G843" t="str">
        <f>IF('Bittrex Data'!B843="","",'Bittrex Data'!D843)</f>
        <v/>
      </c>
      <c r="H843" t="str">
        <f>IF('Bittrex Data'!C843="","",IF(Bittrex!C843="Buy",Bittrex!D843,IF(Bittrex!C843="Sale",Bittrex!E843,IF(AND(Bittrex!C843="Trade",'Bittrex Data'!C843="Limit_Sell"),Bittrex!E843,IF(AND(Bittrex!C843="Trade",'Bittrex Data'!C843="Limit_Buy"),Bittrex!D843,"")))))</f>
        <v/>
      </c>
      <c r="I843" t="str">
        <f>IF('Bittrex Data'!C843="","",IF(Bittrex!C843="Buy",F843,IF(C843="Sale",Bittrex!G843,IF(AND(C843="Trade",'Bittrex Data'!C843="Limit_Sell"),Bittrex!G843,IF(AND(Bittrex!C843="Trade",'Bittrex Data'!C843="Limit_Buy"),F843,"")))))</f>
        <v/>
      </c>
      <c r="J843" t="str">
        <f>IF('Bittrex Data'!B843="","",IF('Bittrex Data'!B843="","",IF(Bittrex!H843=Bittrex!E843,D843,Bittrex!E843)))</f>
        <v/>
      </c>
      <c r="K843" t="str">
        <f>IF('Bittrex Data'!B843="","",IF(Bittrex!I843=Bittrex!G843,Bittrex!F843,Bittrex!G843))</f>
        <v/>
      </c>
    </row>
    <row r="844" spans="3:11" x14ac:dyDescent="0.2">
      <c r="C844" t="str">
        <f>IF('Bittrex Data'!A844="","",IF(AND('Bittrex Data'!C844="LIMIT_SELL",Bittrex!D844="USD"),"Sale",IF(AND('Bittrex Data'!C844="LIMIT_BUY",Bittrex!D844="USD"),"Buy","Trade")))</f>
        <v/>
      </c>
      <c r="D844" t="str">
        <f>IF('Bittrex Data'!B844="","",LEFT(LEFT('Bittrex Data'!B844,SEARCH("-",'Bittrex Data'!B844,1)),LEN(LEFT('Bittrex Data'!B844,SEARCH("-",'Bittrex Data'!B844,1)))-1))</f>
        <v/>
      </c>
      <c r="E844" t="str">
        <f>IF('Bittrex Data'!B844="","",RIGHT(RIGHT('Bittrex Data'!B844,LEN('Bittrex Data'!B844)-SEARCH("-",'Bittrex Data'!B844,1)+1),LEN(RIGHT('Bittrex Data'!B844,LEN('Bittrex Data'!B844)-SEARCH("-",'Bittrex Data'!B844,1)+1))-1))</f>
        <v/>
      </c>
      <c r="F844" t="str">
        <f>IF('Bittrex Data'!C844="","",IF('Bittrex Data'!C844="Limit_Sell",'Bittrex Data'!G844-'Bittrex Data'!F844,IF('Bittrex Data'!C844="Limit_Buy",'Bittrex Data'!G844+'Bittrex Data'!F844,"")))</f>
        <v/>
      </c>
      <c r="G844" t="str">
        <f>IF('Bittrex Data'!B844="","",'Bittrex Data'!D844)</f>
        <v/>
      </c>
      <c r="H844" t="str">
        <f>IF('Bittrex Data'!C844="","",IF(Bittrex!C844="Buy",Bittrex!D844,IF(Bittrex!C844="Sale",Bittrex!E844,IF(AND(Bittrex!C844="Trade",'Bittrex Data'!C844="Limit_Sell"),Bittrex!E844,IF(AND(Bittrex!C844="Trade",'Bittrex Data'!C844="Limit_Buy"),Bittrex!D844,"")))))</f>
        <v/>
      </c>
      <c r="I844" t="str">
        <f>IF('Bittrex Data'!C844="","",IF(Bittrex!C844="Buy",F844,IF(C844="Sale",Bittrex!G844,IF(AND(C844="Trade",'Bittrex Data'!C844="Limit_Sell"),Bittrex!G844,IF(AND(Bittrex!C844="Trade",'Bittrex Data'!C844="Limit_Buy"),F844,"")))))</f>
        <v/>
      </c>
      <c r="J844" t="str">
        <f>IF('Bittrex Data'!B844="","",IF('Bittrex Data'!B844="","",IF(Bittrex!H844=Bittrex!E844,D844,Bittrex!E844)))</f>
        <v/>
      </c>
      <c r="K844" t="str">
        <f>IF('Bittrex Data'!B844="","",IF(Bittrex!I844=Bittrex!G844,Bittrex!F844,Bittrex!G844))</f>
        <v/>
      </c>
    </row>
    <row r="845" spans="3:11" x14ac:dyDescent="0.2">
      <c r="C845" t="str">
        <f>IF('Bittrex Data'!A845="","",IF(AND('Bittrex Data'!C845="LIMIT_SELL",Bittrex!D845="USD"),"Sale",IF(AND('Bittrex Data'!C845="LIMIT_BUY",Bittrex!D845="USD"),"Buy","Trade")))</f>
        <v/>
      </c>
      <c r="D845" t="str">
        <f>IF('Bittrex Data'!B845="","",LEFT(LEFT('Bittrex Data'!B845,SEARCH("-",'Bittrex Data'!B845,1)),LEN(LEFT('Bittrex Data'!B845,SEARCH("-",'Bittrex Data'!B845,1)))-1))</f>
        <v/>
      </c>
      <c r="E845" t="str">
        <f>IF('Bittrex Data'!B845="","",RIGHT(RIGHT('Bittrex Data'!B845,LEN('Bittrex Data'!B845)-SEARCH("-",'Bittrex Data'!B845,1)+1),LEN(RIGHT('Bittrex Data'!B845,LEN('Bittrex Data'!B845)-SEARCH("-",'Bittrex Data'!B845,1)+1))-1))</f>
        <v/>
      </c>
      <c r="F845" t="str">
        <f>IF('Bittrex Data'!C845="","",IF('Bittrex Data'!C845="Limit_Sell",'Bittrex Data'!G845-'Bittrex Data'!F845,IF('Bittrex Data'!C845="Limit_Buy",'Bittrex Data'!G845+'Bittrex Data'!F845,"")))</f>
        <v/>
      </c>
      <c r="G845" t="str">
        <f>IF('Bittrex Data'!B845="","",'Bittrex Data'!D845)</f>
        <v/>
      </c>
      <c r="H845" t="str">
        <f>IF('Bittrex Data'!C845="","",IF(Bittrex!C845="Buy",Bittrex!D845,IF(Bittrex!C845="Sale",Bittrex!E845,IF(AND(Bittrex!C845="Trade",'Bittrex Data'!C845="Limit_Sell"),Bittrex!E845,IF(AND(Bittrex!C845="Trade",'Bittrex Data'!C845="Limit_Buy"),Bittrex!D845,"")))))</f>
        <v/>
      </c>
      <c r="I845" t="str">
        <f>IF('Bittrex Data'!C845="","",IF(Bittrex!C845="Buy",F845,IF(C845="Sale",Bittrex!G845,IF(AND(C845="Trade",'Bittrex Data'!C845="Limit_Sell"),Bittrex!G845,IF(AND(Bittrex!C845="Trade",'Bittrex Data'!C845="Limit_Buy"),F845,"")))))</f>
        <v/>
      </c>
      <c r="J845" t="str">
        <f>IF('Bittrex Data'!B845="","",IF('Bittrex Data'!B845="","",IF(Bittrex!H845=Bittrex!E845,D845,Bittrex!E845)))</f>
        <v/>
      </c>
      <c r="K845" t="str">
        <f>IF('Bittrex Data'!B845="","",IF(Bittrex!I845=Bittrex!G845,Bittrex!F845,Bittrex!G845))</f>
        <v/>
      </c>
    </row>
    <row r="846" spans="3:11" x14ac:dyDescent="0.2">
      <c r="C846" t="str">
        <f>IF('Bittrex Data'!A846="","",IF(AND('Bittrex Data'!C846="LIMIT_SELL",Bittrex!D846="USD"),"Sale",IF(AND('Bittrex Data'!C846="LIMIT_BUY",Bittrex!D846="USD"),"Buy","Trade")))</f>
        <v/>
      </c>
      <c r="D846" t="str">
        <f>IF('Bittrex Data'!B846="","",LEFT(LEFT('Bittrex Data'!B846,SEARCH("-",'Bittrex Data'!B846,1)),LEN(LEFT('Bittrex Data'!B846,SEARCH("-",'Bittrex Data'!B846,1)))-1))</f>
        <v/>
      </c>
      <c r="E846" t="str">
        <f>IF('Bittrex Data'!B846="","",RIGHT(RIGHT('Bittrex Data'!B846,LEN('Bittrex Data'!B846)-SEARCH("-",'Bittrex Data'!B846,1)+1),LEN(RIGHT('Bittrex Data'!B846,LEN('Bittrex Data'!B846)-SEARCH("-",'Bittrex Data'!B846,1)+1))-1))</f>
        <v/>
      </c>
      <c r="F846" t="str">
        <f>IF('Bittrex Data'!C846="","",IF('Bittrex Data'!C846="Limit_Sell",'Bittrex Data'!G846-'Bittrex Data'!F846,IF('Bittrex Data'!C846="Limit_Buy",'Bittrex Data'!G846+'Bittrex Data'!F846,"")))</f>
        <v/>
      </c>
      <c r="G846" t="str">
        <f>IF('Bittrex Data'!B846="","",'Bittrex Data'!D846)</f>
        <v/>
      </c>
      <c r="H846" t="str">
        <f>IF('Bittrex Data'!C846="","",IF(Bittrex!C846="Buy",Bittrex!D846,IF(Bittrex!C846="Sale",Bittrex!E846,IF(AND(Bittrex!C846="Trade",'Bittrex Data'!C846="Limit_Sell"),Bittrex!E846,IF(AND(Bittrex!C846="Trade",'Bittrex Data'!C846="Limit_Buy"),Bittrex!D846,"")))))</f>
        <v/>
      </c>
      <c r="I846" t="str">
        <f>IF('Bittrex Data'!C846="","",IF(Bittrex!C846="Buy",F846,IF(C846="Sale",Bittrex!G846,IF(AND(C846="Trade",'Bittrex Data'!C846="Limit_Sell"),Bittrex!G846,IF(AND(Bittrex!C846="Trade",'Bittrex Data'!C846="Limit_Buy"),F846,"")))))</f>
        <v/>
      </c>
      <c r="J846" t="str">
        <f>IF('Bittrex Data'!B846="","",IF('Bittrex Data'!B846="","",IF(Bittrex!H846=Bittrex!E846,D846,Bittrex!E846)))</f>
        <v/>
      </c>
      <c r="K846" t="str">
        <f>IF('Bittrex Data'!B846="","",IF(Bittrex!I846=Bittrex!G846,Bittrex!F846,Bittrex!G846))</f>
        <v/>
      </c>
    </row>
    <row r="847" spans="3:11" x14ac:dyDescent="0.2">
      <c r="C847" t="str">
        <f>IF('Bittrex Data'!A847="","",IF(AND('Bittrex Data'!C847="LIMIT_SELL",Bittrex!D847="USD"),"Sale",IF(AND('Bittrex Data'!C847="LIMIT_BUY",Bittrex!D847="USD"),"Buy","Trade")))</f>
        <v/>
      </c>
      <c r="D847" t="str">
        <f>IF('Bittrex Data'!B847="","",LEFT(LEFT('Bittrex Data'!B847,SEARCH("-",'Bittrex Data'!B847,1)),LEN(LEFT('Bittrex Data'!B847,SEARCH("-",'Bittrex Data'!B847,1)))-1))</f>
        <v/>
      </c>
      <c r="E847" t="str">
        <f>IF('Bittrex Data'!B847="","",RIGHT(RIGHT('Bittrex Data'!B847,LEN('Bittrex Data'!B847)-SEARCH("-",'Bittrex Data'!B847,1)+1),LEN(RIGHT('Bittrex Data'!B847,LEN('Bittrex Data'!B847)-SEARCH("-",'Bittrex Data'!B847,1)+1))-1))</f>
        <v/>
      </c>
      <c r="F847" t="str">
        <f>IF('Bittrex Data'!C847="","",IF('Bittrex Data'!C847="Limit_Sell",'Bittrex Data'!G847-'Bittrex Data'!F847,IF('Bittrex Data'!C847="Limit_Buy",'Bittrex Data'!G847+'Bittrex Data'!F847,"")))</f>
        <v/>
      </c>
      <c r="G847" t="str">
        <f>IF('Bittrex Data'!B847="","",'Bittrex Data'!D847)</f>
        <v/>
      </c>
      <c r="H847" t="str">
        <f>IF('Bittrex Data'!C847="","",IF(Bittrex!C847="Buy",Bittrex!D847,IF(Bittrex!C847="Sale",Bittrex!E847,IF(AND(Bittrex!C847="Trade",'Bittrex Data'!C847="Limit_Sell"),Bittrex!E847,IF(AND(Bittrex!C847="Trade",'Bittrex Data'!C847="Limit_Buy"),Bittrex!D847,"")))))</f>
        <v/>
      </c>
      <c r="I847" t="str">
        <f>IF('Bittrex Data'!C847="","",IF(Bittrex!C847="Buy",F847,IF(C847="Sale",Bittrex!G847,IF(AND(C847="Trade",'Bittrex Data'!C847="Limit_Sell"),Bittrex!G847,IF(AND(Bittrex!C847="Trade",'Bittrex Data'!C847="Limit_Buy"),F847,"")))))</f>
        <v/>
      </c>
      <c r="J847" t="str">
        <f>IF('Bittrex Data'!B847="","",IF('Bittrex Data'!B847="","",IF(Bittrex!H847=Bittrex!E847,D847,Bittrex!E847)))</f>
        <v/>
      </c>
      <c r="K847" t="str">
        <f>IF('Bittrex Data'!B847="","",IF(Bittrex!I847=Bittrex!G847,Bittrex!F847,Bittrex!G847))</f>
        <v/>
      </c>
    </row>
    <row r="848" spans="3:11" x14ac:dyDescent="0.2">
      <c r="C848" t="str">
        <f>IF('Bittrex Data'!A848="","",IF(AND('Bittrex Data'!C848="LIMIT_SELL",Bittrex!D848="USD"),"Sale",IF(AND('Bittrex Data'!C848="LIMIT_BUY",Bittrex!D848="USD"),"Buy","Trade")))</f>
        <v/>
      </c>
      <c r="D848" t="str">
        <f>IF('Bittrex Data'!B848="","",LEFT(LEFT('Bittrex Data'!B848,SEARCH("-",'Bittrex Data'!B848,1)),LEN(LEFT('Bittrex Data'!B848,SEARCH("-",'Bittrex Data'!B848,1)))-1))</f>
        <v/>
      </c>
      <c r="E848" t="str">
        <f>IF('Bittrex Data'!B848="","",RIGHT(RIGHT('Bittrex Data'!B848,LEN('Bittrex Data'!B848)-SEARCH("-",'Bittrex Data'!B848,1)+1),LEN(RIGHT('Bittrex Data'!B848,LEN('Bittrex Data'!B848)-SEARCH("-",'Bittrex Data'!B848,1)+1))-1))</f>
        <v/>
      </c>
      <c r="F848" t="str">
        <f>IF('Bittrex Data'!C848="","",IF('Bittrex Data'!C848="Limit_Sell",'Bittrex Data'!G848-'Bittrex Data'!F848,IF('Bittrex Data'!C848="Limit_Buy",'Bittrex Data'!G848+'Bittrex Data'!F848,"")))</f>
        <v/>
      </c>
      <c r="G848" t="str">
        <f>IF('Bittrex Data'!B848="","",'Bittrex Data'!D848)</f>
        <v/>
      </c>
      <c r="H848" t="str">
        <f>IF('Bittrex Data'!C848="","",IF(Bittrex!C848="Buy",Bittrex!D848,IF(Bittrex!C848="Sale",Bittrex!E848,IF(AND(Bittrex!C848="Trade",'Bittrex Data'!C848="Limit_Sell"),Bittrex!E848,IF(AND(Bittrex!C848="Trade",'Bittrex Data'!C848="Limit_Buy"),Bittrex!D848,"")))))</f>
        <v/>
      </c>
      <c r="I848" t="str">
        <f>IF('Bittrex Data'!C848="","",IF(Bittrex!C848="Buy",F848,IF(C848="Sale",Bittrex!G848,IF(AND(C848="Trade",'Bittrex Data'!C848="Limit_Sell"),Bittrex!G848,IF(AND(Bittrex!C848="Trade",'Bittrex Data'!C848="Limit_Buy"),F848,"")))))</f>
        <v/>
      </c>
      <c r="J848" t="str">
        <f>IF('Bittrex Data'!B848="","",IF('Bittrex Data'!B848="","",IF(Bittrex!H848=Bittrex!E848,D848,Bittrex!E848)))</f>
        <v/>
      </c>
      <c r="K848" t="str">
        <f>IF('Bittrex Data'!B848="","",IF(Bittrex!I848=Bittrex!G848,Bittrex!F848,Bittrex!G848))</f>
        <v/>
      </c>
    </row>
    <row r="849" spans="3:11" x14ac:dyDescent="0.2">
      <c r="C849" t="str">
        <f>IF('Bittrex Data'!A849="","",IF(AND('Bittrex Data'!C849="LIMIT_SELL",Bittrex!D849="USD"),"Sale",IF(AND('Bittrex Data'!C849="LIMIT_BUY",Bittrex!D849="USD"),"Buy","Trade")))</f>
        <v/>
      </c>
      <c r="D849" t="str">
        <f>IF('Bittrex Data'!B849="","",LEFT(LEFT('Bittrex Data'!B849,SEARCH("-",'Bittrex Data'!B849,1)),LEN(LEFT('Bittrex Data'!B849,SEARCH("-",'Bittrex Data'!B849,1)))-1))</f>
        <v/>
      </c>
      <c r="E849" t="str">
        <f>IF('Bittrex Data'!B849="","",RIGHT(RIGHT('Bittrex Data'!B849,LEN('Bittrex Data'!B849)-SEARCH("-",'Bittrex Data'!B849,1)+1),LEN(RIGHT('Bittrex Data'!B849,LEN('Bittrex Data'!B849)-SEARCH("-",'Bittrex Data'!B849,1)+1))-1))</f>
        <v/>
      </c>
      <c r="F849" t="str">
        <f>IF('Bittrex Data'!C849="","",IF('Bittrex Data'!C849="Limit_Sell",'Bittrex Data'!G849-'Bittrex Data'!F849,IF('Bittrex Data'!C849="Limit_Buy",'Bittrex Data'!G849+'Bittrex Data'!F849,"")))</f>
        <v/>
      </c>
      <c r="G849" t="str">
        <f>IF('Bittrex Data'!B849="","",'Bittrex Data'!D849)</f>
        <v/>
      </c>
      <c r="H849" t="str">
        <f>IF('Bittrex Data'!C849="","",IF(Bittrex!C849="Buy",Bittrex!D849,IF(Bittrex!C849="Sale",Bittrex!E849,IF(AND(Bittrex!C849="Trade",'Bittrex Data'!C849="Limit_Sell"),Bittrex!E849,IF(AND(Bittrex!C849="Trade",'Bittrex Data'!C849="Limit_Buy"),Bittrex!D849,"")))))</f>
        <v/>
      </c>
      <c r="I849" t="str">
        <f>IF('Bittrex Data'!C849="","",IF(Bittrex!C849="Buy",F849,IF(C849="Sale",Bittrex!G849,IF(AND(C849="Trade",'Bittrex Data'!C849="Limit_Sell"),Bittrex!G849,IF(AND(Bittrex!C849="Trade",'Bittrex Data'!C849="Limit_Buy"),F849,"")))))</f>
        <v/>
      </c>
      <c r="J849" t="str">
        <f>IF('Bittrex Data'!B849="","",IF('Bittrex Data'!B849="","",IF(Bittrex!H849=Bittrex!E849,D849,Bittrex!E849)))</f>
        <v/>
      </c>
      <c r="K849" t="str">
        <f>IF('Bittrex Data'!B849="","",IF(Bittrex!I849=Bittrex!G849,Bittrex!F849,Bittrex!G849))</f>
        <v/>
      </c>
    </row>
    <row r="850" spans="3:11" x14ac:dyDescent="0.2">
      <c r="C850" t="str">
        <f>IF('Bittrex Data'!A850="","",IF(AND('Bittrex Data'!C850="LIMIT_SELL",Bittrex!D850="USD"),"Sale",IF(AND('Bittrex Data'!C850="LIMIT_BUY",Bittrex!D850="USD"),"Buy","Trade")))</f>
        <v/>
      </c>
      <c r="D850" t="str">
        <f>IF('Bittrex Data'!B850="","",LEFT(LEFT('Bittrex Data'!B850,SEARCH("-",'Bittrex Data'!B850,1)),LEN(LEFT('Bittrex Data'!B850,SEARCH("-",'Bittrex Data'!B850,1)))-1))</f>
        <v/>
      </c>
      <c r="E850" t="str">
        <f>IF('Bittrex Data'!B850="","",RIGHT(RIGHT('Bittrex Data'!B850,LEN('Bittrex Data'!B850)-SEARCH("-",'Bittrex Data'!B850,1)+1),LEN(RIGHT('Bittrex Data'!B850,LEN('Bittrex Data'!B850)-SEARCH("-",'Bittrex Data'!B850,1)+1))-1))</f>
        <v/>
      </c>
      <c r="F850" t="str">
        <f>IF('Bittrex Data'!C850="","",IF('Bittrex Data'!C850="Limit_Sell",'Bittrex Data'!G850-'Bittrex Data'!F850,IF('Bittrex Data'!C850="Limit_Buy",'Bittrex Data'!G850+'Bittrex Data'!F850,"")))</f>
        <v/>
      </c>
      <c r="G850" t="str">
        <f>IF('Bittrex Data'!B850="","",'Bittrex Data'!D850)</f>
        <v/>
      </c>
      <c r="H850" t="str">
        <f>IF('Bittrex Data'!C850="","",IF(Bittrex!C850="Buy",Bittrex!D850,IF(Bittrex!C850="Sale",Bittrex!E850,IF(AND(Bittrex!C850="Trade",'Bittrex Data'!C850="Limit_Sell"),Bittrex!E850,IF(AND(Bittrex!C850="Trade",'Bittrex Data'!C850="Limit_Buy"),Bittrex!D850,"")))))</f>
        <v/>
      </c>
      <c r="I850" t="str">
        <f>IF('Bittrex Data'!C850="","",IF(Bittrex!C850="Buy",F850,IF(C850="Sale",Bittrex!G850,IF(AND(C850="Trade",'Bittrex Data'!C850="Limit_Sell"),Bittrex!G850,IF(AND(Bittrex!C850="Trade",'Bittrex Data'!C850="Limit_Buy"),F850,"")))))</f>
        <v/>
      </c>
      <c r="J850" t="str">
        <f>IF('Bittrex Data'!B850="","",IF('Bittrex Data'!B850="","",IF(Bittrex!H850=Bittrex!E850,D850,Bittrex!E850)))</f>
        <v/>
      </c>
      <c r="K850" t="str">
        <f>IF('Bittrex Data'!B850="","",IF(Bittrex!I850=Bittrex!G850,Bittrex!F850,Bittrex!G850))</f>
        <v/>
      </c>
    </row>
    <row r="851" spans="3:11" x14ac:dyDescent="0.2">
      <c r="C851" t="str">
        <f>IF('Bittrex Data'!A851="","",IF(AND('Bittrex Data'!C851="LIMIT_SELL",Bittrex!D851="USD"),"Sale",IF(AND('Bittrex Data'!C851="LIMIT_BUY",Bittrex!D851="USD"),"Buy","Trade")))</f>
        <v/>
      </c>
      <c r="D851" t="str">
        <f>IF('Bittrex Data'!B851="","",LEFT(LEFT('Bittrex Data'!B851,SEARCH("-",'Bittrex Data'!B851,1)),LEN(LEFT('Bittrex Data'!B851,SEARCH("-",'Bittrex Data'!B851,1)))-1))</f>
        <v/>
      </c>
      <c r="E851" t="str">
        <f>IF('Bittrex Data'!B851="","",RIGHT(RIGHT('Bittrex Data'!B851,LEN('Bittrex Data'!B851)-SEARCH("-",'Bittrex Data'!B851,1)+1),LEN(RIGHT('Bittrex Data'!B851,LEN('Bittrex Data'!B851)-SEARCH("-",'Bittrex Data'!B851,1)+1))-1))</f>
        <v/>
      </c>
      <c r="F851" t="str">
        <f>IF('Bittrex Data'!C851="","",IF('Bittrex Data'!C851="Limit_Sell",'Bittrex Data'!G851-'Bittrex Data'!F851,IF('Bittrex Data'!C851="Limit_Buy",'Bittrex Data'!G851+'Bittrex Data'!F851,"")))</f>
        <v/>
      </c>
      <c r="G851" t="str">
        <f>IF('Bittrex Data'!B851="","",'Bittrex Data'!D851)</f>
        <v/>
      </c>
      <c r="H851" t="str">
        <f>IF('Bittrex Data'!C851="","",IF(Bittrex!C851="Buy",Bittrex!D851,IF(Bittrex!C851="Sale",Bittrex!E851,IF(AND(Bittrex!C851="Trade",'Bittrex Data'!C851="Limit_Sell"),Bittrex!E851,IF(AND(Bittrex!C851="Trade",'Bittrex Data'!C851="Limit_Buy"),Bittrex!D851,"")))))</f>
        <v/>
      </c>
      <c r="I851" t="str">
        <f>IF('Bittrex Data'!C851="","",IF(Bittrex!C851="Buy",F851,IF(C851="Sale",Bittrex!G851,IF(AND(C851="Trade",'Bittrex Data'!C851="Limit_Sell"),Bittrex!G851,IF(AND(Bittrex!C851="Trade",'Bittrex Data'!C851="Limit_Buy"),F851,"")))))</f>
        <v/>
      </c>
      <c r="J851" t="str">
        <f>IF('Bittrex Data'!B851="","",IF('Bittrex Data'!B851="","",IF(Bittrex!H851=Bittrex!E851,D851,Bittrex!E851)))</f>
        <v/>
      </c>
      <c r="K851" t="str">
        <f>IF('Bittrex Data'!B851="","",IF(Bittrex!I851=Bittrex!G851,Bittrex!F851,Bittrex!G851))</f>
        <v/>
      </c>
    </row>
    <row r="852" spans="3:11" x14ac:dyDescent="0.2">
      <c r="C852" t="str">
        <f>IF('Bittrex Data'!A852="","",IF(AND('Bittrex Data'!C852="LIMIT_SELL",Bittrex!D852="USD"),"Sale",IF(AND('Bittrex Data'!C852="LIMIT_BUY",Bittrex!D852="USD"),"Buy","Trade")))</f>
        <v/>
      </c>
      <c r="D852" t="str">
        <f>IF('Bittrex Data'!B852="","",LEFT(LEFT('Bittrex Data'!B852,SEARCH("-",'Bittrex Data'!B852,1)),LEN(LEFT('Bittrex Data'!B852,SEARCH("-",'Bittrex Data'!B852,1)))-1))</f>
        <v/>
      </c>
      <c r="E852" t="str">
        <f>IF('Bittrex Data'!B852="","",RIGHT(RIGHT('Bittrex Data'!B852,LEN('Bittrex Data'!B852)-SEARCH("-",'Bittrex Data'!B852,1)+1),LEN(RIGHT('Bittrex Data'!B852,LEN('Bittrex Data'!B852)-SEARCH("-",'Bittrex Data'!B852,1)+1))-1))</f>
        <v/>
      </c>
      <c r="F852" t="str">
        <f>IF('Bittrex Data'!C852="","",IF('Bittrex Data'!C852="Limit_Sell",'Bittrex Data'!G852-'Bittrex Data'!F852,IF('Bittrex Data'!C852="Limit_Buy",'Bittrex Data'!G852+'Bittrex Data'!F852,"")))</f>
        <v/>
      </c>
      <c r="G852" t="str">
        <f>IF('Bittrex Data'!B852="","",'Bittrex Data'!D852)</f>
        <v/>
      </c>
      <c r="H852" t="str">
        <f>IF('Bittrex Data'!C852="","",IF(Bittrex!C852="Buy",Bittrex!D852,IF(Bittrex!C852="Sale",Bittrex!E852,IF(AND(Bittrex!C852="Trade",'Bittrex Data'!C852="Limit_Sell"),Bittrex!E852,IF(AND(Bittrex!C852="Trade",'Bittrex Data'!C852="Limit_Buy"),Bittrex!D852,"")))))</f>
        <v/>
      </c>
      <c r="I852" t="str">
        <f>IF('Bittrex Data'!C852="","",IF(Bittrex!C852="Buy",F852,IF(C852="Sale",Bittrex!G852,IF(AND(C852="Trade",'Bittrex Data'!C852="Limit_Sell"),Bittrex!G852,IF(AND(Bittrex!C852="Trade",'Bittrex Data'!C852="Limit_Buy"),F852,"")))))</f>
        <v/>
      </c>
      <c r="J852" t="str">
        <f>IF('Bittrex Data'!B852="","",IF('Bittrex Data'!B852="","",IF(Bittrex!H852=Bittrex!E852,D852,Bittrex!E852)))</f>
        <v/>
      </c>
      <c r="K852" t="str">
        <f>IF('Bittrex Data'!B852="","",IF(Bittrex!I852=Bittrex!G852,Bittrex!F852,Bittrex!G852))</f>
        <v/>
      </c>
    </row>
    <row r="853" spans="3:11" x14ac:dyDescent="0.2">
      <c r="C853" t="str">
        <f>IF('Bittrex Data'!A853="","",IF(AND('Bittrex Data'!C853="LIMIT_SELL",Bittrex!D853="USD"),"Sale",IF(AND('Bittrex Data'!C853="LIMIT_BUY",Bittrex!D853="USD"),"Buy","Trade")))</f>
        <v/>
      </c>
      <c r="D853" t="str">
        <f>IF('Bittrex Data'!B853="","",LEFT(LEFT('Bittrex Data'!B853,SEARCH("-",'Bittrex Data'!B853,1)),LEN(LEFT('Bittrex Data'!B853,SEARCH("-",'Bittrex Data'!B853,1)))-1))</f>
        <v/>
      </c>
      <c r="E853" t="str">
        <f>IF('Bittrex Data'!B853="","",RIGHT(RIGHT('Bittrex Data'!B853,LEN('Bittrex Data'!B853)-SEARCH("-",'Bittrex Data'!B853,1)+1),LEN(RIGHT('Bittrex Data'!B853,LEN('Bittrex Data'!B853)-SEARCH("-",'Bittrex Data'!B853,1)+1))-1))</f>
        <v/>
      </c>
      <c r="F853" t="str">
        <f>IF('Bittrex Data'!C853="","",IF('Bittrex Data'!C853="Limit_Sell",'Bittrex Data'!G853-'Bittrex Data'!F853,IF('Bittrex Data'!C853="Limit_Buy",'Bittrex Data'!G853+'Bittrex Data'!F853,"")))</f>
        <v/>
      </c>
      <c r="G853" t="str">
        <f>IF('Bittrex Data'!B853="","",'Bittrex Data'!D853)</f>
        <v/>
      </c>
      <c r="H853" t="str">
        <f>IF('Bittrex Data'!C853="","",IF(Bittrex!C853="Buy",Bittrex!D853,IF(Bittrex!C853="Sale",Bittrex!E853,IF(AND(Bittrex!C853="Trade",'Bittrex Data'!C853="Limit_Sell"),Bittrex!E853,IF(AND(Bittrex!C853="Trade",'Bittrex Data'!C853="Limit_Buy"),Bittrex!D853,"")))))</f>
        <v/>
      </c>
      <c r="I853" t="str">
        <f>IF('Bittrex Data'!C853="","",IF(Bittrex!C853="Buy",F853,IF(C853="Sale",Bittrex!G853,IF(AND(C853="Trade",'Bittrex Data'!C853="Limit_Sell"),Bittrex!G853,IF(AND(Bittrex!C853="Trade",'Bittrex Data'!C853="Limit_Buy"),F853,"")))))</f>
        <v/>
      </c>
      <c r="J853" t="str">
        <f>IF('Bittrex Data'!B853="","",IF('Bittrex Data'!B853="","",IF(Bittrex!H853=Bittrex!E853,D853,Bittrex!E853)))</f>
        <v/>
      </c>
      <c r="K853" t="str">
        <f>IF('Bittrex Data'!B853="","",IF(Bittrex!I853=Bittrex!G853,Bittrex!F853,Bittrex!G853))</f>
        <v/>
      </c>
    </row>
    <row r="854" spans="3:11" x14ac:dyDescent="0.2">
      <c r="C854" t="str">
        <f>IF('Bittrex Data'!A854="","",IF(AND('Bittrex Data'!C854="LIMIT_SELL",Bittrex!D854="USD"),"Sale",IF(AND('Bittrex Data'!C854="LIMIT_BUY",Bittrex!D854="USD"),"Buy","Trade")))</f>
        <v/>
      </c>
      <c r="D854" t="str">
        <f>IF('Bittrex Data'!B854="","",LEFT(LEFT('Bittrex Data'!B854,SEARCH("-",'Bittrex Data'!B854,1)),LEN(LEFT('Bittrex Data'!B854,SEARCH("-",'Bittrex Data'!B854,1)))-1))</f>
        <v/>
      </c>
      <c r="E854" t="str">
        <f>IF('Bittrex Data'!B854="","",RIGHT(RIGHT('Bittrex Data'!B854,LEN('Bittrex Data'!B854)-SEARCH("-",'Bittrex Data'!B854,1)+1),LEN(RIGHT('Bittrex Data'!B854,LEN('Bittrex Data'!B854)-SEARCH("-",'Bittrex Data'!B854,1)+1))-1))</f>
        <v/>
      </c>
      <c r="F854" t="str">
        <f>IF('Bittrex Data'!C854="","",IF('Bittrex Data'!C854="Limit_Sell",'Bittrex Data'!G854-'Bittrex Data'!F854,IF('Bittrex Data'!C854="Limit_Buy",'Bittrex Data'!G854+'Bittrex Data'!F854,"")))</f>
        <v/>
      </c>
      <c r="G854" t="str">
        <f>IF('Bittrex Data'!B854="","",'Bittrex Data'!D854)</f>
        <v/>
      </c>
      <c r="H854" t="str">
        <f>IF('Bittrex Data'!C854="","",IF(Bittrex!C854="Buy",Bittrex!D854,IF(Bittrex!C854="Sale",Bittrex!E854,IF(AND(Bittrex!C854="Trade",'Bittrex Data'!C854="Limit_Sell"),Bittrex!E854,IF(AND(Bittrex!C854="Trade",'Bittrex Data'!C854="Limit_Buy"),Bittrex!D854,"")))))</f>
        <v/>
      </c>
      <c r="I854" t="str">
        <f>IF('Bittrex Data'!C854="","",IF(Bittrex!C854="Buy",F854,IF(C854="Sale",Bittrex!G854,IF(AND(C854="Trade",'Bittrex Data'!C854="Limit_Sell"),Bittrex!G854,IF(AND(Bittrex!C854="Trade",'Bittrex Data'!C854="Limit_Buy"),F854,"")))))</f>
        <v/>
      </c>
      <c r="J854" t="str">
        <f>IF('Bittrex Data'!B854="","",IF('Bittrex Data'!B854="","",IF(Bittrex!H854=Bittrex!E854,D854,Bittrex!E854)))</f>
        <v/>
      </c>
      <c r="K854" t="str">
        <f>IF('Bittrex Data'!B854="","",IF(Bittrex!I854=Bittrex!G854,Bittrex!F854,Bittrex!G854))</f>
        <v/>
      </c>
    </row>
    <row r="855" spans="3:11" x14ac:dyDescent="0.2">
      <c r="C855" t="str">
        <f>IF('Bittrex Data'!A855="","",IF(AND('Bittrex Data'!C855="LIMIT_SELL",Bittrex!D855="USD"),"Sale",IF(AND('Bittrex Data'!C855="LIMIT_BUY",Bittrex!D855="USD"),"Buy","Trade")))</f>
        <v/>
      </c>
      <c r="D855" t="str">
        <f>IF('Bittrex Data'!B855="","",LEFT(LEFT('Bittrex Data'!B855,SEARCH("-",'Bittrex Data'!B855,1)),LEN(LEFT('Bittrex Data'!B855,SEARCH("-",'Bittrex Data'!B855,1)))-1))</f>
        <v/>
      </c>
      <c r="E855" t="str">
        <f>IF('Bittrex Data'!B855="","",RIGHT(RIGHT('Bittrex Data'!B855,LEN('Bittrex Data'!B855)-SEARCH("-",'Bittrex Data'!B855,1)+1),LEN(RIGHT('Bittrex Data'!B855,LEN('Bittrex Data'!B855)-SEARCH("-",'Bittrex Data'!B855,1)+1))-1))</f>
        <v/>
      </c>
      <c r="F855" t="str">
        <f>IF('Bittrex Data'!C855="","",IF('Bittrex Data'!C855="Limit_Sell",'Bittrex Data'!G855-'Bittrex Data'!F855,IF('Bittrex Data'!C855="Limit_Buy",'Bittrex Data'!G855+'Bittrex Data'!F855,"")))</f>
        <v/>
      </c>
      <c r="G855" t="str">
        <f>IF('Bittrex Data'!B855="","",'Bittrex Data'!D855)</f>
        <v/>
      </c>
      <c r="H855" t="str">
        <f>IF('Bittrex Data'!C855="","",IF(Bittrex!C855="Buy",Bittrex!D855,IF(Bittrex!C855="Sale",Bittrex!E855,IF(AND(Bittrex!C855="Trade",'Bittrex Data'!C855="Limit_Sell"),Bittrex!E855,IF(AND(Bittrex!C855="Trade",'Bittrex Data'!C855="Limit_Buy"),Bittrex!D855,"")))))</f>
        <v/>
      </c>
      <c r="I855" t="str">
        <f>IF('Bittrex Data'!C855="","",IF(Bittrex!C855="Buy",F855,IF(C855="Sale",Bittrex!G855,IF(AND(C855="Trade",'Bittrex Data'!C855="Limit_Sell"),Bittrex!G855,IF(AND(Bittrex!C855="Trade",'Bittrex Data'!C855="Limit_Buy"),F855,"")))))</f>
        <v/>
      </c>
      <c r="J855" t="str">
        <f>IF('Bittrex Data'!B855="","",IF('Bittrex Data'!B855="","",IF(Bittrex!H855=Bittrex!E855,D855,Bittrex!E855)))</f>
        <v/>
      </c>
      <c r="K855" t="str">
        <f>IF('Bittrex Data'!B855="","",IF(Bittrex!I855=Bittrex!G855,Bittrex!F855,Bittrex!G855))</f>
        <v/>
      </c>
    </row>
    <row r="856" spans="3:11" x14ac:dyDescent="0.2">
      <c r="C856" t="str">
        <f>IF('Bittrex Data'!A856="","",IF(AND('Bittrex Data'!C856="LIMIT_SELL",Bittrex!D856="USD"),"Sale",IF(AND('Bittrex Data'!C856="LIMIT_BUY",Bittrex!D856="USD"),"Buy","Trade")))</f>
        <v/>
      </c>
      <c r="D856" t="str">
        <f>IF('Bittrex Data'!B856="","",LEFT(LEFT('Bittrex Data'!B856,SEARCH("-",'Bittrex Data'!B856,1)),LEN(LEFT('Bittrex Data'!B856,SEARCH("-",'Bittrex Data'!B856,1)))-1))</f>
        <v/>
      </c>
      <c r="E856" t="str">
        <f>IF('Bittrex Data'!B856="","",RIGHT(RIGHT('Bittrex Data'!B856,LEN('Bittrex Data'!B856)-SEARCH("-",'Bittrex Data'!B856,1)+1),LEN(RIGHT('Bittrex Data'!B856,LEN('Bittrex Data'!B856)-SEARCH("-",'Bittrex Data'!B856,1)+1))-1))</f>
        <v/>
      </c>
      <c r="F856" t="str">
        <f>IF('Bittrex Data'!C856="","",IF('Bittrex Data'!C856="Limit_Sell",'Bittrex Data'!G856-'Bittrex Data'!F856,IF('Bittrex Data'!C856="Limit_Buy",'Bittrex Data'!G856+'Bittrex Data'!F856,"")))</f>
        <v/>
      </c>
      <c r="G856" t="str">
        <f>IF('Bittrex Data'!B856="","",'Bittrex Data'!D856)</f>
        <v/>
      </c>
      <c r="H856" t="str">
        <f>IF('Bittrex Data'!C856="","",IF(Bittrex!C856="Buy",Bittrex!D856,IF(Bittrex!C856="Sale",Bittrex!E856,IF(AND(Bittrex!C856="Trade",'Bittrex Data'!C856="Limit_Sell"),Bittrex!E856,IF(AND(Bittrex!C856="Trade",'Bittrex Data'!C856="Limit_Buy"),Bittrex!D856,"")))))</f>
        <v/>
      </c>
      <c r="I856" t="str">
        <f>IF('Bittrex Data'!C856="","",IF(Bittrex!C856="Buy",F856,IF(C856="Sale",Bittrex!G856,IF(AND(C856="Trade",'Bittrex Data'!C856="Limit_Sell"),Bittrex!G856,IF(AND(Bittrex!C856="Trade",'Bittrex Data'!C856="Limit_Buy"),F856,"")))))</f>
        <v/>
      </c>
      <c r="J856" t="str">
        <f>IF('Bittrex Data'!B856="","",IF('Bittrex Data'!B856="","",IF(Bittrex!H856=Bittrex!E856,D856,Bittrex!E856)))</f>
        <v/>
      </c>
      <c r="K856" t="str">
        <f>IF('Bittrex Data'!B856="","",IF(Bittrex!I856=Bittrex!G856,Bittrex!F856,Bittrex!G856))</f>
        <v/>
      </c>
    </row>
    <row r="857" spans="3:11" x14ac:dyDescent="0.2">
      <c r="C857" t="str">
        <f>IF('Bittrex Data'!A857="","",IF(AND('Bittrex Data'!C857="LIMIT_SELL",Bittrex!D857="USD"),"Sale",IF(AND('Bittrex Data'!C857="LIMIT_BUY",Bittrex!D857="USD"),"Buy","Trade")))</f>
        <v/>
      </c>
      <c r="D857" t="str">
        <f>IF('Bittrex Data'!B857="","",LEFT(LEFT('Bittrex Data'!B857,SEARCH("-",'Bittrex Data'!B857,1)),LEN(LEFT('Bittrex Data'!B857,SEARCH("-",'Bittrex Data'!B857,1)))-1))</f>
        <v/>
      </c>
      <c r="E857" t="str">
        <f>IF('Bittrex Data'!B857="","",RIGHT(RIGHT('Bittrex Data'!B857,LEN('Bittrex Data'!B857)-SEARCH("-",'Bittrex Data'!B857,1)+1),LEN(RIGHT('Bittrex Data'!B857,LEN('Bittrex Data'!B857)-SEARCH("-",'Bittrex Data'!B857,1)+1))-1))</f>
        <v/>
      </c>
      <c r="F857" t="str">
        <f>IF('Bittrex Data'!C857="","",IF('Bittrex Data'!C857="Limit_Sell",'Bittrex Data'!G857-'Bittrex Data'!F857,IF('Bittrex Data'!C857="Limit_Buy",'Bittrex Data'!G857+'Bittrex Data'!F857,"")))</f>
        <v/>
      </c>
      <c r="G857" t="str">
        <f>IF('Bittrex Data'!B857="","",'Bittrex Data'!D857)</f>
        <v/>
      </c>
      <c r="H857" t="str">
        <f>IF('Bittrex Data'!C857="","",IF(Bittrex!C857="Buy",Bittrex!D857,IF(Bittrex!C857="Sale",Bittrex!E857,IF(AND(Bittrex!C857="Trade",'Bittrex Data'!C857="Limit_Sell"),Bittrex!E857,IF(AND(Bittrex!C857="Trade",'Bittrex Data'!C857="Limit_Buy"),Bittrex!D857,"")))))</f>
        <v/>
      </c>
      <c r="I857" t="str">
        <f>IF('Bittrex Data'!C857="","",IF(Bittrex!C857="Buy",F857,IF(C857="Sale",Bittrex!G857,IF(AND(C857="Trade",'Bittrex Data'!C857="Limit_Sell"),Bittrex!G857,IF(AND(Bittrex!C857="Trade",'Bittrex Data'!C857="Limit_Buy"),F857,"")))))</f>
        <v/>
      </c>
      <c r="J857" t="str">
        <f>IF('Bittrex Data'!B857="","",IF('Bittrex Data'!B857="","",IF(Bittrex!H857=Bittrex!E857,D857,Bittrex!E857)))</f>
        <v/>
      </c>
      <c r="K857" t="str">
        <f>IF('Bittrex Data'!B857="","",IF(Bittrex!I857=Bittrex!G857,Bittrex!F857,Bittrex!G857))</f>
        <v/>
      </c>
    </row>
    <row r="858" spans="3:11" x14ac:dyDescent="0.2">
      <c r="C858" t="str">
        <f>IF('Bittrex Data'!A858="","",IF(AND('Bittrex Data'!C858="LIMIT_SELL",Bittrex!D858="USD"),"Sale",IF(AND('Bittrex Data'!C858="LIMIT_BUY",Bittrex!D858="USD"),"Buy","Trade")))</f>
        <v/>
      </c>
      <c r="D858" t="str">
        <f>IF('Bittrex Data'!B858="","",LEFT(LEFT('Bittrex Data'!B858,SEARCH("-",'Bittrex Data'!B858,1)),LEN(LEFT('Bittrex Data'!B858,SEARCH("-",'Bittrex Data'!B858,1)))-1))</f>
        <v/>
      </c>
      <c r="E858" t="str">
        <f>IF('Bittrex Data'!B858="","",RIGHT(RIGHT('Bittrex Data'!B858,LEN('Bittrex Data'!B858)-SEARCH("-",'Bittrex Data'!B858,1)+1),LEN(RIGHT('Bittrex Data'!B858,LEN('Bittrex Data'!B858)-SEARCH("-",'Bittrex Data'!B858,1)+1))-1))</f>
        <v/>
      </c>
      <c r="F858" t="str">
        <f>IF('Bittrex Data'!C858="","",IF('Bittrex Data'!C858="Limit_Sell",'Bittrex Data'!G858-'Bittrex Data'!F858,IF('Bittrex Data'!C858="Limit_Buy",'Bittrex Data'!G858+'Bittrex Data'!F858,"")))</f>
        <v/>
      </c>
      <c r="G858" t="str">
        <f>IF('Bittrex Data'!B858="","",'Bittrex Data'!D858)</f>
        <v/>
      </c>
      <c r="H858" t="str">
        <f>IF('Bittrex Data'!C858="","",IF(Bittrex!C858="Buy",Bittrex!D858,IF(Bittrex!C858="Sale",Bittrex!E858,IF(AND(Bittrex!C858="Trade",'Bittrex Data'!C858="Limit_Sell"),Bittrex!E858,IF(AND(Bittrex!C858="Trade",'Bittrex Data'!C858="Limit_Buy"),Bittrex!D858,"")))))</f>
        <v/>
      </c>
      <c r="I858" t="str">
        <f>IF('Bittrex Data'!C858="","",IF(Bittrex!C858="Buy",F858,IF(C858="Sale",Bittrex!G858,IF(AND(C858="Trade",'Bittrex Data'!C858="Limit_Sell"),Bittrex!G858,IF(AND(Bittrex!C858="Trade",'Bittrex Data'!C858="Limit_Buy"),F858,"")))))</f>
        <v/>
      </c>
      <c r="J858" t="str">
        <f>IF('Bittrex Data'!B858="","",IF('Bittrex Data'!B858="","",IF(Bittrex!H858=Bittrex!E858,D858,Bittrex!E858)))</f>
        <v/>
      </c>
      <c r="K858" t="str">
        <f>IF('Bittrex Data'!B858="","",IF(Bittrex!I858=Bittrex!G858,Bittrex!F858,Bittrex!G858))</f>
        <v/>
      </c>
    </row>
    <row r="859" spans="3:11" x14ac:dyDescent="0.2">
      <c r="C859" t="str">
        <f>IF('Bittrex Data'!A859="","",IF(AND('Bittrex Data'!C859="LIMIT_SELL",Bittrex!D859="USD"),"Sale",IF(AND('Bittrex Data'!C859="LIMIT_BUY",Bittrex!D859="USD"),"Buy","Trade")))</f>
        <v/>
      </c>
      <c r="D859" t="str">
        <f>IF('Bittrex Data'!B859="","",LEFT(LEFT('Bittrex Data'!B859,SEARCH("-",'Bittrex Data'!B859,1)),LEN(LEFT('Bittrex Data'!B859,SEARCH("-",'Bittrex Data'!B859,1)))-1))</f>
        <v/>
      </c>
      <c r="E859" t="str">
        <f>IF('Bittrex Data'!B859="","",RIGHT(RIGHT('Bittrex Data'!B859,LEN('Bittrex Data'!B859)-SEARCH("-",'Bittrex Data'!B859,1)+1),LEN(RIGHT('Bittrex Data'!B859,LEN('Bittrex Data'!B859)-SEARCH("-",'Bittrex Data'!B859,1)+1))-1))</f>
        <v/>
      </c>
      <c r="F859" t="str">
        <f>IF('Bittrex Data'!C859="","",IF('Bittrex Data'!C859="Limit_Sell",'Bittrex Data'!G859-'Bittrex Data'!F859,IF('Bittrex Data'!C859="Limit_Buy",'Bittrex Data'!G859+'Bittrex Data'!F859,"")))</f>
        <v/>
      </c>
      <c r="G859" t="str">
        <f>IF('Bittrex Data'!B859="","",'Bittrex Data'!D859)</f>
        <v/>
      </c>
      <c r="H859" t="str">
        <f>IF('Bittrex Data'!C859="","",IF(Bittrex!C859="Buy",Bittrex!D859,IF(Bittrex!C859="Sale",Bittrex!E859,IF(AND(Bittrex!C859="Trade",'Bittrex Data'!C859="Limit_Sell"),Bittrex!E859,IF(AND(Bittrex!C859="Trade",'Bittrex Data'!C859="Limit_Buy"),Bittrex!D859,"")))))</f>
        <v/>
      </c>
      <c r="I859" t="str">
        <f>IF('Bittrex Data'!C859="","",IF(Bittrex!C859="Buy",F859,IF(C859="Sale",Bittrex!G859,IF(AND(C859="Trade",'Bittrex Data'!C859="Limit_Sell"),Bittrex!G859,IF(AND(Bittrex!C859="Trade",'Bittrex Data'!C859="Limit_Buy"),F859,"")))))</f>
        <v/>
      </c>
      <c r="J859" t="str">
        <f>IF('Bittrex Data'!B859="","",IF('Bittrex Data'!B859="","",IF(Bittrex!H859=Bittrex!E859,D859,Bittrex!E859)))</f>
        <v/>
      </c>
      <c r="K859" t="str">
        <f>IF('Bittrex Data'!B859="","",IF(Bittrex!I859=Bittrex!G859,Bittrex!F859,Bittrex!G859))</f>
        <v/>
      </c>
    </row>
    <row r="860" spans="3:11" x14ac:dyDescent="0.2">
      <c r="C860" t="str">
        <f>IF('Bittrex Data'!A860="","",IF(AND('Bittrex Data'!C860="LIMIT_SELL",Bittrex!D860="USD"),"Sale",IF(AND('Bittrex Data'!C860="LIMIT_BUY",Bittrex!D860="USD"),"Buy","Trade")))</f>
        <v/>
      </c>
      <c r="D860" t="str">
        <f>IF('Bittrex Data'!B860="","",LEFT(LEFT('Bittrex Data'!B860,SEARCH("-",'Bittrex Data'!B860,1)),LEN(LEFT('Bittrex Data'!B860,SEARCH("-",'Bittrex Data'!B860,1)))-1))</f>
        <v/>
      </c>
      <c r="E860" t="str">
        <f>IF('Bittrex Data'!B860="","",RIGHT(RIGHT('Bittrex Data'!B860,LEN('Bittrex Data'!B860)-SEARCH("-",'Bittrex Data'!B860,1)+1),LEN(RIGHT('Bittrex Data'!B860,LEN('Bittrex Data'!B860)-SEARCH("-",'Bittrex Data'!B860,1)+1))-1))</f>
        <v/>
      </c>
      <c r="F860" t="str">
        <f>IF('Bittrex Data'!C860="","",IF('Bittrex Data'!C860="Limit_Sell",'Bittrex Data'!G860-'Bittrex Data'!F860,IF('Bittrex Data'!C860="Limit_Buy",'Bittrex Data'!G860+'Bittrex Data'!F860,"")))</f>
        <v/>
      </c>
      <c r="G860" t="str">
        <f>IF('Bittrex Data'!B860="","",'Bittrex Data'!D860)</f>
        <v/>
      </c>
      <c r="H860" t="str">
        <f>IF('Bittrex Data'!C860="","",IF(Bittrex!C860="Buy",Bittrex!D860,IF(Bittrex!C860="Sale",Bittrex!E860,IF(AND(Bittrex!C860="Trade",'Bittrex Data'!C860="Limit_Sell"),Bittrex!E860,IF(AND(Bittrex!C860="Trade",'Bittrex Data'!C860="Limit_Buy"),Bittrex!D860,"")))))</f>
        <v/>
      </c>
      <c r="I860" t="str">
        <f>IF('Bittrex Data'!C860="","",IF(Bittrex!C860="Buy",F860,IF(C860="Sale",Bittrex!G860,IF(AND(C860="Trade",'Bittrex Data'!C860="Limit_Sell"),Bittrex!G860,IF(AND(Bittrex!C860="Trade",'Bittrex Data'!C860="Limit_Buy"),F860,"")))))</f>
        <v/>
      </c>
      <c r="J860" t="str">
        <f>IF('Bittrex Data'!B860="","",IF('Bittrex Data'!B860="","",IF(Bittrex!H860=Bittrex!E860,D860,Bittrex!E860)))</f>
        <v/>
      </c>
      <c r="K860" t="str">
        <f>IF('Bittrex Data'!B860="","",IF(Bittrex!I860=Bittrex!G860,Bittrex!F860,Bittrex!G860))</f>
        <v/>
      </c>
    </row>
    <row r="861" spans="3:11" x14ac:dyDescent="0.2">
      <c r="C861" t="str">
        <f>IF('Bittrex Data'!A861="","",IF(AND('Bittrex Data'!C861="LIMIT_SELL",Bittrex!D861="USD"),"Sale",IF(AND('Bittrex Data'!C861="LIMIT_BUY",Bittrex!D861="USD"),"Buy","Trade")))</f>
        <v/>
      </c>
      <c r="D861" t="str">
        <f>IF('Bittrex Data'!B861="","",LEFT(LEFT('Bittrex Data'!B861,SEARCH("-",'Bittrex Data'!B861,1)),LEN(LEFT('Bittrex Data'!B861,SEARCH("-",'Bittrex Data'!B861,1)))-1))</f>
        <v/>
      </c>
      <c r="E861" t="str">
        <f>IF('Bittrex Data'!B861="","",RIGHT(RIGHT('Bittrex Data'!B861,LEN('Bittrex Data'!B861)-SEARCH("-",'Bittrex Data'!B861,1)+1),LEN(RIGHT('Bittrex Data'!B861,LEN('Bittrex Data'!B861)-SEARCH("-",'Bittrex Data'!B861,1)+1))-1))</f>
        <v/>
      </c>
      <c r="F861" t="str">
        <f>IF('Bittrex Data'!C861="","",IF('Bittrex Data'!C861="Limit_Sell",'Bittrex Data'!G861-'Bittrex Data'!F861,IF('Bittrex Data'!C861="Limit_Buy",'Bittrex Data'!G861+'Bittrex Data'!F861,"")))</f>
        <v/>
      </c>
      <c r="G861" t="str">
        <f>IF('Bittrex Data'!B861="","",'Bittrex Data'!D861)</f>
        <v/>
      </c>
      <c r="H861" t="str">
        <f>IF('Bittrex Data'!C861="","",IF(Bittrex!C861="Buy",Bittrex!D861,IF(Bittrex!C861="Sale",Bittrex!E861,IF(AND(Bittrex!C861="Trade",'Bittrex Data'!C861="Limit_Sell"),Bittrex!E861,IF(AND(Bittrex!C861="Trade",'Bittrex Data'!C861="Limit_Buy"),Bittrex!D861,"")))))</f>
        <v/>
      </c>
      <c r="I861" t="str">
        <f>IF('Bittrex Data'!C861="","",IF(Bittrex!C861="Buy",F861,IF(C861="Sale",Bittrex!G861,IF(AND(C861="Trade",'Bittrex Data'!C861="Limit_Sell"),Bittrex!G861,IF(AND(Bittrex!C861="Trade",'Bittrex Data'!C861="Limit_Buy"),F861,"")))))</f>
        <v/>
      </c>
      <c r="J861" t="str">
        <f>IF('Bittrex Data'!B861="","",IF('Bittrex Data'!B861="","",IF(Bittrex!H861=Bittrex!E861,D861,Bittrex!E861)))</f>
        <v/>
      </c>
      <c r="K861" t="str">
        <f>IF('Bittrex Data'!B861="","",IF(Bittrex!I861=Bittrex!G861,Bittrex!F861,Bittrex!G861))</f>
        <v/>
      </c>
    </row>
    <row r="862" spans="3:11" x14ac:dyDescent="0.2">
      <c r="C862" t="str">
        <f>IF('Bittrex Data'!A862="","",IF(AND('Bittrex Data'!C862="LIMIT_SELL",Bittrex!D862="USD"),"Sale",IF(AND('Bittrex Data'!C862="LIMIT_BUY",Bittrex!D862="USD"),"Buy","Trade")))</f>
        <v/>
      </c>
      <c r="D862" t="str">
        <f>IF('Bittrex Data'!B862="","",LEFT(LEFT('Bittrex Data'!B862,SEARCH("-",'Bittrex Data'!B862,1)),LEN(LEFT('Bittrex Data'!B862,SEARCH("-",'Bittrex Data'!B862,1)))-1))</f>
        <v/>
      </c>
      <c r="E862" t="str">
        <f>IF('Bittrex Data'!B862="","",RIGHT(RIGHT('Bittrex Data'!B862,LEN('Bittrex Data'!B862)-SEARCH("-",'Bittrex Data'!B862,1)+1),LEN(RIGHT('Bittrex Data'!B862,LEN('Bittrex Data'!B862)-SEARCH("-",'Bittrex Data'!B862,1)+1))-1))</f>
        <v/>
      </c>
      <c r="F862" t="str">
        <f>IF('Bittrex Data'!C862="","",IF('Bittrex Data'!C862="Limit_Sell",'Bittrex Data'!G862-'Bittrex Data'!F862,IF('Bittrex Data'!C862="Limit_Buy",'Bittrex Data'!G862+'Bittrex Data'!F862,"")))</f>
        <v/>
      </c>
      <c r="G862" t="str">
        <f>IF('Bittrex Data'!B862="","",'Bittrex Data'!D862)</f>
        <v/>
      </c>
      <c r="H862" t="str">
        <f>IF('Bittrex Data'!C862="","",IF(Bittrex!C862="Buy",Bittrex!D862,IF(Bittrex!C862="Sale",Bittrex!E862,IF(AND(Bittrex!C862="Trade",'Bittrex Data'!C862="Limit_Sell"),Bittrex!E862,IF(AND(Bittrex!C862="Trade",'Bittrex Data'!C862="Limit_Buy"),Bittrex!D862,"")))))</f>
        <v/>
      </c>
      <c r="I862" t="str">
        <f>IF('Bittrex Data'!C862="","",IF(Bittrex!C862="Buy",F862,IF(C862="Sale",Bittrex!G862,IF(AND(C862="Trade",'Bittrex Data'!C862="Limit_Sell"),Bittrex!G862,IF(AND(Bittrex!C862="Trade",'Bittrex Data'!C862="Limit_Buy"),F862,"")))))</f>
        <v/>
      </c>
      <c r="J862" t="str">
        <f>IF('Bittrex Data'!B862="","",IF('Bittrex Data'!B862="","",IF(Bittrex!H862=Bittrex!E862,D862,Bittrex!E862)))</f>
        <v/>
      </c>
      <c r="K862" t="str">
        <f>IF('Bittrex Data'!B862="","",IF(Bittrex!I862=Bittrex!G862,Bittrex!F862,Bittrex!G862))</f>
        <v/>
      </c>
    </row>
    <row r="863" spans="3:11" x14ac:dyDescent="0.2">
      <c r="C863" t="str">
        <f>IF('Bittrex Data'!A863="","",IF(AND('Bittrex Data'!C863="LIMIT_SELL",Bittrex!D863="USD"),"Sale",IF(AND('Bittrex Data'!C863="LIMIT_BUY",Bittrex!D863="USD"),"Buy","Trade")))</f>
        <v/>
      </c>
      <c r="D863" t="str">
        <f>IF('Bittrex Data'!B863="","",LEFT(LEFT('Bittrex Data'!B863,SEARCH("-",'Bittrex Data'!B863,1)),LEN(LEFT('Bittrex Data'!B863,SEARCH("-",'Bittrex Data'!B863,1)))-1))</f>
        <v/>
      </c>
      <c r="E863" t="str">
        <f>IF('Bittrex Data'!B863="","",RIGHT(RIGHT('Bittrex Data'!B863,LEN('Bittrex Data'!B863)-SEARCH("-",'Bittrex Data'!B863,1)+1),LEN(RIGHT('Bittrex Data'!B863,LEN('Bittrex Data'!B863)-SEARCH("-",'Bittrex Data'!B863,1)+1))-1))</f>
        <v/>
      </c>
      <c r="F863" t="str">
        <f>IF('Bittrex Data'!C863="","",IF('Bittrex Data'!C863="Limit_Sell",'Bittrex Data'!G863-'Bittrex Data'!F863,IF('Bittrex Data'!C863="Limit_Buy",'Bittrex Data'!G863+'Bittrex Data'!F863,"")))</f>
        <v/>
      </c>
      <c r="G863" t="str">
        <f>IF('Bittrex Data'!B863="","",'Bittrex Data'!D863)</f>
        <v/>
      </c>
      <c r="H863" t="str">
        <f>IF('Bittrex Data'!C863="","",IF(Bittrex!C863="Buy",Bittrex!D863,IF(Bittrex!C863="Sale",Bittrex!E863,IF(AND(Bittrex!C863="Trade",'Bittrex Data'!C863="Limit_Sell"),Bittrex!E863,IF(AND(Bittrex!C863="Trade",'Bittrex Data'!C863="Limit_Buy"),Bittrex!D863,"")))))</f>
        <v/>
      </c>
      <c r="I863" t="str">
        <f>IF('Bittrex Data'!C863="","",IF(Bittrex!C863="Buy",F863,IF(C863="Sale",Bittrex!G863,IF(AND(C863="Trade",'Bittrex Data'!C863="Limit_Sell"),Bittrex!G863,IF(AND(Bittrex!C863="Trade",'Bittrex Data'!C863="Limit_Buy"),F863,"")))))</f>
        <v/>
      </c>
      <c r="J863" t="str">
        <f>IF('Bittrex Data'!B863="","",IF('Bittrex Data'!B863="","",IF(Bittrex!H863=Bittrex!E863,D863,Bittrex!E863)))</f>
        <v/>
      </c>
      <c r="K863" t="str">
        <f>IF('Bittrex Data'!B863="","",IF(Bittrex!I863=Bittrex!G863,Bittrex!F863,Bittrex!G863))</f>
        <v/>
      </c>
    </row>
    <row r="864" spans="3:11" x14ac:dyDescent="0.2">
      <c r="C864" t="str">
        <f>IF('Bittrex Data'!A864="","",IF(AND('Bittrex Data'!C864="LIMIT_SELL",Bittrex!D864="USD"),"Sale",IF(AND('Bittrex Data'!C864="LIMIT_BUY",Bittrex!D864="USD"),"Buy","Trade")))</f>
        <v/>
      </c>
      <c r="D864" t="str">
        <f>IF('Bittrex Data'!B864="","",LEFT(LEFT('Bittrex Data'!B864,SEARCH("-",'Bittrex Data'!B864,1)),LEN(LEFT('Bittrex Data'!B864,SEARCH("-",'Bittrex Data'!B864,1)))-1))</f>
        <v/>
      </c>
      <c r="E864" t="str">
        <f>IF('Bittrex Data'!B864="","",RIGHT(RIGHT('Bittrex Data'!B864,LEN('Bittrex Data'!B864)-SEARCH("-",'Bittrex Data'!B864,1)+1),LEN(RIGHT('Bittrex Data'!B864,LEN('Bittrex Data'!B864)-SEARCH("-",'Bittrex Data'!B864,1)+1))-1))</f>
        <v/>
      </c>
      <c r="F864" t="str">
        <f>IF('Bittrex Data'!C864="","",IF('Bittrex Data'!C864="Limit_Sell",'Bittrex Data'!G864-'Bittrex Data'!F864,IF('Bittrex Data'!C864="Limit_Buy",'Bittrex Data'!G864+'Bittrex Data'!F864,"")))</f>
        <v/>
      </c>
      <c r="G864" t="str">
        <f>IF('Bittrex Data'!B864="","",'Bittrex Data'!D864)</f>
        <v/>
      </c>
      <c r="H864" t="str">
        <f>IF('Bittrex Data'!C864="","",IF(Bittrex!C864="Buy",Bittrex!D864,IF(Bittrex!C864="Sale",Bittrex!E864,IF(AND(Bittrex!C864="Trade",'Bittrex Data'!C864="Limit_Sell"),Bittrex!E864,IF(AND(Bittrex!C864="Trade",'Bittrex Data'!C864="Limit_Buy"),Bittrex!D864,"")))))</f>
        <v/>
      </c>
      <c r="I864" t="str">
        <f>IF('Bittrex Data'!C864="","",IF(Bittrex!C864="Buy",F864,IF(C864="Sale",Bittrex!G864,IF(AND(C864="Trade",'Bittrex Data'!C864="Limit_Sell"),Bittrex!G864,IF(AND(Bittrex!C864="Trade",'Bittrex Data'!C864="Limit_Buy"),F864,"")))))</f>
        <v/>
      </c>
      <c r="J864" t="str">
        <f>IF('Bittrex Data'!B864="","",IF('Bittrex Data'!B864="","",IF(Bittrex!H864=Bittrex!E864,D864,Bittrex!E864)))</f>
        <v/>
      </c>
      <c r="K864" t="str">
        <f>IF('Bittrex Data'!B864="","",IF(Bittrex!I864=Bittrex!G864,Bittrex!F864,Bittrex!G864))</f>
        <v/>
      </c>
    </row>
    <row r="865" spans="3:11" x14ac:dyDescent="0.2">
      <c r="C865" t="str">
        <f>IF('Bittrex Data'!A865="","",IF(AND('Bittrex Data'!C865="LIMIT_SELL",Bittrex!D865="USD"),"Sale",IF(AND('Bittrex Data'!C865="LIMIT_BUY",Bittrex!D865="USD"),"Buy","Trade")))</f>
        <v/>
      </c>
      <c r="D865" t="str">
        <f>IF('Bittrex Data'!B865="","",LEFT(LEFT('Bittrex Data'!B865,SEARCH("-",'Bittrex Data'!B865,1)),LEN(LEFT('Bittrex Data'!B865,SEARCH("-",'Bittrex Data'!B865,1)))-1))</f>
        <v/>
      </c>
      <c r="E865" t="str">
        <f>IF('Bittrex Data'!B865="","",RIGHT(RIGHT('Bittrex Data'!B865,LEN('Bittrex Data'!B865)-SEARCH("-",'Bittrex Data'!B865,1)+1),LEN(RIGHT('Bittrex Data'!B865,LEN('Bittrex Data'!B865)-SEARCH("-",'Bittrex Data'!B865,1)+1))-1))</f>
        <v/>
      </c>
      <c r="F865" t="str">
        <f>IF('Bittrex Data'!C865="","",IF('Bittrex Data'!C865="Limit_Sell",'Bittrex Data'!G865-'Bittrex Data'!F865,IF('Bittrex Data'!C865="Limit_Buy",'Bittrex Data'!G865+'Bittrex Data'!F865,"")))</f>
        <v/>
      </c>
      <c r="G865" t="str">
        <f>IF('Bittrex Data'!B865="","",'Bittrex Data'!D865)</f>
        <v/>
      </c>
      <c r="H865" t="str">
        <f>IF('Bittrex Data'!C865="","",IF(Bittrex!C865="Buy",Bittrex!D865,IF(Bittrex!C865="Sale",Bittrex!E865,IF(AND(Bittrex!C865="Trade",'Bittrex Data'!C865="Limit_Sell"),Bittrex!E865,IF(AND(Bittrex!C865="Trade",'Bittrex Data'!C865="Limit_Buy"),Bittrex!D865,"")))))</f>
        <v/>
      </c>
      <c r="I865" t="str">
        <f>IF('Bittrex Data'!C865="","",IF(Bittrex!C865="Buy",F865,IF(C865="Sale",Bittrex!G865,IF(AND(C865="Trade",'Bittrex Data'!C865="Limit_Sell"),Bittrex!G865,IF(AND(Bittrex!C865="Trade",'Bittrex Data'!C865="Limit_Buy"),F865,"")))))</f>
        <v/>
      </c>
      <c r="J865" t="str">
        <f>IF('Bittrex Data'!B865="","",IF('Bittrex Data'!B865="","",IF(Bittrex!H865=Bittrex!E865,D865,Bittrex!E865)))</f>
        <v/>
      </c>
      <c r="K865" t="str">
        <f>IF('Bittrex Data'!B865="","",IF(Bittrex!I865=Bittrex!G865,Bittrex!F865,Bittrex!G865))</f>
        <v/>
      </c>
    </row>
    <row r="866" spans="3:11" x14ac:dyDescent="0.2">
      <c r="C866" t="str">
        <f>IF('Bittrex Data'!A866="","",IF(AND('Bittrex Data'!C866="LIMIT_SELL",Bittrex!D866="USD"),"Sale",IF(AND('Bittrex Data'!C866="LIMIT_BUY",Bittrex!D866="USD"),"Buy","Trade")))</f>
        <v/>
      </c>
      <c r="D866" t="str">
        <f>IF('Bittrex Data'!B866="","",LEFT(LEFT('Bittrex Data'!B866,SEARCH("-",'Bittrex Data'!B866,1)),LEN(LEFT('Bittrex Data'!B866,SEARCH("-",'Bittrex Data'!B866,1)))-1))</f>
        <v/>
      </c>
      <c r="E866" t="str">
        <f>IF('Bittrex Data'!B866="","",RIGHT(RIGHT('Bittrex Data'!B866,LEN('Bittrex Data'!B866)-SEARCH("-",'Bittrex Data'!B866,1)+1),LEN(RIGHT('Bittrex Data'!B866,LEN('Bittrex Data'!B866)-SEARCH("-",'Bittrex Data'!B866,1)+1))-1))</f>
        <v/>
      </c>
      <c r="F866" t="str">
        <f>IF('Bittrex Data'!C866="","",IF('Bittrex Data'!C866="Limit_Sell",'Bittrex Data'!G866-'Bittrex Data'!F866,IF('Bittrex Data'!C866="Limit_Buy",'Bittrex Data'!G866+'Bittrex Data'!F866,"")))</f>
        <v/>
      </c>
      <c r="G866" t="str">
        <f>IF('Bittrex Data'!B866="","",'Bittrex Data'!D866)</f>
        <v/>
      </c>
      <c r="H866" t="str">
        <f>IF('Bittrex Data'!C866="","",IF(Bittrex!C866="Buy",Bittrex!D866,IF(Bittrex!C866="Sale",Bittrex!E866,IF(AND(Bittrex!C866="Trade",'Bittrex Data'!C866="Limit_Sell"),Bittrex!E866,IF(AND(Bittrex!C866="Trade",'Bittrex Data'!C866="Limit_Buy"),Bittrex!D866,"")))))</f>
        <v/>
      </c>
      <c r="I866" t="str">
        <f>IF('Bittrex Data'!C866="","",IF(Bittrex!C866="Buy",F866,IF(C866="Sale",Bittrex!G866,IF(AND(C866="Trade",'Bittrex Data'!C866="Limit_Sell"),Bittrex!G866,IF(AND(Bittrex!C866="Trade",'Bittrex Data'!C866="Limit_Buy"),F866,"")))))</f>
        <v/>
      </c>
      <c r="J866" t="str">
        <f>IF('Bittrex Data'!B866="","",IF('Bittrex Data'!B866="","",IF(Bittrex!H866=Bittrex!E866,D866,Bittrex!E866)))</f>
        <v/>
      </c>
      <c r="K866" t="str">
        <f>IF('Bittrex Data'!B866="","",IF(Bittrex!I866=Bittrex!G866,Bittrex!F866,Bittrex!G866))</f>
        <v/>
      </c>
    </row>
    <row r="867" spans="3:11" x14ac:dyDescent="0.2">
      <c r="C867" t="str">
        <f>IF('Bittrex Data'!A867="","",IF(AND('Bittrex Data'!C867="LIMIT_SELL",Bittrex!D867="USD"),"Sale",IF(AND('Bittrex Data'!C867="LIMIT_BUY",Bittrex!D867="USD"),"Buy","Trade")))</f>
        <v/>
      </c>
      <c r="D867" t="str">
        <f>IF('Bittrex Data'!B867="","",LEFT(LEFT('Bittrex Data'!B867,SEARCH("-",'Bittrex Data'!B867,1)),LEN(LEFT('Bittrex Data'!B867,SEARCH("-",'Bittrex Data'!B867,1)))-1))</f>
        <v/>
      </c>
      <c r="E867" t="str">
        <f>IF('Bittrex Data'!B867="","",RIGHT(RIGHT('Bittrex Data'!B867,LEN('Bittrex Data'!B867)-SEARCH("-",'Bittrex Data'!B867,1)+1),LEN(RIGHT('Bittrex Data'!B867,LEN('Bittrex Data'!B867)-SEARCH("-",'Bittrex Data'!B867,1)+1))-1))</f>
        <v/>
      </c>
      <c r="F867" t="str">
        <f>IF('Bittrex Data'!C867="","",IF('Bittrex Data'!C867="Limit_Sell",'Bittrex Data'!G867-'Bittrex Data'!F867,IF('Bittrex Data'!C867="Limit_Buy",'Bittrex Data'!G867+'Bittrex Data'!F867,"")))</f>
        <v/>
      </c>
      <c r="G867" t="str">
        <f>IF('Bittrex Data'!B867="","",'Bittrex Data'!D867)</f>
        <v/>
      </c>
      <c r="H867" t="str">
        <f>IF('Bittrex Data'!C867="","",IF(Bittrex!C867="Buy",Bittrex!D867,IF(Bittrex!C867="Sale",Bittrex!E867,IF(AND(Bittrex!C867="Trade",'Bittrex Data'!C867="Limit_Sell"),Bittrex!E867,IF(AND(Bittrex!C867="Trade",'Bittrex Data'!C867="Limit_Buy"),Bittrex!D867,"")))))</f>
        <v/>
      </c>
      <c r="I867" t="str">
        <f>IF('Bittrex Data'!C867="","",IF(Bittrex!C867="Buy",F867,IF(C867="Sale",Bittrex!G867,IF(AND(C867="Trade",'Bittrex Data'!C867="Limit_Sell"),Bittrex!G867,IF(AND(Bittrex!C867="Trade",'Bittrex Data'!C867="Limit_Buy"),F867,"")))))</f>
        <v/>
      </c>
      <c r="J867" t="str">
        <f>IF('Bittrex Data'!B867="","",IF('Bittrex Data'!B867="","",IF(Bittrex!H867=Bittrex!E867,D867,Bittrex!E867)))</f>
        <v/>
      </c>
      <c r="K867" t="str">
        <f>IF('Bittrex Data'!B867="","",IF(Bittrex!I867=Bittrex!G867,Bittrex!F867,Bittrex!G867))</f>
        <v/>
      </c>
    </row>
    <row r="868" spans="3:11" x14ac:dyDescent="0.2">
      <c r="C868" t="str">
        <f>IF('Bittrex Data'!A868="","",IF(AND('Bittrex Data'!C868="LIMIT_SELL",Bittrex!D868="USD"),"Sale",IF(AND('Bittrex Data'!C868="LIMIT_BUY",Bittrex!D868="USD"),"Buy","Trade")))</f>
        <v/>
      </c>
      <c r="D868" t="str">
        <f>IF('Bittrex Data'!B868="","",LEFT(LEFT('Bittrex Data'!B868,SEARCH("-",'Bittrex Data'!B868,1)),LEN(LEFT('Bittrex Data'!B868,SEARCH("-",'Bittrex Data'!B868,1)))-1))</f>
        <v/>
      </c>
      <c r="E868" t="str">
        <f>IF('Bittrex Data'!B868="","",RIGHT(RIGHT('Bittrex Data'!B868,LEN('Bittrex Data'!B868)-SEARCH("-",'Bittrex Data'!B868,1)+1),LEN(RIGHT('Bittrex Data'!B868,LEN('Bittrex Data'!B868)-SEARCH("-",'Bittrex Data'!B868,1)+1))-1))</f>
        <v/>
      </c>
      <c r="F868" t="str">
        <f>IF('Bittrex Data'!C868="","",IF('Bittrex Data'!C868="Limit_Sell",'Bittrex Data'!G868-'Bittrex Data'!F868,IF('Bittrex Data'!C868="Limit_Buy",'Bittrex Data'!G868+'Bittrex Data'!F868,"")))</f>
        <v/>
      </c>
      <c r="G868" t="str">
        <f>IF('Bittrex Data'!B868="","",'Bittrex Data'!D868)</f>
        <v/>
      </c>
      <c r="H868" t="str">
        <f>IF('Bittrex Data'!C868="","",IF(Bittrex!C868="Buy",Bittrex!D868,IF(Bittrex!C868="Sale",Bittrex!E868,IF(AND(Bittrex!C868="Trade",'Bittrex Data'!C868="Limit_Sell"),Bittrex!E868,IF(AND(Bittrex!C868="Trade",'Bittrex Data'!C868="Limit_Buy"),Bittrex!D868,"")))))</f>
        <v/>
      </c>
      <c r="I868" t="str">
        <f>IF('Bittrex Data'!C868="","",IF(Bittrex!C868="Buy",F868,IF(C868="Sale",Bittrex!G868,IF(AND(C868="Trade",'Bittrex Data'!C868="Limit_Sell"),Bittrex!G868,IF(AND(Bittrex!C868="Trade",'Bittrex Data'!C868="Limit_Buy"),F868,"")))))</f>
        <v/>
      </c>
      <c r="J868" t="str">
        <f>IF('Bittrex Data'!B868="","",IF('Bittrex Data'!B868="","",IF(Bittrex!H868=Bittrex!E868,D868,Bittrex!E868)))</f>
        <v/>
      </c>
      <c r="K868" t="str">
        <f>IF('Bittrex Data'!B868="","",IF(Bittrex!I868=Bittrex!G868,Bittrex!F868,Bittrex!G868))</f>
        <v/>
      </c>
    </row>
    <row r="869" spans="3:11" x14ac:dyDescent="0.2">
      <c r="C869" t="str">
        <f>IF('Bittrex Data'!A869="","",IF(AND('Bittrex Data'!C869="LIMIT_SELL",Bittrex!D869="USD"),"Sale",IF(AND('Bittrex Data'!C869="LIMIT_BUY",Bittrex!D869="USD"),"Buy","Trade")))</f>
        <v/>
      </c>
      <c r="D869" t="str">
        <f>IF('Bittrex Data'!B869="","",LEFT(LEFT('Bittrex Data'!B869,SEARCH("-",'Bittrex Data'!B869,1)),LEN(LEFT('Bittrex Data'!B869,SEARCH("-",'Bittrex Data'!B869,1)))-1))</f>
        <v/>
      </c>
      <c r="E869" t="str">
        <f>IF('Bittrex Data'!B869="","",RIGHT(RIGHT('Bittrex Data'!B869,LEN('Bittrex Data'!B869)-SEARCH("-",'Bittrex Data'!B869,1)+1),LEN(RIGHT('Bittrex Data'!B869,LEN('Bittrex Data'!B869)-SEARCH("-",'Bittrex Data'!B869,1)+1))-1))</f>
        <v/>
      </c>
      <c r="F869" t="str">
        <f>IF('Bittrex Data'!C869="","",IF('Bittrex Data'!C869="Limit_Sell",'Bittrex Data'!G869-'Bittrex Data'!F869,IF('Bittrex Data'!C869="Limit_Buy",'Bittrex Data'!G869+'Bittrex Data'!F869,"")))</f>
        <v/>
      </c>
      <c r="G869" t="str">
        <f>IF('Bittrex Data'!B869="","",'Bittrex Data'!D869)</f>
        <v/>
      </c>
      <c r="H869" t="str">
        <f>IF('Bittrex Data'!C869="","",IF(Bittrex!C869="Buy",Bittrex!D869,IF(Bittrex!C869="Sale",Bittrex!E869,IF(AND(Bittrex!C869="Trade",'Bittrex Data'!C869="Limit_Sell"),Bittrex!E869,IF(AND(Bittrex!C869="Trade",'Bittrex Data'!C869="Limit_Buy"),Bittrex!D869,"")))))</f>
        <v/>
      </c>
      <c r="I869" t="str">
        <f>IF('Bittrex Data'!C869="","",IF(Bittrex!C869="Buy",F869,IF(C869="Sale",Bittrex!G869,IF(AND(C869="Trade",'Bittrex Data'!C869="Limit_Sell"),Bittrex!G869,IF(AND(Bittrex!C869="Trade",'Bittrex Data'!C869="Limit_Buy"),F869,"")))))</f>
        <v/>
      </c>
      <c r="J869" t="str">
        <f>IF('Bittrex Data'!B869="","",IF('Bittrex Data'!B869="","",IF(Bittrex!H869=Bittrex!E869,D869,Bittrex!E869)))</f>
        <v/>
      </c>
      <c r="K869" t="str">
        <f>IF('Bittrex Data'!B869="","",IF(Bittrex!I869=Bittrex!G869,Bittrex!F869,Bittrex!G869))</f>
        <v/>
      </c>
    </row>
    <row r="870" spans="3:11" x14ac:dyDescent="0.2">
      <c r="C870" t="str">
        <f>IF('Bittrex Data'!A870="","",IF(AND('Bittrex Data'!C870="LIMIT_SELL",Bittrex!D870="USD"),"Sale",IF(AND('Bittrex Data'!C870="LIMIT_BUY",Bittrex!D870="USD"),"Buy","Trade")))</f>
        <v/>
      </c>
      <c r="D870" t="str">
        <f>IF('Bittrex Data'!B870="","",LEFT(LEFT('Bittrex Data'!B870,SEARCH("-",'Bittrex Data'!B870,1)),LEN(LEFT('Bittrex Data'!B870,SEARCH("-",'Bittrex Data'!B870,1)))-1))</f>
        <v/>
      </c>
      <c r="E870" t="str">
        <f>IF('Bittrex Data'!B870="","",RIGHT(RIGHT('Bittrex Data'!B870,LEN('Bittrex Data'!B870)-SEARCH("-",'Bittrex Data'!B870,1)+1),LEN(RIGHT('Bittrex Data'!B870,LEN('Bittrex Data'!B870)-SEARCH("-",'Bittrex Data'!B870,1)+1))-1))</f>
        <v/>
      </c>
      <c r="F870" t="str">
        <f>IF('Bittrex Data'!C870="","",IF('Bittrex Data'!C870="Limit_Sell",'Bittrex Data'!G870-'Bittrex Data'!F870,IF('Bittrex Data'!C870="Limit_Buy",'Bittrex Data'!G870+'Bittrex Data'!F870,"")))</f>
        <v/>
      </c>
      <c r="G870" t="str">
        <f>IF('Bittrex Data'!B870="","",'Bittrex Data'!D870)</f>
        <v/>
      </c>
      <c r="H870" t="str">
        <f>IF('Bittrex Data'!C870="","",IF(Bittrex!C870="Buy",Bittrex!D870,IF(Bittrex!C870="Sale",Bittrex!E870,IF(AND(Bittrex!C870="Trade",'Bittrex Data'!C870="Limit_Sell"),Bittrex!E870,IF(AND(Bittrex!C870="Trade",'Bittrex Data'!C870="Limit_Buy"),Bittrex!D870,"")))))</f>
        <v/>
      </c>
      <c r="I870" t="str">
        <f>IF('Bittrex Data'!C870="","",IF(Bittrex!C870="Buy",F870,IF(C870="Sale",Bittrex!G870,IF(AND(C870="Trade",'Bittrex Data'!C870="Limit_Sell"),Bittrex!G870,IF(AND(Bittrex!C870="Trade",'Bittrex Data'!C870="Limit_Buy"),F870,"")))))</f>
        <v/>
      </c>
      <c r="J870" t="str">
        <f>IF('Bittrex Data'!B870="","",IF('Bittrex Data'!B870="","",IF(Bittrex!H870=Bittrex!E870,D870,Bittrex!E870)))</f>
        <v/>
      </c>
      <c r="K870" t="str">
        <f>IF('Bittrex Data'!B870="","",IF(Bittrex!I870=Bittrex!G870,Bittrex!F870,Bittrex!G870))</f>
        <v/>
      </c>
    </row>
    <row r="871" spans="3:11" x14ac:dyDescent="0.2">
      <c r="C871" t="str">
        <f>IF('Bittrex Data'!A871="","",IF(AND('Bittrex Data'!C871="LIMIT_SELL",Bittrex!D871="USD"),"Sale",IF(AND('Bittrex Data'!C871="LIMIT_BUY",Bittrex!D871="USD"),"Buy","Trade")))</f>
        <v/>
      </c>
      <c r="D871" t="str">
        <f>IF('Bittrex Data'!B871="","",LEFT(LEFT('Bittrex Data'!B871,SEARCH("-",'Bittrex Data'!B871,1)),LEN(LEFT('Bittrex Data'!B871,SEARCH("-",'Bittrex Data'!B871,1)))-1))</f>
        <v/>
      </c>
      <c r="E871" t="str">
        <f>IF('Bittrex Data'!B871="","",RIGHT(RIGHT('Bittrex Data'!B871,LEN('Bittrex Data'!B871)-SEARCH("-",'Bittrex Data'!B871,1)+1),LEN(RIGHT('Bittrex Data'!B871,LEN('Bittrex Data'!B871)-SEARCH("-",'Bittrex Data'!B871,1)+1))-1))</f>
        <v/>
      </c>
      <c r="F871" t="str">
        <f>IF('Bittrex Data'!C871="","",IF('Bittrex Data'!C871="Limit_Sell",'Bittrex Data'!G871-'Bittrex Data'!F871,IF('Bittrex Data'!C871="Limit_Buy",'Bittrex Data'!G871+'Bittrex Data'!F871,"")))</f>
        <v/>
      </c>
      <c r="G871" t="str">
        <f>IF('Bittrex Data'!B871="","",'Bittrex Data'!D871)</f>
        <v/>
      </c>
      <c r="H871" t="str">
        <f>IF('Bittrex Data'!C871="","",IF(Bittrex!C871="Buy",Bittrex!D871,IF(Bittrex!C871="Sale",Bittrex!E871,IF(AND(Bittrex!C871="Trade",'Bittrex Data'!C871="Limit_Sell"),Bittrex!E871,IF(AND(Bittrex!C871="Trade",'Bittrex Data'!C871="Limit_Buy"),Bittrex!D871,"")))))</f>
        <v/>
      </c>
      <c r="I871" t="str">
        <f>IF('Bittrex Data'!C871="","",IF(Bittrex!C871="Buy",F871,IF(C871="Sale",Bittrex!G871,IF(AND(C871="Trade",'Bittrex Data'!C871="Limit_Sell"),Bittrex!G871,IF(AND(Bittrex!C871="Trade",'Bittrex Data'!C871="Limit_Buy"),F871,"")))))</f>
        <v/>
      </c>
      <c r="J871" t="str">
        <f>IF('Bittrex Data'!B871="","",IF('Bittrex Data'!B871="","",IF(Bittrex!H871=Bittrex!E871,D871,Bittrex!E871)))</f>
        <v/>
      </c>
      <c r="K871" t="str">
        <f>IF('Bittrex Data'!B871="","",IF(Bittrex!I871=Bittrex!G871,Bittrex!F871,Bittrex!G871))</f>
        <v/>
      </c>
    </row>
    <row r="872" spans="3:11" x14ac:dyDescent="0.2">
      <c r="C872" t="str">
        <f>IF('Bittrex Data'!A872="","",IF(AND('Bittrex Data'!C872="LIMIT_SELL",Bittrex!D872="USD"),"Sale",IF(AND('Bittrex Data'!C872="LIMIT_BUY",Bittrex!D872="USD"),"Buy","Trade")))</f>
        <v/>
      </c>
      <c r="D872" t="str">
        <f>IF('Bittrex Data'!B872="","",LEFT(LEFT('Bittrex Data'!B872,SEARCH("-",'Bittrex Data'!B872,1)),LEN(LEFT('Bittrex Data'!B872,SEARCH("-",'Bittrex Data'!B872,1)))-1))</f>
        <v/>
      </c>
      <c r="E872" t="str">
        <f>IF('Bittrex Data'!B872="","",RIGHT(RIGHT('Bittrex Data'!B872,LEN('Bittrex Data'!B872)-SEARCH("-",'Bittrex Data'!B872,1)+1),LEN(RIGHT('Bittrex Data'!B872,LEN('Bittrex Data'!B872)-SEARCH("-",'Bittrex Data'!B872,1)+1))-1))</f>
        <v/>
      </c>
      <c r="F872" t="str">
        <f>IF('Bittrex Data'!C872="","",IF('Bittrex Data'!C872="Limit_Sell",'Bittrex Data'!G872-'Bittrex Data'!F872,IF('Bittrex Data'!C872="Limit_Buy",'Bittrex Data'!G872+'Bittrex Data'!F872,"")))</f>
        <v/>
      </c>
      <c r="G872" t="str">
        <f>IF('Bittrex Data'!B872="","",'Bittrex Data'!D872)</f>
        <v/>
      </c>
      <c r="H872" t="str">
        <f>IF('Bittrex Data'!C872="","",IF(Bittrex!C872="Buy",Bittrex!D872,IF(Bittrex!C872="Sale",Bittrex!E872,IF(AND(Bittrex!C872="Trade",'Bittrex Data'!C872="Limit_Sell"),Bittrex!E872,IF(AND(Bittrex!C872="Trade",'Bittrex Data'!C872="Limit_Buy"),Bittrex!D872,"")))))</f>
        <v/>
      </c>
      <c r="I872" t="str">
        <f>IF('Bittrex Data'!C872="","",IF(Bittrex!C872="Buy",F872,IF(C872="Sale",Bittrex!G872,IF(AND(C872="Trade",'Bittrex Data'!C872="Limit_Sell"),Bittrex!G872,IF(AND(Bittrex!C872="Trade",'Bittrex Data'!C872="Limit_Buy"),F872,"")))))</f>
        <v/>
      </c>
      <c r="J872" t="str">
        <f>IF('Bittrex Data'!B872="","",IF('Bittrex Data'!B872="","",IF(Bittrex!H872=Bittrex!E872,D872,Bittrex!E872)))</f>
        <v/>
      </c>
      <c r="K872" t="str">
        <f>IF('Bittrex Data'!B872="","",IF(Bittrex!I872=Bittrex!G872,Bittrex!F872,Bittrex!G872))</f>
        <v/>
      </c>
    </row>
    <row r="873" spans="3:11" x14ac:dyDescent="0.2">
      <c r="C873" t="str">
        <f>IF('Bittrex Data'!A873="","",IF(AND('Bittrex Data'!C873="LIMIT_SELL",Bittrex!D873="USD"),"Sale",IF(AND('Bittrex Data'!C873="LIMIT_BUY",Bittrex!D873="USD"),"Buy","Trade")))</f>
        <v/>
      </c>
      <c r="D873" t="str">
        <f>IF('Bittrex Data'!B873="","",LEFT(LEFT('Bittrex Data'!B873,SEARCH("-",'Bittrex Data'!B873,1)),LEN(LEFT('Bittrex Data'!B873,SEARCH("-",'Bittrex Data'!B873,1)))-1))</f>
        <v/>
      </c>
      <c r="E873" t="str">
        <f>IF('Bittrex Data'!B873="","",RIGHT(RIGHT('Bittrex Data'!B873,LEN('Bittrex Data'!B873)-SEARCH("-",'Bittrex Data'!B873,1)+1),LEN(RIGHT('Bittrex Data'!B873,LEN('Bittrex Data'!B873)-SEARCH("-",'Bittrex Data'!B873,1)+1))-1))</f>
        <v/>
      </c>
      <c r="F873" t="str">
        <f>IF('Bittrex Data'!C873="","",IF('Bittrex Data'!C873="Limit_Sell",'Bittrex Data'!G873-'Bittrex Data'!F873,IF('Bittrex Data'!C873="Limit_Buy",'Bittrex Data'!G873+'Bittrex Data'!F873,"")))</f>
        <v/>
      </c>
      <c r="G873" t="str">
        <f>IF('Bittrex Data'!B873="","",'Bittrex Data'!D873)</f>
        <v/>
      </c>
      <c r="H873" t="str">
        <f>IF('Bittrex Data'!C873="","",IF(Bittrex!C873="Buy",Bittrex!D873,IF(Bittrex!C873="Sale",Bittrex!E873,IF(AND(Bittrex!C873="Trade",'Bittrex Data'!C873="Limit_Sell"),Bittrex!E873,IF(AND(Bittrex!C873="Trade",'Bittrex Data'!C873="Limit_Buy"),Bittrex!D873,"")))))</f>
        <v/>
      </c>
      <c r="I873" t="str">
        <f>IF('Bittrex Data'!C873="","",IF(Bittrex!C873="Buy",F873,IF(C873="Sale",Bittrex!G873,IF(AND(C873="Trade",'Bittrex Data'!C873="Limit_Sell"),Bittrex!G873,IF(AND(Bittrex!C873="Trade",'Bittrex Data'!C873="Limit_Buy"),F873,"")))))</f>
        <v/>
      </c>
      <c r="J873" t="str">
        <f>IF('Bittrex Data'!B873="","",IF('Bittrex Data'!B873="","",IF(Bittrex!H873=Bittrex!E873,D873,Bittrex!E873)))</f>
        <v/>
      </c>
      <c r="K873" t="str">
        <f>IF('Bittrex Data'!B873="","",IF(Bittrex!I873=Bittrex!G873,Bittrex!F873,Bittrex!G873))</f>
        <v/>
      </c>
    </row>
    <row r="874" spans="3:11" x14ac:dyDescent="0.2">
      <c r="C874" t="str">
        <f>IF('Bittrex Data'!A874="","",IF(AND('Bittrex Data'!C874="LIMIT_SELL",Bittrex!D874="USD"),"Sale",IF(AND('Bittrex Data'!C874="LIMIT_BUY",Bittrex!D874="USD"),"Buy","Trade")))</f>
        <v/>
      </c>
      <c r="D874" t="str">
        <f>IF('Bittrex Data'!B874="","",LEFT(LEFT('Bittrex Data'!B874,SEARCH("-",'Bittrex Data'!B874,1)),LEN(LEFT('Bittrex Data'!B874,SEARCH("-",'Bittrex Data'!B874,1)))-1))</f>
        <v/>
      </c>
      <c r="E874" t="str">
        <f>IF('Bittrex Data'!B874="","",RIGHT(RIGHT('Bittrex Data'!B874,LEN('Bittrex Data'!B874)-SEARCH("-",'Bittrex Data'!B874,1)+1),LEN(RIGHT('Bittrex Data'!B874,LEN('Bittrex Data'!B874)-SEARCH("-",'Bittrex Data'!B874,1)+1))-1))</f>
        <v/>
      </c>
      <c r="F874" t="str">
        <f>IF('Bittrex Data'!C874="","",IF('Bittrex Data'!C874="Limit_Sell",'Bittrex Data'!G874-'Bittrex Data'!F874,IF('Bittrex Data'!C874="Limit_Buy",'Bittrex Data'!G874+'Bittrex Data'!F874,"")))</f>
        <v/>
      </c>
      <c r="G874" t="str">
        <f>IF('Bittrex Data'!B874="","",'Bittrex Data'!D874)</f>
        <v/>
      </c>
      <c r="H874" t="str">
        <f>IF('Bittrex Data'!C874="","",IF(Bittrex!C874="Buy",Bittrex!D874,IF(Bittrex!C874="Sale",Bittrex!E874,IF(AND(Bittrex!C874="Trade",'Bittrex Data'!C874="Limit_Sell"),Bittrex!E874,IF(AND(Bittrex!C874="Trade",'Bittrex Data'!C874="Limit_Buy"),Bittrex!D874,"")))))</f>
        <v/>
      </c>
      <c r="I874" t="str">
        <f>IF('Bittrex Data'!C874="","",IF(Bittrex!C874="Buy",F874,IF(C874="Sale",Bittrex!G874,IF(AND(C874="Trade",'Bittrex Data'!C874="Limit_Sell"),Bittrex!G874,IF(AND(Bittrex!C874="Trade",'Bittrex Data'!C874="Limit_Buy"),F874,"")))))</f>
        <v/>
      </c>
      <c r="J874" t="str">
        <f>IF('Bittrex Data'!B874="","",IF('Bittrex Data'!B874="","",IF(Bittrex!H874=Bittrex!E874,D874,Bittrex!E874)))</f>
        <v/>
      </c>
      <c r="K874" t="str">
        <f>IF('Bittrex Data'!B874="","",IF(Bittrex!I874=Bittrex!G874,Bittrex!F874,Bittrex!G874))</f>
        <v/>
      </c>
    </row>
    <row r="875" spans="3:11" x14ac:dyDescent="0.2">
      <c r="C875" t="str">
        <f>IF('Bittrex Data'!A875="","",IF(AND('Bittrex Data'!C875="LIMIT_SELL",Bittrex!D875="USD"),"Sale",IF(AND('Bittrex Data'!C875="LIMIT_BUY",Bittrex!D875="USD"),"Buy","Trade")))</f>
        <v/>
      </c>
      <c r="D875" t="str">
        <f>IF('Bittrex Data'!B875="","",LEFT(LEFT('Bittrex Data'!B875,SEARCH("-",'Bittrex Data'!B875,1)),LEN(LEFT('Bittrex Data'!B875,SEARCH("-",'Bittrex Data'!B875,1)))-1))</f>
        <v/>
      </c>
      <c r="E875" t="str">
        <f>IF('Bittrex Data'!B875="","",RIGHT(RIGHT('Bittrex Data'!B875,LEN('Bittrex Data'!B875)-SEARCH("-",'Bittrex Data'!B875,1)+1),LEN(RIGHT('Bittrex Data'!B875,LEN('Bittrex Data'!B875)-SEARCH("-",'Bittrex Data'!B875,1)+1))-1))</f>
        <v/>
      </c>
      <c r="F875" t="str">
        <f>IF('Bittrex Data'!C875="","",IF('Bittrex Data'!C875="Limit_Sell",'Bittrex Data'!G875-'Bittrex Data'!F875,IF('Bittrex Data'!C875="Limit_Buy",'Bittrex Data'!G875+'Bittrex Data'!F875,"")))</f>
        <v/>
      </c>
      <c r="G875" t="str">
        <f>IF('Bittrex Data'!B875="","",'Bittrex Data'!D875)</f>
        <v/>
      </c>
      <c r="H875" t="str">
        <f>IF('Bittrex Data'!C875="","",IF(Bittrex!C875="Buy",Bittrex!D875,IF(Bittrex!C875="Sale",Bittrex!E875,IF(AND(Bittrex!C875="Trade",'Bittrex Data'!C875="Limit_Sell"),Bittrex!E875,IF(AND(Bittrex!C875="Trade",'Bittrex Data'!C875="Limit_Buy"),Bittrex!D875,"")))))</f>
        <v/>
      </c>
      <c r="I875" t="str">
        <f>IF('Bittrex Data'!C875="","",IF(Bittrex!C875="Buy",F875,IF(C875="Sale",Bittrex!G875,IF(AND(C875="Trade",'Bittrex Data'!C875="Limit_Sell"),Bittrex!G875,IF(AND(Bittrex!C875="Trade",'Bittrex Data'!C875="Limit_Buy"),F875,"")))))</f>
        <v/>
      </c>
      <c r="J875" t="str">
        <f>IF('Bittrex Data'!B875="","",IF('Bittrex Data'!B875="","",IF(Bittrex!H875=Bittrex!E875,D875,Bittrex!E875)))</f>
        <v/>
      </c>
      <c r="K875" t="str">
        <f>IF('Bittrex Data'!B875="","",IF(Bittrex!I875=Bittrex!G875,Bittrex!F875,Bittrex!G875))</f>
        <v/>
      </c>
    </row>
    <row r="876" spans="3:11" x14ac:dyDescent="0.2">
      <c r="C876" t="str">
        <f>IF('Bittrex Data'!A876="","",IF(AND('Bittrex Data'!C876="LIMIT_SELL",Bittrex!D876="USD"),"Sale",IF(AND('Bittrex Data'!C876="LIMIT_BUY",Bittrex!D876="USD"),"Buy","Trade")))</f>
        <v/>
      </c>
      <c r="D876" t="str">
        <f>IF('Bittrex Data'!B876="","",LEFT(LEFT('Bittrex Data'!B876,SEARCH("-",'Bittrex Data'!B876,1)),LEN(LEFT('Bittrex Data'!B876,SEARCH("-",'Bittrex Data'!B876,1)))-1))</f>
        <v/>
      </c>
      <c r="E876" t="str">
        <f>IF('Bittrex Data'!B876="","",RIGHT(RIGHT('Bittrex Data'!B876,LEN('Bittrex Data'!B876)-SEARCH("-",'Bittrex Data'!B876,1)+1),LEN(RIGHT('Bittrex Data'!B876,LEN('Bittrex Data'!B876)-SEARCH("-",'Bittrex Data'!B876,1)+1))-1))</f>
        <v/>
      </c>
      <c r="F876" t="str">
        <f>IF('Bittrex Data'!C876="","",IF('Bittrex Data'!C876="Limit_Sell",'Bittrex Data'!G876-'Bittrex Data'!F876,IF('Bittrex Data'!C876="Limit_Buy",'Bittrex Data'!G876+'Bittrex Data'!F876,"")))</f>
        <v/>
      </c>
      <c r="G876" t="str">
        <f>IF('Bittrex Data'!B876="","",'Bittrex Data'!D876)</f>
        <v/>
      </c>
      <c r="H876" t="str">
        <f>IF('Bittrex Data'!C876="","",IF(Bittrex!C876="Buy",Bittrex!D876,IF(Bittrex!C876="Sale",Bittrex!E876,IF(AND(Bittrex!C876="Trade",'Bittrex Data'!C876="Limit_Sell"),Bittrex!E876,IF(AND(Bittrex!C876="Trade",'Bittrex Data'!C876="Limit_Buy"),Bittrex!D876,"")))))</f>
        <v/>
      </c>
      <c r="I876" t="str">
        <f>IF('Bittrex Data'!C876="","",IF(Bittrex!C876="Buy",F876,IF(C876="Sale",Bittrex!G876,IF(AND(C876="Trade",'Bittrex Data'!C876="Limit_Sell"),Bittrex!G876,IF(AND(Bittrex!C876="Trade",'Bittrex Data'!C876="Limit_Buy"),F876,"")))))</f>
        <v/>
      </c>
      <c r="J876" t="str">
        <f>IF('Bittrex Data'!B876="","",IF('Bittrex Data'!B876="","",IF(Bittrex!H876=Bittrex!E876,D876,Bittrex!E876)))</f>
        <v/>
      </c>
      <c r="K876" t="str">
        <f>IF('Bittrex Data'!B876="","",IF(Bittrex!I876=Bittrex!G876,Bittrex!F876,Bittrex!G876))</f>
        <v/>
      </c>
    </row>
    <row r="877" spans="3:11" x14ac:dyDescent="0.2">
      <c r="C877" t="str">
        <f>IF('Bittrex Data'!A877="","",IF(AND('Bittrex Data'!C877="LIMIT_SELL",Bittrex!D877="USD"),"Sale",IF(AND('Bittrex Data'!C877="LIMIT_BUY",Bittrex!D877="USD"),"Buy","Trade")))</f>
        <v/>
      </c>
      <c r="D877" t="str">
        <f>IF('Bittrex Data'!B877="","",LEFT(LEFT('Bittrex Data'!B877,SEARCH("-",'Bittrex Data'!B877,1)),LEN(LEFT('Bittrex Data'!B877,SEARCH("-",'Bittrex Data'!B877,1)))-1))</f>
        <v/>
      </c>
      <c r="E877" t="str">
        <f>IF('Bittrex Data'!B877="","",RIGHT(RIGHT('Bittrex Data'!B877,LEN('Bittrex Data'!B877)-SEARCH("-",'Bittrex Data'!B877,1)+1),LEN(RIGHT('Bittrex Data'!B877,LEN('Bittrex Data'!B877)-SEARCH("-",'Bittrex Data'!B877,1)+1))-1))</f>
        <v/>
      </c>
      <c r="F877" t="str">
        <f>IF('Bittrex Data'!C877="","",IF('Bittrex Data'!C877="Limit_Sell",'Bittrex Data'!G877-'Bittrex Data'!F877,IF('Bittrex Data'!C877="Limit_Buy",'Bittrex Data'!G877+'Bittrex Data'!F877,"")))</f>
        <v/>
      </c>
      <c r="G877" t="str">
        <f>IF('Bittrex Data'!B877="","",'Bittrex Data'!D877)</f>
        <v/>
      </c>
      <c r="H877" t="str">
        <f>IF('Bittrex Data'!C877="","",IF(Bittrex!C877="Buy",Bittrex!D877,IF(Bittrex!C877="Sale",Bittrex!E877,IF(AND(Bittrex!C877="Trade",'Bittrex Data'!C877="Limit_Sell"),Bittrex!E877,IF(AND(Bittrex!C877="Trade",'Bittrex Data'!C877="Limit_Buy"),Bittrex!D877,"")))))</f>
        <v/>
      </c>
      <c r="I877" t="str">
        <f>IF('Bittrex Data'!C877="","",IF(Bittrex!C877="Buy",F877,IF(C877="Sale",Bittrex!G877,IF(AND(C877="Trade",'Bittrex Data'!C877="Limit_Sell"),Bittrex!G877,IF(AND(Bittrex!C877="Trade",'Bittrex Data'!C877="Limit_Buy"),F877,"")))))</f>
        <v/>
      </c>
      <c r="J877" t="str">
        <f>IF('Bittrex Data'!B877="","",IF('Bittrex Data'!B877="","",IF(Bittrex!H877=Bittrex!E877,D877,Bittrex!E877)))</f>
        <v/>
      </c>
      <c r="K877" t="str">
        <f>IF('Bittrex Data'!B877="","",IF(Bittrex!I877=Bittrex!G877,Bittrex!F877,Bittrex!G877))</f>
        <v/>
      </c>
    </row>
    <row r="878" spans="3:11" x14ac:dyDescent="0.2">
      <c r="C878" t="str">
        <f>IF('Bittrex Data'!A878="","",IF(AND('Bittrex Data'!C878="LIMIT_SELL",Bittrex!D878="USD"),"Sale",IF(AND('Bittrex Data'!C878="LIMIT_BUY",Bittrex!D878="USD"),"Buy","Trade")))</f>
        <v/>
      </c>
      <c r="D878" t="str">
        <f>IF('Bittrex Data'!B878="","",LEFT(LEFT('Bittrex Data'!B878,SEARCH("-",'Bittrex Data'!B878,1)),LEN(LEFT('Bittrex Data'!B878,SEARCH("-",'Bittrex Data'!B878,1)))-1))</f>
        <v/>
      </c>
      <c r="E878" t="str">
        <f>IF('Bittrex Data'!B878="","",RIGHT(RIGHT('Bittrex Data'!B878,LEN('Bittrex Data'!B878)-SEARCH("-",'Bittrex Data'!B878,1)+1),LEN(RIGHT('Bittrex Data'!B878,LEN('Bittrex Data'!B878)-SEARCH("-",'Bittrex Data'!B878,1)+1))-1))</f>
        <v/>
      </c>
      <c r="F878" t="str">
        <f>IF('Bittrex Data'!C878="","",IF('Bittrex Data'!C878="Limit_Sell",'Bittrex Data'!G878-'Bittrex Data'!F878,IF('Bittrex Data'!C878="Limit_Buy",'Bittrex Data'!G878+'Bittrex Data'!F878,"")))</f>
        <v/>
      </c>
      <c r="G878" t="str">
        <f>IF('Bittrex Data'!B878="","",'Bittrex Data'!D878)</f>
        <v/>
      </c>
      <c r="H878" t="str">
        <f>IF('Bittrex Data'!C878="","",IF(Bittrex!C878="Buy",Bittrex!D878,IF(Bittrex!C878="Sale",Bittrex!E878,IF(AND(Bittrex!C878="Trade",'Bittrex Data'!C878="Limit_Sell"),Bittrex!E878,IF(AND(Bittrex!C878="Trade",'Bittrex Data'!C878="Limit_Buy"),Bittrex!D878,"")))))</f>
        <v/>
      </c>
      <c r="I878" t="str">
        <f>IF('Bittrex Data'!C878="","",IF(Bittrex!C878="Buy",F878,IF(C878="Sale",Bittrex!G878,IF(AND(C878="Trade",'Bittrex Data'!C878="Limit_Sell"),Bittrex!G878,IF(AND(Bittrex!C878="Trade",'Bittrex Data'!C878="Limit_Buy"),F878,"")))))</f>
        <v/>
      </c>
      <c r="J878" t="str">
        <f>IF('Bittrex Data'!B878="","",IF('Bittrex Data'!B878="","",IF(Bittrex!H878=Bittrex!E878,D878,Bittrex!E878)))</f>
        <v/>
      </c>
      <c r="K878" t="str">
        <f>IF('Bittrex Data'!B878="","",IF(Bittrex!I878=Bittrex!G878,Bittrex!F878,Bittrex!G878))</f>
        <v/>
      </c>
    </row>
    <row r="879" spans="3:11" x14ac:dyDescent="0.2">
      <c r="C879" t="str">
        <f>IF('Bittrex Data'!A879="","",IF(AND('Bittrex Data'!C879="LIMIT_SELL",Bittrex!D879="USD"),"Sale",IF(AND('Bittrex Data'!C879="LIMIT_BUY",Bittrex!D879="USD"),"Buy","Trade")))</f>
        <v/>
      </c>
      <c r="D879" t="str">
        <f>IF('Bittrex Data'!B879="","",LEFT(LEFT('Bittrex Data'!B879,SEARCH("-",'Bittrex Data'!B879,1)),LEN(LEFT('Bittrex Data'!B879,SEARCH("-",'Bittrex Data'!B879,1)))-1))</f>
        <v/>
      </c>
      <c r="E879" t="str">
        <f>IF('Bittrex Data'!B879="","",RIGHT(RIGHT('Bittrex Data'!B879,LEN('Bittrex Data'!B879)-SEARCH("-",'Bittrex Data'!B879,1)+1),LEN(RIGHT('Bittrex Data'!B879,LEN('Bittrex Data'!B879)-SEARCH("-",'Bittrex Data'!B879,1)+1))-1))</f>
        <v/>
      </c>
      <c r="F879" t="str">
        <f>IF('Bittrex Data'!C879="","",IF('Bittrex Data'!C879="Limit_Sell",'Bittrex Data'!G879-'Bittrex Data'!F879,IF('Bittrex Data'!C879="Limit_Buy",'Bittrex Data'!G879+'Bittrex Data'!F879,"")))</f>
        <v/>
      </c>
      <c r="G879" t="str">
        <f>IF('Bittrex Data'!B879="","",'Bittrex Data'!D879)</f>
        <v/>
      </c>
      <c r="H879" t="str">
        <f>IF('Bittrex Data'!C879="","",IF(Bittrex!C879="Buy",Bittrex!D879,IF(Bittrex!C879="Sale",Bittrex!E879,IF(AND(Bittrex!C879="Trade",'Bittrex Data'!C879="Limit_Sell"),Bittrex!E879,IF(AND(Bittrex!C879="Trade",'Bittrex Data'!C879="Limit_Buy"),Bittrex!D879,"")))))</f>
        <v/>
      </c>
      <c r="I879" t="str">
        <f>IF('Bittrex Data'!C879="","",IF(Bittrex!C879="Buy",F879,IF(C879="Sale",Bittrex!G879,IF(AND(C879="Trade",'Bittrex Data'!C879="Limit_Sell"),Bittrex!G879,IF(AND(Bittrex!C879="Trade",'Bittrex Data'!C879="Limit_Buy"),F879,"")))))</f>
        <v/>
      </c>
      <c r="J879" t="str">
        <f>IF('Bittrex Data'!B879="","",IF('Bittrex Data'!B879="","",IF(Bittrex!H879=Bittrex!E879,D879,Bittrex!E879)))</f>
        <v/>
      </c>
      <c r="K879" t="str">
        <f>IF('Bittrex Data'!B879="","",IF(Bittrex!I879=Bittrex!G879,Bittrex!F879,Bittrex!G879))</f>
        <v/>
      </c>
    </row>
    <row r="880" spans="3:11" x14ac:dyDescent="0.2">
      <c r="C880" t="str">
        <f>IF('Bittrex Data'!A880="","",IF(AND('Bittrex Data'!C880="LIMIT_SELL",Bittrex!D880="USD"),"Sale",IF(AND('Bittrex Data'!C880="LIMIT_BUY",Bittrex!D880="USD"),"Buy","Trade")))</f>
        <v/>
      </c>
      <c r="D880" t="str">
        <f>IF('Bittrex Data'!B880="","",LEFT(LEFT('Bittrex Data'!B880,SEARCH("-",'Bittrex Data'!B880,1)),LEN(LEFT('Bittrex Data'!B880,SEARCH("-",'Bittrex Data'!B880,1)))-1))</f>
        <v/>
      </c>
      <c r="E880" t="str">
        <f>IF('Bittrex Data'!B880="","",RIGHT(RIGHT('Bittrex Data'!B880,LEN('Bittrex Data'!B880)-SEARCH("-",'Bittrex Data'!B880,1)+1),LEN(RIGHT('Bittrex Data'!B880,LEN('Bittrex Data'!B880)-SEARCH("-",'Bittrex Data'!B880,1)+1))-1))</f>
        <v/>
      </c>
      <c r="F880" t="str">
        <f>IF('Bittrex Data'!C880="","",IF('Bittrex Data'!C880="Limit_Sell",'Bittrex Data'!G880-'Bittrex Data'!F880,IF('Bittrex Data'!C880="Limit_Buy",'Bittrex Data'!G880+'Bittrex Data'!F880,"")))</f>
        <v/>
      </c>
      <c r="G880" t="str">
        <f>IF('Bittrex Data'!B880="","",'Bittrex Data'!D880)</f>
        <v/>
      </c>
      <c r="H880" t="str">
        <f>IF('Bittrex Data'!C880="","",IF(Bittrex!C880="Buy",Bittrex!D880,IF(Bittrex!C880="Sale",Bittrex!E880,IF(AND(Bittrex!C880="Trade",'Bittrex Data'!C880="Limit_Sell"),Bittrex!E880,IF(AND(Bittrex!C880="Trade",'Bittrex Data'!C880="Limit_Buy"),Bittrex!D880,"")))))</f>
        <v/>
      </c>
      <c r="I880" t="str">
        <f>IF('Bittrex Data'!C880="","",IF(Bittrex!C880="Buy",F880,IF(C880="Sale",Bittrex!G880,IF(AND(C880="Trade",'Bittrex Data'!C880="Limit_Sell"),Bittrex!G880,IF(AND(Bittrex!C880="Trade",'Bittrex Data'!C880="Limit_Buy"),F880,"")))))</f>
        <v/>
      </c>
      <c r="J880" t="str">
        <f>IF('Bittrex Data'!B880="","",IF('Bittrex Data'!B880="","",IF(Bittrex!H880=Bittrex!E880,D880,Bittrex!E880)))</f>
        <v/>
      </c>
      <c r="K880" t="str">
        <f>IF('Bittrex Data'!B880="","",IF(Bittrex!I880=Bittrex!G880,Bittrex!F880,Bittrex!G880))</f>
        <v/>
      </c>
    </row>
    <row r="881" spans="3:11" x14ac:dyDescent="0.2">
      <c r="C881" t="str">
        <f>IF('Bittrex Data'!A881="","",IF(AND('Bittrex Data'!C881="LIMIT_SELL",Bittrex!D881="USD"),"Sale",IF(AND('Bittrex Data'!C881="LIMIT_BUY",Bittrex!D881="USD"),"Buy","Trade")))</f>
        <v/>
      </c>
      <c r="D881" t="str">
        <f>IF('Bittrex Data'!B881="","",LEFT(LEFT('Bittrex Data'!B881,SEARCH("-",'Bittrex Data'!B881,1)),LEN(LEFT('Bittrex Data'!B881,SEARCH("-",'Bittrex Data'!B881,1)))-1))</f>
        <v/>
      </c>
      <c r="E881" t="str">
        <f>IF('Bittrex Data'!B881="","",RIGHT(RIGHT('Bittrex Data'!B881,LEN('Bittrex Data'!B881)-SEARCH("-",'Bittrex Data'!B881,1)+1),LEN(RIGHT('Bittrex Data'!B881,LEN('Bittrex Data'!B881)-SEARCH("-",'Bittrex Data'!B881,1)+1))-1))</f>
        <v/>
      </c>
      <c r="F881" t="str">
        <f>IF('Bittrex Data'!C881="","",IF('Bittrex Data'!C881="Limit_Sell",'Bittrex Data'!G881-'Bittrex Data'!F881,IF('Bittrex Data'!C881="Limit_Buy",'Bittrex Data'!G881+'Bittrex Data'!F881,"")))</f>
        <v/>
      </c>
      <c r="G881" t="str">
        <f>IF('Bittrex Data'!B881="","",'Bittrex Data'!D881)</f>
        <v/>
      </c>
      <c r="H881" t="str">
        <f>IF('Bittrex Data'!C881="","",IF(Bittrex!C881="Buy",Bittrex!D881,IF(Bittrex!C881="Sale",Bittrex!E881,IF(AND(Bittrex!C881="Trade",'Bittrex Data'!C881="Limit_Sell"),Bittrex!E881,IF(AND(Bittrex!C881="Trade",'Bittrex Data'!C881="Limit_Buy"),Bittrex!D881,"")))))</f>
        <v/>
      </c>
      <c r="I881" t="str">
        <f>IF('Bittrex Data'!C881="","",IF(Bittrex!C881="Buy",F881,IF(C881="Sale",Bittrex!G881,IF(AND(C881="Trade",'Bittrex Data'!C881="Limit_Sell"),Bittrex!G881,IF(AND(Bittrex!C881="Trade",'Bittrex Data'!C881="Limit_Buy"),F881,"")))))</f>
        <v/>
      </c>
      <c r="J881" t="str">
        <f>IF('Bittrex Data'!B881="","",IF('Bittrex Data'!B881="","",IF(Bittrex!H881=Bittrex!E881,D881,Bittrex!E881)))</f>
        <v/>
      </c>
      <c r="K881" t="str">
        <f>IF('Bittrex Data'!B881="","",IF(Bittrex!I881=Bittrex!G881,Bittrex!F881,Bittrex!G881))</f>
        <v/>
      </c>
    </row>
    <row r="882" spans="3:11" x14ac:dyDescent="0.2">
      <c r="C882" t="str">
        <f>IF('Bittrex Data'!A882="","",IF(AND('Bittrex Data'!C882="LIMIT_SELL",Bittrex!D882="USD"),"Sale",IF(AND('Bittrex Data'!C882="LIMIT_BUY",Bittrex!D882="USD"),"Buy","Trade")))</f>
        <v/>
      </c>
      <c r="D882" t="str">
        <f>IF('Bittrex Data'!B882="","",LEFT(LEFT('Bittrex Data'!B882,SEARCH("-",'Bittrex Data'!B882,1)),LEN(LEFT('Bittrex Data'!B882,SEARCH("-",'Bittrex Data'!B882,1)))-1))</f>
        <v/>
      </c>
      <c r="E882" t="str">
        <f>IF('Bittrex Data'!B882="","",RIGHT(RIGHT('Bittrex Data'!B882,LEN('Bittrex Data'!B882)-SEARCH("-",'Bittrex Data'!B882,1)+1),LEN(RIGHT('Bittrex Data'!B882,LEN('Bittrex Data'!B882)-SEARCH("-",'Bittrex Data'!B882,1)+1))-1))</f>
        <v/>
      </c>
      <c r="F882" t="str">
        <f>IF('Bittrex Data'!C882="","",IF('Bittrex Data'!C882="Limit_Sell",'Bittrex Data'!G882-'Bittrex Data'!F882,IF('Bittrex Data'!C882="Limit_Buy",'Bittrex Data'!G882+'Bittrex Data'!F882,"")))</f>
        <v/>
      </c>
      <c r="G882" t="str">
        <f>IF('Bittrex Data'!B882="","",'Bittrex Data'!D882)</f>
        <v/>
      </c>
      <c r="H882" t="str">
        <f>IF('Bittrex Data'!C882="","",IF(Bittrex!C882="Buy",Bittrex!D882,IF(Bittrex!C882="Sale",Bittrex!E882,IF(AND(Bittrex!C882="Trade",'Bittrex Data'!C882="Limit_Sell"),Bittrex!E882,IF(AND(Bittrex!C882="Trade",'Bittrex Data'!C882="Limit_Buy"),Bittrex!D882,"")))))</f>
        <v/>
      </c>
      <c r="I882" t="str">
        <f>IF('Bittrex Data'!C882="","",IF(Bittrex!C882="Buy",F882,IF(C882="Sale",Bittrex!G882,IF(AND(C882="Trade",'Bittrex Data'!C882="Limit_Sell"),Bittrex!G882,IF(AND(Bittrex!C882="Trade",'Bittrex Data'!C882="Limit_Buy"),F882,"")))))</f>
        <v/>
      </c>
      <c r="J882" t="str">
        <f>IF('Bittrex Data'!B882="","",IF('Bittrex Data'!B882="","",IF(Bittrex!H882=Bittrex!E882,D882,Bittrex!E882)))</f>
        <v/>
      </c>
      <c r="K882" t="str">
        <f>IF('Bittrex Data'!B882="","",IF(Bittrex!I882=Bittrex!G882,Bittrex!F882,Bittrex!G882))</f>
        <v/>
      </c>
    </row>
    <row r="883" spans="3:11" x14ac:dyDescent="0.2">
      <c r="C883" t="str">
        <f>IF('Bittrex Data'!A883="","",IF(AND('Bittrex Data'!C883="LIMIT_SELL",Bittrex!D883="USD"),"Sale",IF(AND('Bittrex Data'!C883="LIMIT_BUY",Bittrex!D883="USD"),"Buy","Trade")))</f>
        <v/>
      </c>
      <c r="D883" t="str">
        <f>IF('Bittrex Data'!B883="","",LEFT(LEFT('Bittrex Data'!B883,SEARCH("-",'Bittrex Data'!B883,1)),LEN(LEFT('Bittrex Data'!B883,SEARCH("-",'Bittrex Data'!B883,1)))-1))</f>
        <v/>
      </c>
      <c r="E883" t="str">
        <f>IF('Bittrex Data'!B883="","",RIGHT(RIGHT('Bittrex Data'!B883,LEN('Bittrex Data'!B883)-SEARCH("-",'Bittrex Data'!B883,1)+1),LEN(RIGHT('Bittrex Data'!B883,LEN('Bittrex Data'!B883)-SEARCH("-",'Bittrex Data'!B883,1)+1))-1))</f>
        <v/>
      </c>
      <c r="F883" t="str">
        <f>IF('Bittrex Data'!C883="","",IF('Bittrex Data'!C883="Limit_Sell",'Bittrex Data'!G883-'Bittrex Data'!F883,IF('Bittrex Data'!C883="Limit_Buy",'Bittrex Data'!G883+'Bittrex Data'!F883,"")))</f>
        <v/>
      </c>
      <c r="G883" t="str">
        <f>IF('Bittrex Data'!B883="","",'Bittrex Data'!D883)</f>
        <v/>
      </c>
      <c r="H883" t="str">
        <f>IF('Bittrex Data'!C883="","",IF(Bittrex!C883="Buy",Bittrex!D883,IF(Bittrex!C883="Sale",Bittrex!E883,IF(AND(Bittrex!C883="Trade",'Bittrex Data'!C883="Limit_Sell"),Bittrex!E883,IF(AND(Bittrex!C883="Trade",'Bittrex Data'!C883="Limit_Buy"),Bittrex!D883,"")))))</f>
        <v/>
      </c>
      <c r="I883" t="str">
        <f>IF('Bittrex Data'!C883="","",IF(Bittrex!C883="Buy",F883,IF(C883="Sale",Bittrex!G883,IF(AND(C883="Trade",'Bittrex Data'!C883="Limit_Sell"),Bittrex!G883,IF(AND(Bittrex!C883="Trade",'Bittrex Data'!C883="Limit_Buy"),F883,"")))))</f>
        <v/>
      </c>
      <c r="J883" t="str">
        <f>IF('Bittrex Data'!B883="","",IF('Bittrex Data'!B883="","",IF(Bittrex!H883=Bittrex!E883,D883,Bittrex!E883)))</f>
        <v/>
      </c>
      <c r="K883" t="str">
        <f>IF('Bittrex Data'!B883="","",IF(Bittrex!I883=Bittrex!G883,Bittrex!F883,Bittrex!G883))</f>
        <v/>
      </c>
    </row>
    <row r="884" spans="3:11" x14ac:dyDescent="0.2">
      <c r="C884" t="str">
        <f>IF('Bittrex Data'!A884="","",IF(AND('Bittrex Data'!C884="LIMIT_SELL",Bittrex!D884="USD"),"Sale",IF(AND('Bittrex Data'!C884="LIMIT_BUY",Bittrex!D884="USD"),"Buy","Trade")))</f>
        <v/>
      </c>
      <c r="D884" t="str">
        <f>IF('Bittrex Data'!B884="","",LEFT(LEFT('Bittrex Data'!B884,SEARCH("-",'Bittrex Data'!B884,1)),LEN(LEFT('Bittrex Data'!B884,SEARCH("-",'Bittrex Data'!B884,1)))-1))</f>
        <v/>
      </c>
      <c r="E884" t="str">
        <f>IF('Bittrex Data'!B884="","",RIGHT(RIGHT('Bittrex Data'!B884,LEN('Bittrex Data'!B884)-SEARCH("-",'Bittrex Data'!B884,1)+1),LEN(RIGHT('Bittrex Data'!B884,LEN('Bittrex Data'!B884)-SEARCH("-",'Bittrex Data'!B884,1)+1))-1))</f>
        <v/>
      </c>
      <c r="F884" t="str">
        <f>IF('Bittrex Data'!C884="","",IF('Bittrex Data'!C884="Limit_Sell",'Bittrex Data'!G884-'Bittrex Data'!F884,IF('Bittrex Data'!C884="Limit_Buy",'Bittrex Data'!G884+'Bittrex Data'!F884,"")))</f>
        <v/>
      </c>
      <c r="G884" t="str">
        <f>IF('Bittrex Data'!B884="","",'Bittrex Data'!D884)</f>
        <v/>
      </c>
      <c r="H884" t="str">
        <f>IF('Bittrex Data'!C884="","",IF(Bittrex!C884="Buy",Bittrex!D884,IF(Bittrex!C884="Sale",Bittrex!E884,IF(AND(Bittrex!C884="Trade",'Bittrex Data'!C884="Limit_Sell"),Bittrex!E884,IF(AND(Bittrex!C884="Trade",'Bittrex Data'!C884="Limit_Buy"),Bittrex!D884,"")))))</f>
        <v/>
      </c>
      <c r="I884" t="str">
        <f>IF('Bittrex Data'!C884="","",IF(Bittrex!C884="Buy",F884,IF(C884="Sale",Bittrex!G884,IF(AND(C884="Trade",'Bittrex Data'!C884="Limit_Sell"),Bittrex!G884,IF(AND(Bittrex!C884="Trade",'Bittrex Data'!C884="Limit_Buy"),F884,"")))))</f>
        <v/>
      </c>
      <c r="J884" t="str">
        <f>IF('Bittrex Data'!B884="","",IF('Bittrex Data'!B884="","",IF(Bittrex!H884=Bittrex!E884,D884,Bittrex!E884)))</f>
        <v/>
      </c>
      <c r="K884" t="str">
        <f>IF('Bittrex Data'!B884="","",IF(Bittrex!I884=Bittrex!G884,Bittrex!F884,Bittrex!G884))</f>
        <v/>
      </c>
    </row>
    <row r="885" spans="3:11" x14ac:dyDescent="0.2">
      <c r="C885" t="str">
        <f>IF('Bittrex Data'!A885="","",IF(AND('Bittrex Data'!C885="LIMIT_SELL",Bittrex!D885="USD"),"Sale",IF(AND('Bittrex Data'!C885="LIMIT_BUY",Bittrex!D885="USD"),"Buy","Trade")))</f>
        <v/>
      </c>
      <c r="D885" t="str">
        <f>IF('Bittrex Data'!B885="","",LEFT(LEFT('Bittrex Data'!B885,SEARCH("-",'Bittrex Data'!B885,1)),LEN(LEFT('Bittrex Data'!B885,SEARCH("-",'Bittrex Data'!B885,1)))-1))</f>
        <v/>
      </c>
      <c r="E885" t="str">
        <f>IF('Bittrex Data'!B885="","",RIGHT(RIGHT('Bittrex Data'!B885,LEN('Bittrex Data'!B885)-SEARCH("-",'Bittrex Data'!B885,1)+1),LEN(RIGHT('Bittrex Data'!B885,LEN('Bittrex Data'!B885)-SEARCH("-",'Bittrex Data'!B885,1)+1))-1))</f>
        <v/>
      </c>
      <c r="F885" t="str">
        <f>IF('Bittrex Data'!C885="","",IF('Bittrex Data'!C885="Limit_Sell",'Bittrex Data'!G885-'Bittrex Data'!F885,IF('Bittrex Data'!C885="Limit_Buy",'Bittrex Data'!G885+'Bittrex Data'!F885,"")))</f>
        <v/>
      </c>
      <c r="G885" t="str">
        <f>IF('Bittrex Data'!B885="","",'Bittrex Data'!D885)</f>
        <v/>
      </c>
      <c r="H885" t="str">
        <f>IF('Bittrex Data'!C885="","",IF(Bittrex!C885="Buy",Bittrex!D885,IF(Bittrex!C885="Sale",Bittrex!E885,IF(AND(Bittrex!C885="Trade",'Bittrex Data'!C885="Limit_Sell"),Bittrex!E885,IF(AND(Bittrex!C885="Trade",'Bittrex Data'!C885="Limit_Buy"),Bittrex!D885,"")))))</f>
        <v/>
      </c>
      <c r="I885" t="str">
        <f>IF('Bittrex Data'!C885="","",IF(Bittrex!C885="Buy",F885,IF(C885="Sale",Bittrex!G885,IF(AND(C885="Trade",'Bittrex Data'!C885="Limit_Sell"),Bittrex!G885,IF(AND(Bittrex!C885="Trade",'Bittrex Data'!C885="Limit_Buy"),F885,"")))))</f>
        <v/>
      </c>
      <c r="J885" t="str">
        <f>IF('Bittrex Data'!B885="","",IF('Bittrex Data'!B885="","",IF(Bittrex!H885=Bittrex!E885,D885,Bittrex!E885)))</f>
        <v/>
      </c>
      <c r="K885" t="str">
        <f>IF('Bittrex Data'!B885="","",IF(Bittrex!I885=Bittrex!G885,Bittrex!F885,Bittrex!G885))</f>
        <v/>
      </c>
    </row>
    <row r="886" spans="3:11" x14ac:dyDescent="0.2">
      <c r="C886" t="str">
        <f>IF('Bittrex Data'!A886="","",IF(AND('Bittrex Data'!C886="LIMIT_SELL",Bittrex!D886="USD"),"Sale",IF(AND('Bittrex Data'!C886="LIMIT_BUY",Bittrex!D886="USD"),"Buy","Trade")))</f>
        <v/>
      </c>
      <c r="D886" t="str">
        <f>IF('Bittrex Data'!B886="","",LEFT(LEFT('Bittrex Data'!B886,SEARCH("-",'Bittrex Data'!B886,1)),LEN(LEFT('Bittrex Data'!B886,SEARCH("-",'Bittrex Data'!B886,1)))-1))</f>
        <v/>
      </c>
      <c r="E886" t="str">
        <f>IF('Bittrex Data'!B886="","",RIGHT(RIGHT('Bittrex Data'!B886,LEN('Bittrex Data'!B886)-SEARCH("-",'Bittrex Data'!B886,1)+1),LEN(RIGHT('Bittrex Data'!B886,LEN('Bittrex Data'!B886)-SEARCH("-",'Bittrex Data'!B886,1)+1))-1))</f>
        <v/>
      </c>
      <c r="F886" t="str">
        <f>IF('Bittrex Data'!C886="","",IF('Bittrex Data'!C886="Limit_Sell",'Bittrex Data'!G886-'Bittrex Data'!F886,IF('Bittrex Data'!C886="Limit_Buy",'Bittrex Data'!G886+'Bittrex Data'!F886,"")))</f>
        <v/>
      </c>
      <c r="G886" t="str">
        <f>IF('Bittrex Data'!B886="","",'Bittrex Data'!D886)</f>
        <v/>
      </c>
      <c r="H886" t="str">
        <f>IF('Bittrex Data'!C886="","",IF(Bittrex!C886="Buy",Bittrex!D886,IF(Bittrex!C886="Sale",Bittrex!E886,IF(AND(Bittrex!C886="Trade",'Bittrex Data'!C886="Limit_Sell"),Bittrex!E886,IF(AND(Bittrex!C886="Trade",'Bittrex Data'!C886="Limit_Buy"),Bittrex!D886,"")))))</f>
        <v/>
      </c>
      <c r="I886" t="str">
        <f>IF('Bittrex Data'!C886="","",IF(Bittrex!C886="Buy",F886,IF(C886="Sale",Bittrex!G886,IF(AND(C886="Trade",'Bittrex Data'!C886="Limit_Sell"),Bittrex!G886,IF(AND(Bittrex!C886="Trade",'Bittrex Data'!C886="Limit_Buy"),F886,"")))))</f>
        <v/>
      </c>
      <c r="J886" t="str">
        <f>IF('Bittrex Data'!B886="","",IF('Bittrex Data'!B886="","",IF(Bittrex!H886=Bittrex!E886,D886,Bittrex!E886)))</f>
        <v/>
      </c>
      <c r="K886" t="str">
        <f>IF('Bittrex Data'!B886="","",IF(Bittrex!I886=Bittrex!G886,Bittrex!F886,Bittrex!G886))</f>
        <v/>
      </c>
    </row>
    <row r="887" spans="3:11" x14ac:dyDescent="0.2">
      <c r="C887" t="str">
        <f>IF('Bittrex Data'!A887="","",IF(AND('Bittrex Data'!C887="LIMIT_SELL",Bittrex!D887="USD"),"Sale",IF(AND('Bittrex Data'!C887="LIMIT_BUY",Bittrex!D887="USD"),"Buy","Trade")))</f>
        <v/>
      </c>
      <c r="D887" t="str">
        <f>IF('Bittrex Data'!B887="","",LEFT(LEFT('Bittrex Data'!B887,SEARCH("-",'Bittrex Data'!B887,1)),LEN(LEFT('Bittrex Data'!B887,SEARCH("-",'Bittrex Data'!B887,1)))-1))</f>
        <v/>
      </c>
      <c r="E887" t="str">
        <f>IF('Bittrex Data'!B887="","",RIGHT(RIGHT('Bittrex Data'!B887,LEN('Bittrex Data'!B887)-SEARCH("-",'Bittrex Data'!B887,1)+1),LEN(RIGHT('Bittrex Data'!B887,LEN('Bittrex Data'!B887)-SEARCH("-",'Bittrex Data'!B887,1)+1))-1))</f>
        <v/>
      </c>
      <c r="F887" t="str">
        <f>IF('Bittrex Data'!C887="","",IF('Bittrex Data'!C887="Limit_Sell",'Bittrex Data'!G887-'Bittrex Data'!F887,IF('Bittrex Data'!C887="Limit_Buy",'Bittrex Data'!G887+'Bittrex Data'!F887,"")))</f>
        <v/>
      </c>
      <c r="G887" t="str">
        <f>IF('Bittrex Data'!B887="","",'Bittrex Data'!D887)</f>
        <v/>
      </c>
      <c r="H887" t="str">
        <f>IF('Bittrex Data'!C887="","",IF(Bittrex!C887="Buy",Bittrex!D887,IF(Bittrex!C887="Sale",Bittrex!E887,IF(AND(Bittrex!C887="Trade",'Bittrex Data'!C887="Limit_Sell"),Bittrex!E887,IF(AND(Bittrex!C887="Trade",'Bittrex Data'!C887="Limit_Buy"),Bittrex!D887,"")))))</f>
        <v/>
      </c>
      <c r="I887" t="str">
        <f>IF('Bittrex Data'!C887="","",IF(Bittrex!C887="Buy",F887,IF(C887="Sale",Bittrex!G887,IF(AND(C887="Trade",'Bittrex Data'!C887="Limit_Sell"),Bittrex!G887,IF(AND(Bittrex!C887="Trade",'Bittrex Data'!C887="Limit_Buy"),F887,"")))))</f>
        <v/>
      </c>
      <c r="J887" t="str">
        <f>IF('Bittrex Data'!B887="","",IF('Bittrex Data'!B887="","",IF(Bittrex!H887=Bittrex!E887,D887,Bittrex!E887)))</f>
        <v/>
      </c>
      <c r="K887" t="str">
        <f>IF('Bittrex Data'!B887="","",IF(Bittrex!I887=Bittrex!G887,Bittrex!F887,Bittrex!G887))</f>
        <v/>
      </c>
    </row>
    <row r="888" spans="3:11" x14ac:dyDescent="0.2">
      <c r="C888" t="str">
        <f>IF('Bittrex Data'!A888="","",IF(AND('Bittrex Data'!C888="LIMIT_SELL",Bittrex!D888="USD"),"Sale",IF(AND('Bittrex Data'!C888="LIMIT_BUY",Bittrex!D888="USD"),"Buy","Trade")))</f>
        <v/>
      </c>
      <c r="D888" t="str">
        <f>IF('Bittrex Data'!B888="","",LEFT(LEFT('Bittrex Data'!B888,SEARCH("-",'Bittrex Data'!B888,1)),LEN(LEFT('Bittrex Data'!B888,SEARCH("-",'Bittrex Data'!B888,1)))-1))</f>
        <v/>
      </c>
      <c r="E888" t="str">
        <f>IF('Bittrex Data'!B888="","",RIGHT(RIGHT('Bittrex Data'!B888,LEN('Bittrex Data'!B888)-SEARCH("-",'Bittrex Data'!B888,1)+1),LEN(RIGHT('Bittrex Data'!B888,LEN('Bittrex Data'!B888)-SEARCH("-",'Bittrex Data'!B888,1)+1))-1))</f>
        <v/>
      </c>
      <c r="F888" t="str">
        <f>IF('Bittrex Data'!C888="","",IF('Bittrex Data'!C888="Limit_Sell",'Bittrex Data'!G888-'Bittrex Data'!F888,IF('Bittrex Data'!C888="Limit_Buy",'Bittrex Data'!G888+'Bittrex Data'!F888,"")))</f>
        <v/>
      </c>
      <c r="G888" t="str">
        <f>IF('Bittrex Data'!B888="","",'Bittrex Data'!D888)</f>
        <v/>
      </c>
      <c r="H888" t="str">
        <f>IF('Bittrex Data'!C888="","",IF(Bittrex!C888="Buy",Bittrex!D888,IF(Bittrex!C888="Sale",Bittrex!E888,IF(AND(Bittrex!C888="Trade",'Bittrex Data'!C888="Limit_Sell"),Bittrex!E888,IF(AND(Bittrex!C888="Trade",'Bittrex Data'!C888="Limit_Buy"),Bittrex!D888,"")))))</f>
        <v/>
      </c>
      <c r="I888" t="str">
        <f>IF('Bittrex Data'!C888="","",IF(Bittrex!C888="Buy",F888,IF(C888="Sale",Bittrex!G888,IF(AND(C888="Trade",'Bittrex Data'!C888="Limit_Sell"),Bittrex!G888,IF(AND(Bittrex!C888="Trade",'Bittrex Data'!C888="Limit_Buy"),F888,"")))))</f>
        <v/>
      </c>
      <c r="J888" t="str">
        <f>IF('Bittrex Data'!B888="","",IF('Bittrex Data'!B888="","",IF(Bittrex!H888=Bittrex!E888,D888,Bittrex!E888)))</f>
        <v/>
      </c>
      <c r="K888" t="str">
        <f>IF('Bittrex Data'!B888="","",IF(Bittrex!I888=Bittrex!G888,Bittrex!F888,Bittrex!G888))</f>
        <v/>
      </c>
    </row>
    <row r="889" spans="3:11" x14ac:dyDescent="0.2">
      <c r="C889" t="str">
        <f>IF('Bittrex Data'!A889="","",IF(AND('Bittrex Data'!C889="LIMIT_SELL",Bittrex!D889="USD"),"Sale",IF(AND('Bittrex Data'!C889="LIMIT_BUY",Bittrex!D889="USD"),"Buy","Trade")))</f>
        <v/>
      </c>
      <c r="D889" t="str">
        <f>IF('Bittrex Data'!B889="","",LEFT(LEFT('Bittrex Data'!B889,SEARCH("-",'Bittrex Data'!B889,1)),LEN(LEFT('Bittrex Data'!B889,SEARCH("-",'Bittrex Data'!B889,1)))-1))</f>
        <v/>
      </c>
      <c r="E889" t="str">
        <f>IF('Bittrex Data'!B889="","",RIGHT(RIGHT('Bittrex Data'!B889,LEN('Bittrex Data'!B889)-SEARCH("-",'Bittrex Data'!B889,1)+1),LEN(RIGHT('Bittrex Data'!B889,LEN('Bittrex Data'!B889)-SEARCH("-",'Bittrex Data'!B889,1)+1))-1))</f>
        <v/>
      </c>
      <c r="F889" t="str">
        <f>IF('Bittrex Data'!C889="","",IF('Bittrex Data'!C889="Limit_Sell",'Bittrex Data'!G889-'Bittrex Data'!F889,IF('Bittrex Data'!C889="Limit_Buy",'Bittrex Data'!G889+'Bittrex Data'!F889,"")))</f>
        <v/>
      </c>
      <c r="G889" t="str">
        <f>IF('Bittrex Data'!B889="","",'Bittrex Data'!D889)</f>
        <v/>
      </c>
      <c r="H889" t="str">
        <f>IF('Bittrex Data'!C889="","",IF(Bittrex!C889="Buy",Bittrex!D889,IF(Bittrex!C889="Sale",Bittrex!E889,IF(AND(Bittrex!C889="Trade",'Bittrex Data'!C889="Limit_Sell"),Bittrex!E889,IF(AND(Bittrex!C889="Trade",'Bittrex Data'!C889="Limit_Buy"),Bittrex!D889,"")))))</f>
        <v/>
      </c>
      <c r="I889" t="str">
        <f>IF('Bittrex Data'!C889="","",IF(Bittrex!C889="Buy",F889,IF(C889="Sale",Bittrex!G889,IF(AND(C889="Trade",'Bittrex Data'!C889="Limit_Sell"),Bittrex!G889,IF(AND(Bittrex!C889="Trade",'Bittrex Data'!C889="Limit_Buy"),F889,"")))))</f>
        <v/>
      </c>
      <c r="J889" t="str">
        <f>IF('Bittrex Data'!B889="","",IF('Bittrex Data'!B889="","",IF(Bittrex!H889=Bittrex!E889,D889,Bittrex!E889)))</f>
        <v/>
      </c>
      <c r="K889" t="str">
        <f>IF('Bittrex Data'!B889="","",IF(Bittrex!I889=Bittrex!G889,Bittrex!F889,Bittrex!G889))</f>
        <v/>
      </c>
    </row>
    <row r="890" spans="3:11" x14ac:dyDescent="0.2">
      <c r="C890" t="str">
        <f>IF('Bittrex Data'!A890="","",IF(AND('Bittrex Data'!C890="LIMIT_SELL",Bittrex!D890="USD"),"Sale",IF(AND('Bittrex Data'!C890="LIMIT_BUY",Bittrex!D890="USD"),"Buy","Trade")))</f>
        <v/>
      </c>
      <c r="D890" t="str">
        <f>IF('Bittrex Data'!B890="","",LEFT(LEFT('Bittrex Data'!B890,SEARCH("-",'Bittrex Data'!B890,1)),LEN(LEFT('Bittrex Data'!B890,SEARCH("-",'Bittrex Data'!B890,1)))-1))</f>
        <v/>
      </c>
      <c r="E890" t="str">
        <f>IF('Bittrex Data'!B890="","",RIGHT(RIGHT('Bittrex Data'!B890,LEN('Bittrex Data'!B890)-SEARCH("-",'Bittrex Data'!B890,1)+1),LEN(RIGHT('Bittrex Data'!B890,LEN('Bittrex Data'!B890)-SEARCH("-",'Bittrex Data'!B890,1)+1))-1))</f>
        <v/>
      </c>
      <c r="F890" t="str">
        <f>IF('Bittrex Data'!C890="","",IF('Bittrex Data'!C890="Limit_Sell",'Bittrex Data'!G890-'Bittrex Data'!F890,IF('Bittrex Data'!C890="Limit_Buy",'Bittrex Data'!G890+'Bittrex Data'!F890,"")))</f>
        <v/>
      </c>
      <c r="G890" t="str">
        <f>IF('Bittrex Data'!B890="","",'Bittrex Data'!D890)</f>
        <v/>
      </c>
      <c r="H890" t="str">
        <f>IF('Bittrex Data'!C890="","",IF(Bittrex!C890="Buy",Bittrex!D890,IF(Bittrex!C890="Sale",Bittrex!E890,IF(AND(Bittrex!C890="Trade",'Bittrex Data'!C890="Limit_Sell"),Bittrex!E890,IF(AND(Bittrex!C890="Trade",'Bittrex Data'!C890="Limit_Buy"),Bittrex!D890,"")))))</f>
        <v/>
      </c>
      <c r="I890" t="str">
        <f>IF('Bittrex Data'!C890="","",IF(Bittrex!C890="Buy",F890,IF(C890="Sale",Bittrex!G890,IF(AND(C890="Trade",'Bittrex Data'!C890="Limit_Sell"),Bittrex!G890,IF(AND(Bittrex!C890="Trade",'Bittrex Data'!C890="Limit_Buy"),F890,"")))))</f>
        <v/>
      </c>
      <c r="J890" t="str">
        <f>IF('Bittrex Data'!B890="","",IF('Bittrex Data'!B890="","",IF(Bittrex!H890=Bittrex!E890,D890,Bittrex!E890)))</f>
        <v/>
      </c>
      <c r="K890" t="str">
        <f>IF('Bittrex Data'!B890="","",IF(Bittrex!I890=Bittrex!G890,Bittrex!F890,Bittrex!G890))</f>
        <v/>
      </c>
    </row>
    <row r="891" spans="3:11" x14ac:dyDescent="0.2">
      <c r="C891" t="str">
        <f>IF('Bittrex Data'!A891="","",IF(AND('Bittrex Data'!C891="LIMIT_SELL",Bittrex!D891="USD"),"Sale",IF(AND('Bittrex Data'!C891="LIMIT_BUY",Bittrex!D891="USD"),"Buy","Trade")))</f>
        <v/>
      </c>
      <c r="D891" t="str">
        <f>IF('Bittrex Data'!B891="","",LEFT(LEFT('Bittrex Data'!B891,SEARCH("-",'Bittrex Data'!B891,1)),LEN(LEFT('Bittrex Data'!B891,SEARCH("-",'Bittrex Data'!B891,1)))-1))</f>
        <v/>
      </c>
      <c r="E891" t="str">
        <f>IF('Bittrex Data'!B891="","",RIGHT(RIGHT('Bittrex Data'!B891,LEN('Bittrex Data'!B891)-SEARCH("-",'Bittrex Data'!B891,1)+1),LEN(RIGHT('Bittrex Data'!B891,LEN('Bittrex Data'!B891)-SEARCH("-",'Bittrex Data'!B891,1)+1))-1))</f>
        <v/>
      </c>
      <c r="F891" t="str">
        <f>IF('Bittrex Data'!C891="","",IF('Bittrex Data'!C891="Limit_Sell",'Bittrex Data'!G891-'Bittrex Data'!F891,IF('Bittrex Data'!C891="Limit_Buy",'Bittrex Data'!G891+'Bittrex Data'!F891,"")))</f>
        <v/>
      </c>
      <c r="G891" t="str">
        <f>IF('Bittrex Data'!B891="","",'Bittrex Data'!D891)</f>
        <v/>
      </c>
      <c r="H891" t="str">
        <f>IF('Bittrex Data'!C891="","",IF(Bittrex!C891="Buy",Bittrex!D891,IF(Bittrex!C891="Sale",Bittrex!E891,IF(AND(Bittrex!C891="Trade",'Bittrex Data'!C891="Limit_Sell"),Bittrex!E891,IF(AND(Bittrex!C891="Trade",'Bittrex Data'!C891="Limit_Buy"),Bittrex!D891,"")))))</f>
        <v/>
      </c>
      <c r="I891" t="str">
        <f>IF('Bittrex Data'!C891="","",IF(Bittrex!C891="Buy",F891,IF(C891="Sale",Bittrex!G891,IF(AND(C891="Trade",'Bittrex Data'!C891="Limit_Sell"),Bittrex!G891,IF(AND(Bittrex!C891="Trade",'Bittrex Data'!C891="Limit_Buy"),F891,"")))))</f>
        <v/>
      </c>
      <c r="J891" t="str">
        <f>IF('Bittrex Data'!B891="","",IF('Bittrex Data'!B891="","",IF(Bittrex!H891=Bittrex!E891,D891,Bittrex!E891)))</f>
        <v/>
      </c>
      <c r="K891" t="str">
        <f>IF('Bittrex Data'!B891="","",IF(Bittrex!I891=Bittrex!G891,Bittrex!F891,Bittrex!G891))</f>
        <v/>
      </c>
    </row>
    <row r="892" spans="3:11" x14ac:dyDescent="0.2">
      <c r="C892" t="str">
        <f>IF('Bittrex Data'!A892="","",IF(AND('Bittrex Data'!C892="LIMIT_SELL",Bittrex!D892="USD"),"Sale",IF(AND('Bittrex Data'!C892="LIMIT_BUY",Bittrex!D892="USD"),"Buy","Trade")))</f>
        <v/>
      </c>
      <c r="D892" t="str">
        <f>IF('Bittrex Data'!B892="","",LEFT(LEFT('Bittrex Data'!B892,SEARCH("-",'Bittrex Data'!B892,1)),LEN(LEFT('Bittrex Data'!B892,SEARCH("-",'Bittrex Data'!B892,1)))-1))</f>
        <v/>
      </c>
      <c r="E892" t="str">
        <f>IF('Bittrex Data'!B892="","",RIGHT(RIGHT('Bittrex Data'!B892,LEN('Bittrex Data'!B892)-SEARCH("-",'Bittrex Data'!B892,1)+1),LEN(RIGHT('Bittrex Data'!B892,LEN('Bittrex Data'!B892)-SEARCH("-",'Bittrex Data'!B892,1)+1))-1))</f>
        <v/>
      </c>
      <c r="F892" t="str">
        <f>IF('Bittrex Data'!C892="","",IF('Bittrex Data'!C892="Limit_Sell",'Bittrex Data'!G892-'Bittrex Data'!F892,IF('Bittrex Data'!C892="Limit_Buy",'Bittrex Data'!G892+'Bittrex Data'!F892,"")))</f>
        <v/>
      </c>
      <c r="G892" t="str">
        <f>IF('Bittrex Data'!B892="","",'Bittrex Data'!D892)</f>
        <v/>
      </c>
      <c r="H892" t="str">
        <f>IF('Bittrex Data'!C892="","",IF(Bittrex!C892="Buy",Bittrex!D892,IF(Bittrex!C892="Sale",Bittrex!E892,IF(AND(Bittrex!C892="Trade",'Bittrex Data'!C892="Limit_Sell"),Bittrex!E892,IF(AND(Bittrex!C892="Trade",'Bittrex Data'!C892="Limit_Buy"),Bittrex!D892,"")))))</f>
        <v/>
      </c>
      <c r="I892" t="str">
        <f>IF('Bittrex Data'!C892="","",IF(Bittrex!C892="Buy",F892,IF(C892="Sale",Bittrex!G892,IF(AND(C892="Trade",'Bittrex Data'!C892="Limit_Sell"),Bittrex!G892,IF(AND(Bittrex!C892="Trade",'Bittrex Data'!C892="Limit_Buy"),F892,"")))))</f>
        <v/>
      </c>
      <c r="J892" t="str">
        <f>IF('Bittrex Data'!B892="","",IF('Bittrex Data'!B892="","",IF(Bittrex!H892=Bittrex!E892,D892,Bittrex!E892)))</f>
        <v/>
      </c>
      <c r="K892" t="str">
        <f>IF('Bittrex Data'!B892="","",IF(Bittrex!I892=Bittrex!G892,Bittrex!F892,Bittrex!G892))</f>
        <v/>
      </c>
    </row>
    <row r="893" spans="3:11" x14ac:dyDescent="0.2">
      <c r="C893" t="str">
        <f>IF('Bittrex Data'!A893="","",IF(AND('Bittrex Data'!C893="LIMIT_SELL",Bittrex!D893="USD"),"Sale",IF(AND('Bittrex Data'!C893="LIMIT_BUY",Bittrex!D893="USD"),"Buy","Trade")))</f>
        <v/>
      </c>
      <c r="D893" t="str">
        <f>IF('Bittrex Data'!B893="","",LEFT(LEFT('Bittrex Data'!B893,SEARCH("-",'Bittrex Data'!B893,1)),LEN(LEFT('Bittrex Data'!B893,SEARCH("-",'Bittrex Data'!B893,1)))-1))</f>
        <v/>
      </c>
      <c r="E893" t="str">
        <f>IF('Bittrex Data'!B893="","",RIGHT(RIGHT('Bittrex Data'!B893,LEN('Bittrex Data'!B893)-SEARCH("-",'Bittrex Data'!B893,1)+1),LEN(RIGHT('Bittrex Data'!B893,LEN('Bittrex Data'!B893)-SEARCH("-",'Bittrex Data'!B893,1)+1))-1))</f>
        <v/>
      </c>
      <c r="F893" t="str">
        <f>IF('Bittrex Data'!C893="","",IF('Bittrex Data'!C893="Limit_Sell",'Bittrex Data'!G893-'Bittrex Data'!F893,IF('Bittrex Data'!C893="Limit_Buy",'Bittrex Data'!G893+'Bittrex Data'!F893,"")))</f>
        <v/>
      </c>
      <c r="G893" t="str">
        <f>IF('Bittrex Data'!B893="","",'Bittrex Data'!D893)</f>
        <v/>
      </c>
      <c r="H893" t="str">
        <f>IF('Bittrex Data'!C893="","",IF(Bittrex!C893="Buy",Bittrex!D893,IF(Bittrex!C893="Sale",Bittrex!E893,IF(AND(Bittrex!C893="Trade",'Bittrex Data'!C893="Limit_Sell"),Bittrex!E893,IF(AND(Bittrex!C893="Trade",'Bittrex Data'!C893="Limit_Buy"),Bittrex!D893,"")))))</f>
        <v/>
      </c>
      <c r="I893" t="str">
        <f>IF('Bittrex Data'!C893="","",IF(Bittrex!C893="Buy",F893,IF(C893="Sale",Bittrex!G893,IF(AND(C893="Trade",'Bittrex Data'!C893="Limit_Sell"),Bittrex!G893,IF(AND(Bittrex!C893="Trade",'Bittrex Data'!C893="Limit_Buy"),F893,"")))))</f>
        <v/>
      </c>
      <c r="J893" t="str">
        <f>IF('Bittrex Data'!B893="","",IF('Bittrex Data'!B893="","",IF(Bittrex!H893=Bittrex!E893,D893,Bittrex!E893)))</f>
        <v/>
      </c>
      <c r="K893" t="str">
        <f>IF('Bittrex Data'!B893="","",IF(Bittrex!I893=Bittrex!G893,Bittrex!F893,Bittrex!G893))</f>
        <v/>
      </c>
    </row>
    <row r="894" spans="3:11" x14ac:dyDescent="0.2">
      <c r="C894" t="str">
        <f>IF('Bittrex Data'!A894="","",IF(AND('Bittrex Data'!C894="LIMIT_SELL",Bittrex!D894="USD"),"Sale",IF(AND('Bittrex Data'!C894="LIMIT_BUY",Bittrex!D894="USD"),"Buy","Trade")))</f>
        <v/>
      </c>
      <c r="D894" t="str">
        <f>IF('Bittrex Data'!B894="","",LEFT(LEFT('Bittrex Data'!B894,SEARCH("-",'Bittrex Data'!B894,1)),LEN(LEFT('Bittrex Data'!B894,SEARCH("-",'Bittrex Data'!B894,1)))-1))</f>
        <v/>
      </c>
      <c r="E894" t="str">
        <f>IF('Bittrex Data'!B894="","",RIGHT(RIGHT('Bittrex Data'!B894,LEN('Bittrex Data'!B894)-SEARCH("-",'Bittrex Data'!B894,1)+1),LEN(RIGHT('Bittrex Data'!B894,LEN('Bittrex Data'!B894)-SEARCH("-",'Bittrex Data'!B894,1)+1))-1))</f>
        <v/>
      </c>
      <c r="F894" t="str">
        <f>IF('Bittrex Data'!C894="","",IF('Bittrex Data'!C894="Limit_Sell",'Bittrex Data'!G894-'Bittrex Data'!F894,IF('Bittrex Data'!C894="Limit_Buy",'Bittrex Data'!G894+'Bittrex Data'!F894,"")))</f>
        <v/>
      </c>
      <c r="G894" t="str">
        <f>IF('Bittrex Data'!B894="","",'Bittrex Data'!D894)</f>
        <v/>
      </c>
      <c r="H894" t="str">
        <f>IF('Bittrex Data'!C894="","",IF(Bittrex!C894="Buy",Bittrex!D894,IF(Bittrex!C894="Sale",Bittrex!E894,IF(AND(Bittrex!C894="Trade",'Bittrex Data'!C894="Limit_Sell"),Bittrex!E894,IF(AND(Bittrex!C894="Trade",'Bittrex Data'!C894="Limit_Buy"),Bittrex!D894,"")))))</f>
        <v/>
      </c>
      <c r="I894" t="str">
        <f>IF('Bittrex Data'!C894="","",IF(Bittrex!C894="Buy",F894,IF(C894="Sale",Bittrex!G894,IF(AND(C894="Trade",'Bittrex Data'!C894="Limit_Sell"),Bittrex!G894,IF(AND(Bittrex!C894="Trade",'Bittrex Data'!C894="Limit_Buy"),F894,"")))))</f>
        <v/>
      </c>
      <c r="J894" t="str">
        <f>IF('Bittrex Data'!B894="","",IF('Bittrex Data'!B894="","",IF(Bittrex!H894=Bittrex!E894,D894,Bittrex!E894)))</f>
        <v/>
      </c>
      <c r="K894" t="str">
        <f>IF('Bittrex Data'!B894="","",IF(Bittrex!I894=Bittrex!G894,Bittrex!F894,Bittrex!G894))</f>
        <v/>
      </c>
    </row>
    <row r="895" spans="3:11" x14ac:dyDescent="0.2">
      <c r="C895" t="str">
        <f>IF('Bittrex Data'!A895="","",IF(AND('Bittrex Data'!C895="LIMIT_SELL",Bittrex!D895="USD"),"Sale",IF(AND('Bittrex Data'!C895="LIMIT_BUY",Bittrex!D895="USD"),"Buy","Trade")))</f>
        <v/>
      </c>
      <c r="D895" t="str">
        <f>IF('Bittrex Data'!B895="","",LEFT(LEFT('Bittrex Data'!B895,SEARCH("-",'Bittrex Data'!B895,1)),LEN(LEFT('Bittrex Data'!B895,SEARCH("-",'Bittrex Data'!B895,1)))-1))</f>
        <v/>
      </c>
      <c r="E895" t="str">
        <f>IF('Bittrex Data'!B895="","",RIGHT(RIGHT('Bittrex Data'!B895,LEN('Bittrex Data'!B895)-SEARCH("-",'Bittrex Data'!B895,1)+1),LEN(RIGHT('Bittrex Data'!B895,LEN('Bittrex Data'!B895)-SEARCH("-",'Bittrex Data'!B895,1)+1))-1))</f>
        <v/>
      </c>
      <c r="F895" t="str">
        <f>IF('Bittrex Data'!C895="","",IF('Bittrex Data'!C895="Limit_Sell",'Bittrex Data'!G895-'Bittrex Data'!F895,IF('Bittrex Data'!C895="Limit_Buy",'Bittrex Data'!G895+'Bittrex Data'!F895,"")))</f>
        <v/>
      </c>
      <c r="G895" t="str">
        <f>IF('Bittrex Data'!B895="","",'Bittrex Data'!D895)</f>
        <v/>
      </c>
      <c r="H895" t="str">
        <f>IF('Bittrex Data'!C895="","",IF(Bittrex!C895="Buy",Bittrex!D895,IF(Bittrex!C895="Sale",Bittrex!E895,IF(AND(Bittrex!C895="Trade",'Bittrex Data'!C895="Limit_Sell"),Bittrex!E895,IF(AND(Bittrex!C895="Trade",'Bittrex Data'!C895="Limit_Buy"),Bittrex!D895,"")))))</f>
        <v/>
      </c>
      <c r="I895" t="str">
        <f>IF('Bittrex Data'!C895="","",IF(Bittrex!C895="Buy",F895,IF(C895="Sale",Bittrex!G895,IF(AND(C895="Trade",'Bittrex Data'!C895="Limit_Sell"),Bittrex!G895,IF(AND(Bittrex!C895="Trade",'Bittrex Data'!C895="Limit_Buy"),F895,"")))))</f>
        <v/>
      </c>
      <c r="J895" t="str">
        <f>IF('Bittrex Data'!B895="","",IF('Bittrex Data'!B895="","",IF(Bittrex!H895=Bittrex!E895,D895,Bittrex!E895)))</f>
        <v/>
      </c>
      <c r="K895" t="str">
        <f>IF('Bittrex Data'!B895="","",IF(Bittrex!I895=Bittrex!G895,Bittrex!F895,Bittrex!G895))</f>
        <v/>
      </c>
    </row>
    <row r="896" spans="3:11" x14ac:dyDescent="0.2">
      <c r="C896" t="str">
        <f>IF('Bittrex Data'!A896="","",IF(AND('Bittrex Data'!C896="LIMIT_SELL",Bittrex!D896="USD"),"Sale",IF(AND('Bittrex Data'!C896="LIMIT_BUY",Bittrex!D896="USD"),"Buy","Trade")))</f>
        <v/>
      </c>
      <c r="D896" t="str">
        <f>IF('Bittrex Data'!B896="","",LEFT(LEFT('Bittrex Data'!B896,SEARCH("-",'Bittrex Data'!B896,1)),LEN(LEFT('Bittrex Data'!B896,SEARCH("-",'Bittrex Data'!B896,1)))-1))</f>
        <v/>
      </c>
      <c r="E896" t="str">
        <f>IF('Bittrex Data'!B896="","",RIGHT(RIGHT('Bittrex Data'!B896,LEN('Bittrex Data'!B896)-SEARCH("-",'Bittrex Data'!B896,1)+1),LEN(RIGHT('Bittrex Data'!B896,LEN('Bittrex Data'!B896)-SEARCH("-",'Bittrex Data'!B896,1)+1))-1))</f>
        <v/>
      </c>
      <c r="F896" t="str">
        <f>IF('Bittrex Data'!C896="","",IF('Bittrex Data'!C896="Limit_Sell",'Bittrex Data'!G896-'Bittrex Data'!F896,IF('Bittrex Data'!C896="Limit_Buy",'Bittrex Data'!G896+'Bittrex Data'!F896,"")))</f>
        <v/>
      </c>
      <c r="G896" t="str">
        <f>IF('Bittrex Data'!B896="","",'Bittrex Data'!D896)</f>
        <v/>
      </c>
      <c r="H896" t="str">
        <f>IF('Bittrex Data'!C896="","",IF(Bittrex!C896="Buy",Bittrex!D896,IF(Bittrex!C896="Sale",Bittrex!E896,IF(AND(Bittrex!C896="Trade",'Bittrex Data'!C896="Limit_Sell"),Bittrex!E896,IF(AND(Bittrex!C896="Trade",'Bittrex Data'!C896="Limit_Buy"),Bittrex!D896,"")))))</f>
        <v/>
      </c>
      <c r="I896" t="str">
        <f>IF('Bittrex Data'!C896="","",IF(Bittrex!C896="Buy",F896,IF(C896="Sale",Bittrex!G896,IF(AND(C896="Trade",'Bittrex Data'!C896="Limit_Sell"),Bittrex!G896,IF(AND(Bittrex!C896="Trade",'Bittrex Data'!C896="Limit_Buy"),F896,"")))))</f>
        <v/>
      </c>
      <c r="J896" t="str">
        <f>IF('Bittrex Data'!B896="","",IF('Bittrex Data'!B896="","",IF(Bittrex!H896=Bittrex!E896,D896,Bittrex!E896)))</f>
        <v/>
      </c>
      <c r="K896" t="str">
        <f>IF('Bittrex Data'!B896="","",IF(Bittrex!I896=Bittrex!G896,Bittrex!F896,Bittrex!G896))</f>
        <v/>
      </c>
    </row>
    <row r="897" spans="3:11" x14ac:dyDescent="0.2">
      <c r="C897" t="str">
        <f>IF('Bittrex Data'!A897="","",IF(AND('Bittrex Data'!C897="LIMIT_SELL",Bittrex!D897="USD"),"Sale",IF(AND('Bittrex Data'!C897="LIMIT_BUY",Bittrex!D897="USD"),"Buy","Trade")))</f>
        <v/>
      </c>
      <c r="D897" t="str">
        <f>IF('Bittrex Data'!B897="","",LEFT(LEFT('Bittrex Data'!B897,SEARCH("-",'Bittrex Data'!B897,1)),LEN(LEFT('Bittrex Data'!B897,SEARCH("-",'Bittrex Data'!B897,1)))-1))</f>
        <v/>
      </c>
      <c r="E897" t="str">
        <f>IF('Bittrex Data'!B897="","",RIGHT(RIGHT('Bittrex Data'!B897,LEN('Bittrex Data'!B897)-SEARCH("-",'Bittrex Data'!B897,1)+1),LEN(RIGHT('Bittrex Data'!B897,LEN('Bittrex Data'!B897)-SEARCH("-",'Bittrex Data'!B897,1)+1))-1))</f>
        <v/>
      </c>
      <c r="F897" t="str">
        <f>IF('Bittrex Data'!C897="","",IF('Bittrex Data'!C897="Limit_Sell",'Bittrex Data'!G897-'Bittrex Data'!F897,IF('Bittrex Data'!C897="Limit_Buy",'Bittrex Data'!G897+'Bittrex Data'!F897,"")))</f>
        <v/>
      </c>
      <c r="G897" t="str">
        <f>IF('Bittrex Data'!B897="","",'Bittrex Data'!D897)</f>
        <v/>
      </c>
      <c r="H897" t="str">
        <f>IF('Bittrex Data'!C897="","",IF(Bittrex!C897="Buy",Bittrex!D897,IF(Bittrex!C897="Sale",Bittrex!E897,IF(AND(Bittrex!C897="Trade",'Bittrex Data'!C897="Limit_Sell"),Bittrex!E897,IF(AND(Bittrex!C897="Trade",'Bittrex Data'!C897="Limit_Buy"),Bittrex!D897,"")))))</f>
        <v/>
      </c>
      <c r="I897" t="str">
        <f>IF('Bittrex Data'!C897="","",IF(Bittrex!C897="Buy",F897,IF(C897="Sale",Bittrex!G897,IF(AND(C897="Trade",'Bittrex Data'!C897="Limit_Sell"),Bittrex!G897,IF(AND(Bittrex!C897="Trade",'Bittrex Data'!C897="Limit_Buy"),F897,"")))))</f>
        <v/>
      </c>
      <c r="J897" t="str">
        <f>IF('Bittrex Data'!B897="","",IF('Bittrex Data'!B897="","",IF(Bittrex!H897=Bittrex!E897,D897,Bittrex!E897)))</f>
        <v/>
      </c>
      <c r="K897" t="str">
        <f>IF('Bittrex Data'!B897="","",IF(Bittrex!I897=Bittrex!G897,Bittrex!F897,Bittrex!G897))</f>
        <v/>
      </c>
    </row>
    <row r="898" spans="3:11" x14ac:dyDescent="0.2">
      <c r="C898" t="str">
        <f>IF('Bittrex Data'!A898="","",IF(AND('Bittrex Data'!C898="LIMIT_SELL",Bittrex!D898="USD"),"Sale",IF(AND('Bittrex Data'!C898="LIMIT_BUY",Bittrex!D898="USD"),"Buy","Trade")))</f>
        <v/>
      </c>
      <c r="D898" t="str">
        <f>IF('Bittrex Data'!B898="","",LEFT(LEFT('Bittrex Data'!B898,SEARCH("-",'Bittrex Data'!B898,1)),LEN(LEFT('Bittrex Data'!B898,SEARCH("-",'Bittrex Data'!B898,1)))-1))</f>
        <v/>
      </c>
      <c r="E898" t="str">
        <f>IF('Bittrex Data'!B898="","",RIGHT(RIGHT('Bittrex Data'!B898,LEN('Bittrex Data'!B898)-SEARCH("-",'Bittrex Data'!B898,1)+1),LEN(RIGHT('Bittrex Data'!B898,LEN('Bittrex Data'!B898)-SEARCH("-",'Bittrex Data'!B898,1)+1))-1))</f>
        <v/>
      </c>
      <c r="F898" t="str">
        <f>IF('Bittrex Data'!C898="","",IF('Bittrex Data'!C898="Limit_Sell",'Bittrex Data'!G898-'Bittrex Data'!F898,IF('Bittrex Data'!C898="Limit_Buy",'Bittrex Data'!G898+'Bittrex Data'!F898,"")))</f>
        <v/>
      </c>
      <c r="G898" t="str">
        <f>IF('Bittrex Data'!B898="","",'Bittrex Data'!D898)</f>
        <v/>
      </c>
      <c r="H898" t="str">
        <f>IF('Bittrex Data'!C898="","",IF(Bittrex!C898="Buy",Bittrex!D898,IF(Bittrex!C898="Sale",Bittrex!E898,IF(AND(Bittrex!C898="Trade",'Bittrex Data'!C898="Limit_Sell"),Bittrex!E898,IF(AND(Bittrex!C898="Trade",'Bittrex Data'!C898="Limit_Buy"),Bittrex!D898,"")))))</f>
        <v/>
      </c>
      <c r="I898" t="str">
        <f>IF('Bittrex Data'!C898="","",IF(Bittrex!C898="Buy",F898,IF(C898="Sale",Bittrex!G898,IF(AND(C898="Trade",'Bittrex Data'!C898="Limit_Sell"),Bittrex!G898,IF(AND(Bittrex!C898="Trade",'Bittrex Data'!C898="Limit_Buy"),F898,"")))))</f>
        <v/>
      </c>
      <c r="J898" t="str">
        <f>IF('Bittrex Data'!B898="","",IF('Bittrex Data'!B898="","",IF(Bittrex!H898=Bittrex!E898,D898,Bittrex!E898)))</f>
        <v/>
      </c>
      <c r="K898" t="str">
        <f>IF('Bittrex Data'!B898="","",IF(Bittrex!I898=Bittrex!G898,Bittrex!F898,Bittrex!G898))</f>
        <v/>
      </c>
    </row>
    <row r="899" spans="3:11" x14ac:dyDescent="0.2">
      <c r="C899" t="str">
        <f>IF('Bittrex Data'!A899="","",IF(AND('Bittrex Data'!C899="LIMIT_SELL",Bittrex!D899="USD"),"Sale",IF(AND('Bittrex Data'!C899="LIMIT_BUY",Bittrex!D899="USD"),"Buy","Trade")))</f>
        <v/>
      </c>
      <c r="D899" t="str">
        <f>IF('Bittrex Data'!B899="","",LEFT(LEFT('Bittrex Data'!B899,SEARCH("-",'Bittrex Data'!B899,1)),LEN(LEFT('Bittrex Data'!B899,SEARCH("-",'Bittrex Data'!B899,1)))-1))</f>
        <v/>
      </c>
      <c r="E899" t="str">
        <f>IF('Bittrex Data'!B899="","",RIGHT(RIGHT('Bittrex Data'!B899,LEN('Bittrex Data'!B899)-SEARCH("-",'Bittrex Data'!B899,1)+1),LEN(RIGHT('Bittrex Data'!B899,LEN('Bittrex Data'!B899)-SEARCH("-",'Bittrex Data'!B899,1)+1))-1))</f>
        <v/>
      </c>
      <c r="F899" t="str">
        <f>IF('Bittrex Data'!C899="","",IF('Bittrex Data'!C899="Limit_Sell",'Bittrex Data'!G899-'Bittrex Data'!F899,IF('Bittrex Data'!C899="Limit_Buy",'Bittrex Data'!G899+'Bittrex Data'!F899,"")))</f>
        <v/>
      </c>
      <c r="G899" t="str">
        <f>IF('Bittrex Data'!B899="","",'Bittrex Data'!D899)</f>
        <v/>
      </c>
      <c r="H899" t="str">
        <f>IF('Bittrex Data'!C899="","",IF(Bittrex!C899="Buy",Bittrex!D899,IF(Bittrex!C899="Sale",Bittrex!E899,IF(AND(Bittrex!C899="Trade",'Bittrex Data'!C899="Limit_Sell"),Bittrex!E899,IF(AND(Bittrex!C899="Trade",'Bittrex Data'!C899="Limit_Buy"),Bittrex!D899,"")))))</f>
        <v/>
      </c>
      <c r="I899" t="str">
        <f>IF('Bittrex Data'!C899="","",IF(Bittrex!C899="Buy",F899,IF(C899="Sale",Bittrex!G899,IF(AND(C899="Trade",'Bittrex Data'!C899="Limit_Sell"),Bittrex!G899,IF(AND(Bittrex!C899="Trade",'Bittrex Data'!C899="Limit_Buy"),F899,"")))))</f>
        <v/>
      </c>
      <c r="J899" t="str">
        <f>IF('Bittrex Data'!B899="","",IF('Bittrex Data'!B899="","",IF(Bittrex!H899=Bittrex!E899,D899,Bittrex!E899)))</f>
        <v/>
      </c>
      <c r="K899" t="str">
        <f>IF('Bittrex Data'!B899="","",IF(Bittrex!I899=Bittrex!G899,Bittrex!F899,Bittrex!G899))</f>
        <v/>
      </c>
    </row>
    <row r="900" spans="3:11" x14ac:dyDescent="0.2">
      <c r="C900" t="str">
        <f>IF('Bittrex Data'!A900="","",IF(AND('Bittrex Data'!C900="LIMIT_SELL",Bittrex!D900="USD"),"Sale",IF(AND('Bittrex Data'!C900="LIMIT_BUY",Bittrex!D900="USD"),"Buy","Trade")))</f>
        <v/>
      </c>
      <c r="D900" t="str">
        <f>IF('Bittrex Data'!B900="","",LEFT(LEFT('Bittrex Data'!B900,SEARCH("-",'Bittrex Data'!B900,1)),LEN(LEFT('Bittrex Data'!B900,SEARCH("-",'Bittrex Data'!B900,1)))-1))</f>
        <v/>
      </c>
      <c r="E900" t="str">
        <f>IF('Bittrex Data'!B900="","",RIGHT(RIGHT('Bittrex Data'!B900,LEN('Bittrex Data'!B900)-SEARCH("-",'Bittrex Data'!B900,1)+1),LEN(RIGHT('Bittrex Data'!B900,LEN('Bittrex Data'!B900)-SEARCH("-",'Bittrex Data'!B900,1)+1))-1))</f>
        <v/>
      </c>
      <c r="F900" t="str">
        <f>IF('Bittrex Data'!C900="","",IF('Bittrex Data'!C900="Limit_Sell",'Bittrex Data'!G900-'Bittrex Data'!F900,IF('Bittrex Data'!C900="Limit_Buy",'Bittrex Data'!G900+'Bittrex Data'!F900,"")))</f>
        <v/>
      </c>
      <c r="G900" t="str">
        <f>IF('Bittrex Data'!B900="","",'Bittrex Data'!D900)</f>
        <v/>
      </c>
      <c r="H900" t="str">
        <f>IF('Bittrex Data'!C900="","",IF(Bittrex!C900="Buy",Bittrex!D900,IF(Bittrex!C900="Sale",Bittrex!E900,IF(AND(Bittrex!C900="Trade",'Bittrex Data'!C900="Limit_Sell"),Bittrex!E900,IF(AND(Bittrex!C900="Trade",'Bittrex Data'!C900="Limit_Buy"),Bittrex!D900,"")))))</f>
        <v/>
      </c>
      <c r="I900" t="str">
        <f>IF('Bittrex Data'!C900="","",IF(Bittrex!C900="Buy",F900,IF(C900="Sale",Bittrex!G900,IF(AND(C900="Trade",'Bittrex Data'!C900="Limit_Sell"),Bittrex!G900,IF(AND(Bittrex!C900="Trade",'Bittrex Data'!C900="Limit_Buy"),F900,"")))))</f>
        <v/>
      </c>
      <c r="J900" t="str">
        <f>IF('Bittrex Data'!B900="","",IF('Bittrex Data'!B900="","",IF(Bittrex!H900=Bittrex!E900,D900,Bittrex!E900)))</f>
        <v/>
      </c>
      <c r="K900" t="str">
        <f>IF('Bittrex Data'!B900="","",IF(Bittrex!I900=Bittrex!G900,Bittrex!F900,Bittrex!G900))</f>
        <v/>
      </c>
    </row>
    <row r="901" spans="3:11" x14ac:dyDescent="0.2">
      <c r="C901" t="str">
        <f>IF('Bittrex Data'!A901="","",IF(AND('Bittrex Data'!C901="LIMIT_SELL",Bittrex!D901="USD"),"Sale",IF(AND('Bittrex Data'!C901="LIMIT_BUY",Bittrex!D901="USD"),"Buy","Trade")))</f>
        <v/>
      </c>
      <c r="D901" t="str">
        <f>IF('Bittrex Data'!B901="","",LEFT(LEFT('Bittrex Data'!B901,SEARCH("-",'Bittrex Data'!B901,1)),LEN(LEFT('Bittrex Data'!B901,SEARCH("-",'Bittrex Data'!B901,1)))-1))</f>
        <v/>
      </c>
      <c r="E901" t="str">
        <f>IF('Bittrex Data'!B901="","",RIGHT(RIGHT('Bittrex Data'!B901,LEN('Bittrex Data'!B901)-SEARCH("-",'Bittrex Data'!B901,1)+1),LEN(RIGHT('Bittrex Data'!B901,LEN('Bittrex Data'!B901)-SEARCH("-",'Bittrex Data'!B901,1)+1))-1))</f>
        <v/>
      </c>
      <c r="F901" t="str">
        <f>IF('Bittrex Data'!C901="","",IF('Bittrex Data'!C901="Limit_Sell",'Bittrex Data'!G901-'Bittrex Data'!F901,IF('Bittrex Data'!C901="Limit_Buy",'Bittrex Data'!G901+'Bittrex Data'!F901,"")))</f>
        <v/>
      </c>
      <c r="G901" t="str">
        <f>IF('Bittrex Data'!B901="","",'Bittrex Data'!D901)</f>
        <v/>
      </c>
      <c r="H901" t="str">
        <f>IF('Bittrex Data'!C901="","",IF(Bittrex!C901="Buy",Bittrex!D901,IF(Bittrex!C901="Sale",Bittrex!E901,IF(AND(Bittrex!C901="Trade",'Bittrex Data'!C901="Limit_Sell"),Bittrex!E901,IF(AND(Bittrex!C901="Trade",'Bittrex Data'!C901="Limit_Buy"),Bittrex!D901,"")))))</f>
        <v/>
      </c>
      <c r="I901" t="str">
        <f>IF('Bittrex Data'!C901="","",IF(Bittrex!C901="Buy",F901,IF(C901="Sale",Bittrex!G901,IF(AND(C901="Trade",'Bittrex Data'!C901="Limit_Sell"),Bittrex!G901,IF(AND(Bittrex!C901="Trade",'Bittrex Data'!C901="Limit_Buy"),F901,"")))))</f>
        <v/>
      </c>
      <c r="J901" t="str">
        <f>IF('Bittrex Data'!B901="","",IF('Bittrex Data'!B901="","",IF(Bittrex!H901=Bittrex!E901,D901,Bittrex!E901)))</f>
        <v/>
      </c>
      <c r="K901" t="str">
        <f>IF('Bittrex Data'!B901="","",IF(Bittrex!I901=Bittrex!G901,Bittrex!F901,Bittrex!G901))</f>
        <v/>
      </c>
    </row>
    <row r="902" spans="3:11" x14ac:dyDescent="0.2">
      <c r="C902" t="str">
        <f>IF('Bittrex Data'!A902="","",IF(AND('Bittrex Data'!C902="LIMIT_SELL",Bittrex!D902="USD"),"Sale",IF(AND('Bittrex Data'!C902="LIMIT_BUY",Bittrex!D902="USD"),"Buy","Trade")))</f>
        <v/>
      </c>
      <c r="D902" t="str">
        <f>IF('Bittrex Data'!B902="","",LEFT(LEFT('Bittrex Data'!B902,SEARCH("-",'Bittrex Data'!B902,1)),LEN(LEFT('Bittrex Data'!B902,SEARCH("-",'Bittrex Data'!B902,1)))-1))</f>
        <v/>
      </c>
      <c r="E902" t="str">
        <f>IF('Bittrex Data'!B902="","",RIGHT(RIGHT('Bittrex Data'!B902,LEN('Bittrex Data'!B902)-SEARCH("-",'Bittrex Data'!B902,1)+1),LEN(RIGHT('Bittrex Data'!B902,LEN('Bittrex Data'!B902)-SEARCH("-",'Bittrex Data'!B902,1)+1))-1))</f>
        <v/>
      </c>
      <c r="F902" t="str">
        <f>IF('Bittrex Data'!C902="","",IF('Bittrex Data'!C902="Limit_Sell",'Bittrex Data'!G902-'Bittrex Data'!F902,IF('Bittrex Data'!C902="Limit_Buy",'Bittrex Data'!G902+'Bittrex Data'!F902,"")))</f>
        <v/>
      </c>
      <c r="G902" t="str">
        <f>IF('Bittrex Data'!B902="","",'Bittrex Data'!D902)</f>
        <v/>
      </c>
      <c r="H902" t="str">
        <f>IF('Bittrex Data'!C902="","",IF(Bittrex!C902="Buy",Bittrex!D902,IF(Bittrex!C902="Sale",Bittrex!E902,IF(AND(Bittrex!C902="Trade",'Bittrex Data'!C902="Limit_Sell"),Bittrex!E902,IF(AND(Bittrex!C902="Trade",'Bittrex Data'!C902="Limit_Buy"),Bittrex!D902,"")))))</f>
        <v/>
      </c>
      <c r="I902" t="str">
        <f>IF('Bittrex Data'!C902="","",IF(Bittrex!C902="Buy",F902,IF(C902="Sale",Bittrex!G902,IF(AND(C902="Trade",'Bittrex Data'!C902="Limit_Sell"),Bittrex!G902,IF(AND(Bittrex!C902="Trade",'Bittrex Data'!C902="Limit_Buy"),F902,"")))))</f>
        <v/>
      </c>
      <c r="J902" t="str">
        <f>IF('Bittrex Data'!B902="","",IF('Bittrex Data'!B902="","",IF(Bittrex!H902=Bittrex!E902,D902,Bittrex!E902)))</f>
        <v/>
      </c>
      <c r="K902" t="str">
        <f>IF('Bittrex Data'!B902="","",IF(Bittrex!I902=Bittrex!G902,Bittrex!F902,Bittrex!G902))</f>
        <v/>
      </c>
    </row>
    <row r="903" spans="3:11" x14ac:dyDescent="0.2">
      <c r="C903" t="str">
        <f>IF('Bittrex Data'!A903="","",IF(AND('Bittrex Data'!C903="LIMIT_SELL",Bittrex!D903="USD"),"Sale",IF(AND('Bittrex Data'!C903="LIMIT_BUY",Bittrex!D903="USD"),"Buy","Trade")))</f>
        <v/>
      </c>
      <c r="D903" t="str">
        <f>IF('Bittrex Data'!B903="","",LEFT(LEFT('Bittrex Data'!B903,SEARCH("-",'Bittrex Data'!B903,1)),LEN(LEFT('Bittrex Data'!B903,SEARCH("-",'Bittrex Data'!B903,1)))-1))</f>
        <v/>
      </c>
      <c r="E903" t="str">
        <f>IF('Bittrex Data'!B903="","",RIGHT(RIGHT('Bittrex Data'!B903,LEN('Bittrex Data'!B903)-SEARCH("-",'Bittrex Data'!B903,1)+1),LEN(RIGHT('Bittrex Data'!B903,LEN('Bittrex Data'!B903)-SEARCH("-",'Bittrex Data'!B903,1)+1))-1))</f>
        <v/>
      </c>
      <c r="F903" t="str">
        <f>IF('Bittrex Data'!C903="","",IF('Bittrex Data'!C903="Limit_Sell",'Bittrex Data'!G903-'Bittrex Data'!F903,IF('Bittrex Data'!C903="Limit_Buy",'Bittrex Data'!G903+'Bittrex Data'!F903,"")))</f>
        <v/>
      </c>
      <c r="G903" t="str">
        <f>IF('Bittrex Data'!B903="","",'Bittrex Data'!D903)</f>
        <v/>
      </c>
      <c r="H903" t="str">
        <f>IF('Bittrex Data'!C903="","",IF(Bittrex!C903="Buy",Bittrex!D903,IF(Bittrex!C903="Sale",Bittrex!E903,IF(AND(Bittrex!C903="Trade",'Bittrex Data'!C903="Limit_Sell"),Bittrex!E903,IF(AND(Bittrex!C903="Trade",'Bittrex Data'!C903="Limit_Buy"),Bittrex!D903,"")))))</f>
        <v/>
      </c>
      <c r="I903" t="str">
        <f>IF('Bittrex Data'!C903="","",IF(Bittrex!C903="Buy",F903,IF(C903="Sale",Bittrex!G903,IF(AND(C903="Trade",'Bittrex Data'!C903="Limit_Sell"),Bittrex!G903,IF(AND(Bittrex!C903="Trade",'Bittrex Data'!C903="Limit_Buy"),F903,"")))))</f>
        <v/>
      </c>
      <c r="J903" t="str">
        <f>IF('Bittrex Data'!B903="","",IF('Bittrex Data'!B903="","",IF(Bittrex!H903=Bittrex!E903,D903,Bittrex!E903)))</f>
        <v/>
      </c>
      <c r="K903" t="str">
        <f>IF('Bittrex Data'!B903="","",IF(Bittrex!I903=Bittrex!G903,Bittrex!F903,Bittrex!G903))</f>
        <v/>
      </c>
    </row>
    <row r="904" spans="3:11" x14ac:dyDescent="0.2">
      <c r="C904" t="str">
        <f>IF('Bittrex Data'!A904="","",IF(AND('Bittrex Data'!C904="LIMIT_SELL",Bittrex!D904="USD"),"Sale",IF(AND('Bittrex Data'!C904="LIMIT_BUY",Bittrex!D904="USD"),"Buy","Trade")))</f>
        <v/>
      </c>
      <c r="D904" t="str">
        <f>IF('Bittrex Data'!B904="","",LEFT(LEFT('Bittrex Data'!B904,SEARCH("-",'Bittrex Data'!B904,1)),LEN(LEFT('Bittrex Data'!B904,SEARCH("-",'Bittrex Data'!B904,1)))-1))</f>
        <v/>
      </c>
      <c r="E904" t="str">
        <f>IF('Bittrex Data'!B904="","",RIGHT(RIGHT('Bittrex Data'!B904,LEN('Bittrex Data'!B904)-SEARCH("-",'Bittrex Data'!B904,1)+1),LEN(RIGHT('Bittrex Data'!B904,LEN('Bittrex Data'!B904)-SEARCH("-",'Bittrex Data'!B904,1)+1))-1))</f>
        <v/>
      </c>
      <c r="F904" t="str">
        <f>IF('Bittrex Data'!C904="","",IF('Bittrex Data'!C904="Limit_Sell",'Bittrex Data'!G904-'Bittrex Data'!F904,IF('Bittrex Data'!C904="Limit_Buy",'Bittrex Data'!G904+'Bittrex Data'!F904,"")))</f>
        <v/>
      </c>
      <c r="G904" t="str">
        <f>IF('Bittrex Data'!B904="","",'Bittrex Data'!D904)</f>
        <v/>
      </c>
      <c r="H904" t="str">
        <f>IF('Bittrex Data'!C904="","",IF(Bittrex!C904="Buy",Bittrex!D904,IF(Bittrex!C904="Sale",Bittrex!E904,IF(AND(Bittrex!C904="Trade",'Bittrex Data'!C904="Limit_Sell"),Bittrex!E904,IF(AND(Bittrex!C904="Trade",'Bittrex Data'!C904="Limit_Buy"),Bittrex!D904,"")))))</f>
        <v/>
      </c>
      <c r="I904" t="str">
        <f>IF('Bittrex Data'!C904="","",IF(Bittrex!C904="Buy",F904,IF(C904="Sale",Bittrex!G904,IF(AND(C904="Trade",'Bittrex Data'!C904="Limit_Sell"),Bittrex!G904,IF(AND(Bittrex!C904="Trade",'Bittrex Data'!C904="Limit_Buy"),F904,"")))))</f>
        <v/>
      </c>
      <c r="J904" t="str">
        <f>IF('Bittrex Data'!B904="","",IF('Bittrex Data'!B904="","",IF(Bittrex!H904=Bittrex!E904,D904,Bittrex!E904)))</f>
        <v/>
      </c>
      <c r="K904" t="str">
        <f>IF('Bittrex Data'!B904="","",IF(Bittrex!I904=Bittrex!G904,Bittrex!F904,Bittrex!G904))</f>
        <v/>
      </c>
    </row>
    <row r="905" spans="3:11" x14ac:dyDescent="0.2">
      <c r="C905" t="str">
        <f>IF('Bittrex Data'!A905="","",IF(AND('Bittrex Data'!C905="LIMIT_SELL",Bittrex!D905="USD"),"Sale",IF(AND('Bittrex Data'!C905="LIMIT_BUY",Bittrex!D905="USD"),"Buy","Trade")))</f>
        <v/>
      </c>
      <c r="D905" t="str">
        <f>IF('Bittrex Data'!B905="","",LEFT(LEFT('Bittrex Data'!B905,SEARCH("-",'Bittrex Data'!B905,1)),LEN(LEFT('Bittrex Data'!B905,SEARCH("-",'Bittrex Data'!B905,1)))-1))</f>
        <v/>
      </c>
      <c r="E905" t="str">
        <f>IF('Bittrex Data'!B905="","",RIGHT(RIGHT('Bittrex Data'!B905,LEN('Bittrex Data'!B905)-SEARCH("-",'Bittrex Data'!B905,1)+1),LEN(RIGHT('Bittrex Data'!B905,LEN('Bittrex Data'!B905)-SEARCH("-",'Bittrex Data'!B905,1)+1))-1))</f>
        <v/>
      </c>
      <c r="F905" t="str">
        <f>IF('Bittrex Data'!C905="","",IF('Bittrex Data'!C905="Limit_Sell",'Bittrex Data'!G905-'Bittrex Data'!F905,IF('Bittrex Data'!C905="Limit_Buy",'Bittrex Data'!G905+'Bittrex Data'!F905,"")))</f>
        <v/>
      </c>
      <c r="G905" t="str">
        <f>IF('Bittrex Data'!B905="","",'Bittrex Data'!D905)</f>
        <v/>
      </c>
      <c r="H905" t="str">
        <f>IF('Bittrex Data'!C905="","",IF(Bittrex!C905="Buy",Bittrex!D905,IF(Bittrex!C905="Sale",Bittrex!E905,IF(AND(Bittrex!C905="Trade",'Bittrex Data'!C905="Limit_Sell"),Bittrex!E905,IF(AND(Bittrex!C905="Trade",'Bittrex Data'!C905="Limit_Buy"),Bittrex!D905,"")))))</f>
        <v/>
      </c>
      <c r="I905" t="str">
        <f>IF('Bittrex Data'!C905="","",IF(Bittrex!C905="Buy",F905,IF(C905="Sale",Bittrex!G905,IF(AND(C905="Trade",'Bittrex Data'!C905="Limit_Sell"),Bittrex!G905,IF(AND(Bittrex!C905="Trade",'Bittrex Data'!C905="Limit_Buy"),F905,"")))))</f>
        <v/>
      </c>
      <c r="J905" t="str">
        <f>IF('Bittrex Data'!B905="","",IF('Bittrex Data'!B905="","",IF(Bittrex!H905=Bittrex!E905,D905,Bittrex!E905)))</f>
        <v/>
      </c>
      <c r="K905" t="str">
        <f>IF('Bittrex Data'!B905="","",IF(Bittrex!I905=Bittrex!G905,Bittrex!F905,Bittrex!G905))</f>
        <v/>
      </c>
    </row>
    <row r="906" spans="3:11" x14ac:dyDescent="0.2">
      <c r="C906" t="str">
        <f>IF('Bittrex Data'!A906="","",IF(AND('Bittrex Data'!C906="LIMIT_SELL",Bittrex!D906="USD"),"Sale",IF(AND('Bittrex Data'!C906="LIMIT_BUY",Bittrex!D906="USD"),"Buy","Trade")))</f>
        <v/>
      </c>
      <c r="D906" t="str">
        <f>IF('Bittrex Data'!B906="","",LEFT(LEFT('Bittrex Data'!B906,SEARCH("-",'Bittrex Data'!B906,1)),LEN(LEFT('Bittrex Data'!B906,SEARCH("-",'Bittrex Data'!B906,1)))-1))</f>
        <v/>
      </c>
      <c r="E906" t="str">
        <f>IF('Bittrex Data'!B906="","",RIGHT(RIGHT('Bittrex Data'!B906,LEN('Bittrex Data'!B906)-SEARCH("-",'Bittrex Data'!B906,1)+1),LEN(RIGHT('Bittrex Data'!B906,LEN('Bittrex Data'!B906)-SEARCH("-",'Bittrex Data'!B906,1)+1))-1))</f>
        <v/>
      </c>
      <c r="F906" t="str">
        <f>IF('Bittrex Data'!C906="","",IF('Bittrex Data'!C906="Limit_Sell",'Bittrex Data'!G906-'Bittrex Data'!F906,IF('Bittrex Data'!C906="Limit_Buy",'Bittrex Data'!G906+'Bittrex Data'!F906,"")))</f>
        <v/>
      </c>
      <c r="G906" t="str">
        <f>IF('Bittrex Data'!B906="","",'Bittrex Data'!D906)</f>
        <v/>
      </c>
      <c r="H906" t="str">
        <f>IF('Bittrex Data'!C906="","",IF(Bittrex!C906="Buy",Bittrex!D906,IF(Bittrex!C906="Sale",Bittrex!E906,IF(AND(Bittrex!C906="Trade",'Bittrex Data'!C906="Limit_Sell"),Bittrex!E906,IF(AND(Bittrex!C906="Trade",'Bittrex Data'!C906="Limit_Buy"),Bittrex!D906,"")))))</f>
        <v/>
      </c>
      <c r="I906" t="str">
        <f>IF('Bittrex Data'!C906="","",IF(Bittrex!C906="Buy",F906,IF(C906="Sale",Bittrex!G906,IF(AND(C906="Trade",'Bittrex Data'!C906="Limit_Sell"),Bittrex!G906,IF(AND(Bittrex!C906="Trade",'Bittrex Data'!C906="Limit_Buy"),F906,"")))))</f>
        <v/>
      </c>
      <c r="J906" t="str">
        <f>IF('Bittrex Data'!B906="","",IF('Bittrex Data'!B906="","",IF(Bittrex!H906=Bittrex!E906,D906,Bittrex!E906)))</f>
        <v/>
      </c>
      <c r="K906" t="str">
        <f>IF('Bittrex Data'!B906="","",IF(Bittrex!I906=Bittrex!G906,Bittrex!F906,Bittrex!G906))</f>
        <v/>
      </c>
    </row>
    <row r="907" spans="3:11" x14ac:dyDescent="0.2">
      <c r="C907" t="str">
        <f>IF('Bittrex Data'!A907="","",IF(AND('Bittrex Data'!C907="LIMIT_SELL",Bittrex!D907="USD"),"Sale",IF(AND('Bittrex Data'!C907="LIMIT_BUY",Bittrex!D907="USD"),"Buy","Trade")))</f>
        <v/>
      </c>
      <c r="D907" t="str">
        <f>IF('Bittrex Data'!B907="","",LEFT(LEFT('Bittrex Data'!B907,SEARCH("-",'Bittrex Data'!B907,1)),LEN(LEFT('Bittrex Data'!B907,SEARCH("-",'Bittrex Data'!B907,1)))-1))</f>
        <v/>
      </c>
      <c r="E907" t="str">
        <f>IF('Bittrex Data'!B907="","",RIGHT(RIGHT('Bittrex Data'!B907,LEN('Bittrex Data'!B907)-SEARCH("-",'Bittrex Data'!B907,1)+1),LEN(RIGHT('Bittrex Data'!B907,LEN('Bittrex Data'!B907)-SEARCH("-",'Bittrex Data'!B907,1)+1))-1))</f>
        <v/>
      </c>
      <c r="F907" t="str">
        <f>IF('Bittrex Data'!C907="","",IF('Bittrex Data'!C907="Limit_Sell",'Bittrex Data'!G907-'Bittrex Data'!F907,IF('Bittrex Data'!C907="Limit_Buy",'Bittrex Data'!G907+'Bittrex Data'!F907,"")))</f>
        <v/>
      </c>
      <c r="G907" t="str">
        <f>IF('Bittrex Data'!B907="","",'Bittrex Data'!D907)</f>
        <v/>
      </c>
      <c r="H907" t="str">
        <f>IF('Bittrex Data'!C907="","",IF(Bittrex!C907="Buy",Bittrex!D907,IF(Bittrex!C907="Sale",Bittrex!E907,IF(AND(Bittrex!C907="Trade",'Bittrex Data'!C907="Limit_Sell"),Bittrex!E907,IF(AND(Bittrex!C907="Trade",'Bittrex Data'!C907="Limit_Buy"),Bittrex!D907,"")))))</f>
        <v/>
      </c>
      <c r="I907" t="str">
        <f>IF('Bittrex Data'!C907="","",IF(Bittrex!C907="Buy",F907,IF(C907="Sale",Bittrex!G907,IF(AND(C907="Trade",'Bittrex Data'!C907="Limit_Sell"),Bittrex!G907,IF(AND(Bittrex!C907="Trade",'Bittrex Data'!C907="Limit_Buy"),F907,"")))))</f>
        <v/>
      </c>
      <c r="J907" t="str">
        <f>IF('Bittrex Data'!B907="","",IF('Bittrex Data'!B907="","",IF(Bittrex!H907=Bittrex!E907,D907,Bittrex!E907)))</f>
        <v/>
      </c>
      <c r="K907" t="str">
        <f>IF('Bittrex Data'!B907="","",IF(Bittrex!I907=Bittrex!G907,Bittrex!F907,Bittrex!G907))</f>
        <v/>
      </c>
    </row>
    <row r="908" spans="3:11" x14ac:dyDescent="0.2">
      <c r="C908" t="str">
        <f>IF('Bittrex Data'!A908="","",IF(AND('Bittrex Data'!C908="LIMIT_SELL",Bittrex!D908="USD"),"Sale",IF(AND('Bittrex Data'!C908="LIMIT_BUY",Bittrex!D908="USD"),"Buy","Trade")))</f>
        <v/>
      </c>
      <c r="D908" t="str">
        <f>IF('Bittrex Data'!B908="","",LEFT(LEFT('Bittrex Data'!B908,SEARCH("-",'Bittrex Data'!B908,1)),LEN(LEFT('Bittrex Data'!B908,SEARCH("-",'Bittrex Data'!B908,1)))-1))</f>
        <v/>
      </c>
      <c r="E908" t="str">
        <f>IF('Bittrex Data'!B908="","",RIGHT(RIGHT('Bittrex Data'!B908,LEN('Bittrex Data'!B908)-SEARCH("-",'Bittrex Data'!B908,1)+1),LEN(RIGHT('Bittrex Data'!B908,LEN('Bittrex Data'!B908)-SEARCH("-",'Bittrex Data'!B908,1)+1))-1))</f>
        <v/>
      </c>
      <c r="F908" t="str">
        <f>IF('Bittrex Data'!C908="","",IF('Bittrex Data'!C908="Limit_Sell",'Bittrex Data'!G908-'Bittrex Data'!F908,IF('Bittrex Data'!C908="Limit_Buy",'Bittrex Data'!G908+'Bittrex Data'!F908,"")))</f>
        <v/>
      </c>
      <c r="G908" t="str">
        <f>IF('Bittrex Data'!B908="","",'Bittrex Data'!D908)</f>
        <v/>
      </c>
      <c r="H908" t="str">
        <f>IF('Bittrex Data'!C908="","",IF(Bittrex!C908="Buy",Bittrex!D908,IF(Bittrex!C908="Sale",Bittrex!E908,IF(AND(Bittrex!C908="Trade",'Bittrex Data'!C908="Limit_Sell"),Bittrex!E908,IF(AND(Bittrex!C908="Trade",'Bittrex Data'!C908="Limit_Buy"),Bittrex!D908,"")))))</f>
        <v/>
      </c>
      <c r="I908" t="str">
        <f>IF('Bittrex Data'!C908="","",IF(Bittrex!C908="Buy",F908,IF(C908="Sale",Bittrex!G908,IF(AND(C908="Trade",'Bittrex Data'!C908="Limit_Sell"),Bittrex!G908,IF(AND(Bittrex!C908="Trade",'Bittrex Data'!C908="Limit_Buy"),F908,"")))))</f>
        <v/>
      </c>
      <c r="J908" t="str">
        <f>IF('Bittrex Data'!B908="","",IF('Bittrex Data'!B908="","",IF(Bittrex!H908=Bittrex!E908,D908,Bittrex!E908)))</f>
        <v/>
      </c>
      <c r="K908" t="str">
        <f>IF('Bittrex Data'!B908="","",IF(Bittrex!I908=Bittrex!G908,Bittrex!F908,Bittrex!G908))</f>
        <v/>
      </c>
    </row>
    <row r="909" spans="3:11" x14ac:dyDescent="0.2">
      <c r="C909" t="str">
        <f>IF('Bittrex Data'!A909="","",IF(AND('Bittrex Data'!C909="LIMIT_SELL",Bittrex!D909="USD"),"Sale",IF(AND('Bittrex Data'!C909="LIMIT_BUY",Bittrex!D909="USD"),"Buy","Trade")))</f>
        <v/>
      </c>
      <c r="D909" t="str">
        <f>IF('Bittrex Data'!B909="","",LEFT(LEFT('Bittrex Data'!B909,SEARCH("-",'Bittrex Data'!B909,1)),LEN(LEFT('Bittrex Data'!B909,SEARCH("-",'Bittrex Data'!B909,1)))-1))</f>
        <v/>
      </c>
      <c r="E909" t="str">
        <f>IF('Bittrex Data'!B909="","",RIGHT(RIGHT('Bittrex Data'!B909,LEN('Bittrex Data'!B909)-SEARCH("-",'Bittrex Data'!B909,1)+1),LEN(RIGHT('Bittrex Data'!B909,LEN('Bittrex Data'!B909)-SEARCH("-",'Bittrex Data'!B909,1)+1))-1))</f>
        <v/>
      </c>
      <c r="F909" t="str">
        <f>IF('Bittrex Data'!C909="","",IF('Bittrex Data'!C909="Limit_Sell",'Bittrex Data'!G909-'Bittrex Data'!F909,IF('Bittrex Data'!C909="Limit_Buy",'Bittrex Data'!G909+'Bittrex Data'!F909,"")))</f>
        <v/>
      </c>
      <c r="G909" t="str">
        <f>IF('Bittrex Data'!B909="","",'Bittrex Data'!D909)</f>
        <v/>
      </c>
      <c r="H909" t="str">
        <f>IF('Bittrex Data'!C909="","",IF(Bittrex!C909="Buy",Bittrex!D909,IF(Bittrex!C909="Sale",Bittrex!E909,IF(AND(Bittrex!C909="Trade",'Bittrex Data'!C909="Limit_Sell"),Bittrex!E909,IF(AND(Bittrex!C909="Trade",'Bittrex Data'!C909="Limit_Buy"),Bittrex!D909,"")))))</f>
        <v/>
      </c>
      <c r="I909" t="str">
        <f>IF('Bittrex Data'!C909="","",IF(Bittrex!C909="Buy",F909,IF(C909="Sale",Bittrex!G909,IF(AND(C909="Trade",'Bittrex Data'!C909="Limit_Sell"),Bittrex!G909,IF(AND(Bittrex!C909="Trade",'Bittrex Data'!C909="Limit_Buy"),F909,"")))))</f>
        <v/>
      </c>
      <c r="J909" t="str">
        <f>IF('Bittrex Data'!B909="","",IF('Bittrex Data'!B909="","",IF(Bittrex!H909=Bittrex!E909,D909,Bittrex!E909)))</f>
        <v/>
      </c>
      <c r="K909" t="str">
        <f>IF('Bittrex Data'!B909="","",IF(Bittrex!I909=Bittrex!G909,Bittrex!F909,Bittrex!G909))</f>
        <v/>
      </c>
    </row>
    <row r="910" spans="3:11" x14ac:dyDescent="0.2">
      <c r="C910" t="str">
        <f>IF('Bittrex Data'!A910="","",IF(AND('Bittrex Data'!C910="LIMIT_SELL",Bittrex!D910="USD"),"Sale",IF(AND('Bittrex Data'!C910="LIMIT_BUY",Bittrex!D910="USD"),"Buy","Trade")))</f>
        <v/>
      </c>
      <c r="D910" t="str">
        <f>IF('Bittrex Data'!B910="","",LEFT(LEFT('Bittrex Data'!B910,SEARCH("-",'Bittrex Data'!B910,1)),LEN(LEFT('Bittrex Data'!B910,SEARCH("-",'Bittrex Data'!B910,1)))-1))</f>
        <v/>
      </c>
      <c r="E910" t="str">
        <f>IF('Bittrex Data'!B910="","",RIGHT(RIGHT('Bittrex Data'!B910,LEN('Bittrex Data'!B910)-SEARCH("-",'Bittrex Data'!B910,1)+1),LEN(RIGHT('Bittrex Data'!B910,LEN('Bittrex Data'!B910)-SEARCH("-",'Bittrex Data'!B910,1)+1))-1))</f>
        <v/>
      </c>
      <c r="F910" t="str">
        <f>IF('Bittrex Data'!C910="","",IF('Bittrex Data'!C910="Limit_Sell",'Bittrex Data'!G910-'Bittrex Data'!F910,IF('Bittrex Data'!C910="Limit_Buy",'Bittrex Data'!G910+'Bittrex Data'!F910,"")))</f>
        <v/>
      </c>
      <c r="G910" t="str">
        <f>IF('Bittrex Data'!B910="","",'Bittrex Data'!D910)</f>
        <v/>
      </c>
      <c r="H910" t="str">
        <f>IF('Bittrex Data'!C910="","",IF(Bittrex!C910="Buy",Bittrex!D910,IF(Bittrex!C910="Sale",Bittrex!E910,IF(AND(Bittrex!C910="Trade",'Bittrex Data'!C910="Limit_Sell"),Bittrex!E910,IF(AND(Bittrex!C910="Trade",'Bittrex Data'!C910="Limit_Buy"),Bittrex!D910,"")))))</f>
        <v/>
      </c>
      <c r="I910" t="str">
        <f>IF('Bittrex Data'!C910="","",IF(Bittrex!C910="Buy",F910,IF(C910="Sale",Bittrex!G910,IF(AND(C910="Trade",'Bittrex Data'!C910="Limit_Sell"),Bittrex!G910,IF(AND(Bittrex!C910="Trade",'Bittrex Data'!C910="Limit_Buy"),F910,"")))))</f>
        <v/>
      </c>
      <c r="J910" t="str">
        <f>IF('Bittrex Data'!B910="","",IF('Bittrex Data'!B910="","",IF(Bittrex!H910=Bittrex!E910,D910,Bittrex!E910)))</f>
        <v/>
      </c>
      <c r="K910" t="str">
        <f>IF('Bittrex Data'!B910="","",IF(Bittrex!I910=Bittrex!G910,Bittrex!F910,Bittrex!G910))</f>
        <v/>
      </c>
    </row>
    <row r="911" spans="3:11" x14ac:dyDescent="0.2">
      <c r="C911" t="str">
        <f>IF('Bittrex Data'!A911="","",IF(AND('Bittrex Data'!C911="LIMIT_SELL",Bittrex!D911="USD"),"Sale",IF(AND('Bittrex Data'!C911="LIMIT_BUY",Bittrex!D911="USD"),"Buy","Trade")))</f>
        <v/>
      </c>
      <c r="D911" t="str">
        <f>IF('Bittrex Data'!B911="","",LEFT(LEFT('Bittrex Data'!B911,SEARCH("-",'Bittrex Data'!B911,1)),LEN(LEFT('Bittrex Data'!B911,SEARCH("-",'Bittrex Data'!B911,1)))-1))</f>
        <v/>
      </c>
      <c r="E911" t="str">
        <f>IF('Bittrex Data'!B911="","",RIGHT(RIGHT('Bittrex Data'!B911,LEN('Bittrex Data'!B911)-SEARCH("-",'Bittrex Data'!B911,1)+1),LEN(RIGHT('Bittrex Data'!B911,LEN('Bittrex Data'!B911)-SEARCH("-",'Bittrex Data'!B911,1)+1))-1))</f>
        <v/>
      </c>
      <c r="F911" t="str">
        <f>IF('Bittrex Data'!C911="","",IF('Bittrex Data'!C911="Limit_Sell",'Bittrex Data'!G911-'Bittrex Data'!F911,IF('Bittrex Data'!C911="Limit_Buy",'Bittrex Data'!G911+'Bittrex Data'!F911,"")))</f>
        <v/>
      </c>
      <c r="G911" t="str">
        <f>IF('Bittrex Data'!B911="","",'Bittrex Data'!D911)</f>
        <v/>
      </c>
      <c r="H911" t="str">
        <f>IF('Bittrex Data'!C911="","",IF(Bittrex!C911="Buy",Bittrex!D911,IF(Bittrex!C911="Sale",Bittrex!E911,IF(AND(Bittrex!C911="Trade",'Bittrex Data'!C911="Limit_Sell"),Bittrex!E911,IF(AND(Bittrex!C911="Trade",'Bittrex Data'!C911="Limit_Buy"),Bittrex!D911,"")))))</f>
        <v/>
      </c>
      <c r="I911" t="str">
        <f>IF('Bittrex Data'!C911="","",IF(Bittrex!C911="Buy",F911,IF(C911="Sale",Bittrex!G911,IF(AND(C911="Trade",'Bittrex Data'!C911="Limit_Sell"),Bittrex!G911,IF(AND(Bittrex!C911="Trade",'Bittrex Data'!C911="Limit_Buy"),F911,"")))))</f>
        <v/>
      </c>
      <c r="J911" t="str">
        <f>IF('Bittrex Data'!B911="","",IF('Bittrex Data'!B911="","",IF(Bittrex!H911=Bittrex!E911,D911,Bittrex!E911)))</f>
        <v/>
      </c>
      <c r="K911" t="str">
        <f>IF('Bittrex Data'!B911="","",IF(Bittrex!I911=Bittrex!G911,Bittrex!F911,Bittrex!G911))</f>
        <v/>
      </c>
    </row>
    <row r="912" spans="3:11" x14ac:dyDescent="0.2">
      <c r="C912" t="str">
        <f>IF('Bittrex Data'!A912="","",IF(AND('Bittrex Data'!C912="LIMIT_SELL",Bittrex!D912="USD"),"Sale",IF(AND('Bittrex Data'!C912="LIMIT_BUY",Bittrex!D912="USD"),"Buy","Trade")))</f>
        <v/>
      </c>
      <c r="D912" t="str">
        <f>IF('Bittrex Data'!B912="","",LEFT(LEFT('Bittrex Data'!B912,SEARCH("-",'Bittrex Data'!B912,1)),LEN(LEFT('Bittrex Data'!B912,SEARCH("-",'Bittrex Data'!B912,1)))-1))</f>
        <v/>
      </c>
      <c r="E912" t="str">
        <f>IF('Bittrex Data'!B912="","",RIGHT(RIGHT('Bittrex Data'!B912,LEN('Bittrex Data'!B912)-SEARCH("-",'Bittrex Data'!B912,1)+1),LEN(RIGHT('Bittrex Data'!B912,LEN('Bittrex Data'!B912)-SEARCH("-",'Bittrex Data'!B912,1)+1))-1))</f>
        <v/>
      </c>
      <c r="F912" t="str">
        <f>IF('Bittrex Data'!C912="","",IF('Bittrex Data'!C912="Limit_Sell",'Bittrex Data'!G912-'Bittrex Data'!F912,IF('Bittrex Data'!C912="Limit_Buy",'Bittrex Data'!G912+'Bittrex Data'!F912,"")))</f>
        <v/>
      </c>
      <c r="G912" t="str">
        <f>IF('Bittrex Data'!B912="","",'Bittrex Data'!D912)</f>
        <v/>
      </c>
      <c r="H912" t="str">
        <f>IF('Bittrex Data'!C912="","",IF(Bittrex!C912="Buy",Bittrex!D912,IF(Bittrex!C912="Sale",Bittrex!E912,IF(AND(Bittrex!C912="Trade",'Bittrex Data'!C912="Limit_Sell"),Bittrex!E912,IF(AND(Bittrex!C912="Trade",'Bittrex Data'!C912="Limit_Buy"),Bittrex!D912,"")))))</f>
        <v/>
      </c>
      <c r="I912" t="str">
        <f>IF('Bittrex Data'!C912="","",IF(Bittrex!C912="Buy",F912,IF(C912="Sale",Bittrex!G912,IF(AND(C912="Trade",'Bittrex Data'!C912="Limit_Sell"),Bittrex!G912,IF(AND(Bittrex!C912="Trade",'Bittrex Data'!C912="Limit_Buy"),F912,"")))))</f>
        <v/>
      </c>
      <c r="J912" t="str">
        <f>IF('Bittrex Data'!B912="","",IF('Bittrex Data'!B912="","",IF(Bittrex!H912=Bittrex!E912,D912,Bittrex!E912)))</f>
        <v/>
      </c>
      <c r="K912" t="str">
        <f>IF('Bittrex Data'!B912="","",IF(Bittrex!I912=Bittrex!G912,Bittrex!F912,Bittrex!G912))</f>
        <v/>
      </c>
    </row>
    <row r="913" spans="3:11" x14ac:dyDescent="0.2">
      <c r="C913" t="str">
        <f>IF('Bittrex Data'!A913="","",IF(AND('Bittrex Data'!C913="LIMIT_SELL",Bittrex!D913="USD"),"Sale",IF(AND('Bittrex Data'!C913="LIMIT_BUY",Bittrex!D913="USD"),"Buy","Trade")))</f>
        <v/>
      </c>
      <c r="D913" t="str">
        <f>IF('Bittrex Data'!B913="","",LEFT(LEFT('Bittrex Data'!B913,SEARCH("-",'Bittrex Data'!B913,1)),LEN(LEFT('Bittrex Data'!B913,SEARCH("-",'Bittrex Data'!B913,1)))-1))</f>
        <v/>
      </c>
      <c r="E913" t="str">
        <f>IF('Bittrex Data'!B913="","",RIGHT(RIGHT('Bittrex Data'!B913,LEN('Bittrex Data'!B913)-SEARCH("-",'Bittrex Data'!B913,1)+1),LEN(RIGHT('Bittrex Data'!B913,LEN('Bittrex Data'!B913)-SEARCH("-",'Bittrex Data'!B913,1)+1))-1))</f>
        <v/>
      </c>
      <c r="F913" t="str">
        <f>IF('Bittrex Data'!C913="","",IF('Bittrex Data'!C913="Limit_Sell",'Bittrex Data'!G913-'Bittrex Data'!F913,IF('Bittrex Data'!C913="Limit_Buy",'Bittrex Data'!G913+'Bittrex Data'!F913,"")))</f>
        <v/>
      </c>
      <c r="G913" t="str">
        <f>IF('Bittrex Data'!B913="","",'Bittrex Data'!D913)</f>
        <v/>
      </c>
      <c r="H913" t="str">
        <f>IF('Bittrex Data'!C913="","",IF(Bittrex!C913="Buy",Bittrex!D913,IF(Bittrex!C913="Sale",Bittrex!E913,IF(AND(Bittrex!C913="Trade",'Bittrex Data'!C913="Limit_Sell"),Bittrex!E913,IF(AND(Bittrex!C913="Trade",'Bittrex Data'!C913="Limit_Buy"),Bittrex!D913,"")))))</f>
        <v/>
      </c>
      <c r="I913" t="str">
        <f>IF('Bittrex Data'!C913="","",IF(Bittrex!C913="Buy",F913,IF(C913="Sale",Bittrex!G913,IF(AND(C913="Trade",'Bittrex Data'!C913="Limit_Sell"),Bittrex!G913,IF(AND(Bittrex!C913="Trade",'Bittrex Data'!C913="Limit_Buy"),F913,"")))))</f>
        <v/>
      </c>
      <c r="J913" t="str">
        <f>IF('Bittrex Data'!B913="","",IF('Bittrex Data'!B913="","",IF(Bittrex!H913=Bittrex!E913,D913,Bittrex!E913)))</f>
        <v/>
      </c>
      <c r="K913" t="str">
        <f>IF('Bittrex Data'!B913="","",IF(Bittrex!I913=Bittrex!G913,Bittrex!F913,Bittrex!G913))</f>
        <v/>
      </c>
    </row>
    <row r="914" spans="3:11" x14ac:dyDescent="0.2">
      <c r="C914" t="str">
        <f>IF('Bittrex Data'!A914="","",IF(AND('Bittrex Data'!C914="LIMIT_SELL",Bittrex!D914="USD"),"Sale",IF(AND('Bittrex Data'!C914="LIMIT_BUY",Bittrex!D914="USD"),"Buy","Trade")))</f>
        <v/>
      </c>
      <c r="D914" t="str">
        <f>IF('Bittrex Data'!B914="","",LEFT(LEFT('Bittrex Data'!B914,SEARCH("-",'Bittrex Data'!B914,1)),LEN(LEFT('Bittrex Data'!B914,SEARCH("-",'Bittrex Data'!B914,1)))-1))</f>
        <v/>
      </c>
      <c r="E914" t="str">
        <f>IF('Bittrex Data'!B914="","",RIGHT(RIGHT('Bittrex Data'!B914,LEN('Bittrex Data'!B914)-SEARCH("-",'Bittrex Data'!B914,1)+1),LEN(RIGHT('Bittrex Data'!B914,LEN('Bittrex Data'!B914)-SEARCH("-",'Bittrex Data'!B914,1)+1))-1))</f>
        <v/>
      </c>
      <c r="F914" t="str">
        <f>IF('Bittrex Data'!C914="","",IF('Bittrex Data'!C914="Limit_Sell",'Bittrex Data'!G914-'Bittrex Data'!F914,IF('Bittrex Data'!C914="Limit_Buy",'Bittrex Data'!G914+'Bittrex Data'!F914,"")))</f>
        <v/>
      </c>
      <c r="G914" t="str">
        <f>IF('Bittrex Data'!B914="","",'Bittrex Data'!D914)</f>
        <v/>
      </c>
      <c r="H914" t="str">
        <f>IF('Bittrex Data'!C914="","",IF(Bittrex!C914="Buy",Bittrex!D914,IF(Bittrex!C914="Sale",Bittrex!E914,IF(AND(Bittrex!C914="Trade",'Bittrex Data'!C914="Limit_Sell"),Bittrex!E914,IF(AND(Bittrex!C914="Trade",'Bittrex Data'!C914="Limit_Buy"),Bittrex!D914,"")))))</f>
        <v/>
      </c>
      <c r="I914" t="str">
        <f>IF('Bittrex Data'!C914="","",IF(Bittrex!C914="Buy",F914,IF(C914="Sale",Bittrex!G914,IF(AND(C914="Trade",'Bittrex Data'!C914="Limit_Sell"),Bittrex!G914,IF(AND(Bittrex!C914="Trade",'Bittrex Data'!C914="Limit_Buy"),F914,"")))))</f>
        <v/>
      </c>
      <c r="J914" t="str">
        <f>IF('Bittrex Data'!B914="","",IF('Bittrex Data'!B914="","",IF(Bittrex!H914=Bittrex!E914,D914,Bittrex!E914)))</f>
        <v/>
      </c>
      <c r="K914" t="str">
        <f>IF('Bittrex Data'!B914="","",IF(Bittrex!I914=Bittrex!G914,Bittrex!F914,Bittrex!G914))</f>
        <v/>
      </c>
    </row>
    <row r="915" spans="3:11" x14ac:dyDescent="0.2">
      <c r="C915" t="str">
        <f>IF('Bittrex Data'!A915="","",IF(AND('Bittrex Data'!C915="LIMIT_SELL",Bittrex!D915="USD"),"Sale",IF(AND('Bittrex Data'!C915="LIMIT_BUY",Bittrex!D915="USD"),"Buy","Trade")))</f>
        <v/>
      </c>
      <c r="D915" t="str">
        <f>IF('Bittrex Data'!B915="","",LEFT(LEFT('Bittrex Data'!B915,SEARCH("-",'Bittrex Data'!B915,1)),LEN(LEFT('Bittrex Data'!B915,SEARCH("-",'Bittrex Data'!B915,1)))-1))</f>
        <v/>
      </c>
      <c r="E915" t="str">
        <f>IF('Bittrex Data'!B915="","",RIGHT(RIGHT('Bittrex Data'!B915,LEN('Bittrex Data'!B915)-SEARCH("-",'Bittrex Data'!B915,1)+1),LEN(RIGHT('Bittrex Data'!B915,LEN('Bittrex Data'!B915)-SEARCH("-",'Bittrex Data'!B915,1)+1))-1))</f>
        <v/>
      </c>
      <c r="F915" t="str">
        <f>IF('Bittrex Data'!C915="","",IF('Bittrex Data'!C915="Limit_Sell",'Bittrex Data'!G915-'Bittrex Data'!F915,IF('Bittrex Data'!C915="Limit_Buy",'Bittrex Data'!G915+'Bittrex Data'!F915,"")))</f>
        <v/>
      </c>
      <c r="G915" t="str">
        <f>IF('Bittrex Data'!B915="","",'Bittrex Data'!D915)</f>
        <v/>
      </c>
      <c r="H915" t="str">
        <f>IF('Bittrex Data'!C915="","",IF(Bittrex!C915="Buy",Bittrex!D915,IF(Bittrex!C915="Sale",Bittrex!E915,IF(AND(Bittrex!C915="Trade",'Bittrex Data'!C915="Limit_Sell"),Bittrex!E915,IF(AND(Bittrex!C915="Trade",'Bittrex Data'!C915="Limit_Buy"),Bittrex!D915,"")))))</f>
        <v/>
      </c>
      <c r="I915" t="str">
        <f>IF('Bittrex Data'!C915="","",IF(Bittrex!C915="Buy",F915,IF(C915="Sale",Bittrex!G915,IF(AND(C915="Trade",'Bittrex Data'!C915="Limit_Sell"),Bittrex!G915,IF(AND(Bittrex!C915="Trade",'Bittrex Data'!C915="Limit_Buy"),F915,"")))))</f>
        <v/>
      </c>
      <c r="J915" t="str">
        <f>IF('Bittrex Data'!B915="","",IF('Bittrex Data'!B915="","",IF(Bittrex!H915=Bittrex!E915,D915,Bittrex!E915)))</f>
        <v/>
      </c>
      <c r="K915" t="str">
        <f>IF('Bittrex Data'!B915="","",IF(Bittrex!I915=Bittrex!G915,Bittrex!F915,Bittrex!G915))</f>
        <v/>
      </c>
    </row>
    <row r="916" spans="3:11" x14ac:dyDescent="0.2">
      <c r="C916" t="str">
        <f>IF('Bittrex Data'!A916="","",IF(AND('Bittrex Data'!C916="LIMIT_SELL",Bittrex!D916="USD"),"Sale",IF(AND('Bittrex Data'!C916="LIMIT_BUY",Bittrex!D916="USD"),"Buy","Trade")))</f>
        <v/>
      </c>
      <c r="D916" t="str">
        <f>IF('Bittrex Data'!B916="","",LEFT(LEFT('Bittrex Data'!B916,SEARCH("-",'Bittrex Data'!B916,1)),LEN(LEFT('Bittrex Data'!B916,SEARCH("-",'Bittrex Data'!B916,1)))-1))</f>
        <v/>
      </c>
      <c r="E916" t="str">
        <f>IF('Bittrex Data'!B916="","",RIGHT(RIGHT('Bittrex Data'!B916,LEN('Bittrex Data'!B916)-SEARCH("-",'Bittrex Data'!B916,1)+1),LEN(RIGHT('Bittrex Data'!B916,LEN('Bittrex Data'!B916)-SEARCH("-",'Bittrex Data'!B916,1)+1))-1))</f>
        <v/>
      </c>
      <c r="F916" t="str">
        <f>IF('Bittrex Data'!C916="","",IF('Bittrex Data'!C916="Limit_Sell",'Bittrex Data'!G916-'Bittrex Data'!F916,IF('Bittrex Data'!C916="Limit_Buy",'Bittrex Data'!G916+'Bittrex Data'!F916,"")))</f>
        <v/>
      </c>
      <c r="G916" t="str">
        <f>IF('Bittrex Data'!B916="","",'Bittrex Data'!D916)</f>
        <v/>
      </c>
      <c r="H916" t="str">
        <f>IF('Bittrex Data'!C916="","",IF(Bittrex!C916="Buy",Bittrex!D916,IF(Bittrex!C916="Sale",Bittrex!E916,IF(AND(Bittrex!C916="Trade",'Bittrex Data'!C916="Limit_Sell"),Bittrex!E916,IF(AND(Bittrex!C916="Trade",'Bittrex Data'!C916="Limit_Buy"),Bittrex!D916,"")))))</f>
        <v/>
      </c>
      <c r="I916" t="str">
        <f>IF('Bittrex Data'!C916="","",IF(Bittrex!C916="Buy",F916,IF(C916="Sale",Bittrex!G916,IF(AND(C916="Trade",'Bittrex Data'!C916="Limit_Sell"),Bittrex!G916,IF(AND(Bittrex!C916="Trade",'Bittrex Data'!C916="Limit_Buy"),F916,"")))))</f>
        <v/>
      </c>
      <c r="J916" t="str">
        <f>IF('Bittrex Data'!B916="","",IF('Bittrex Data'!B916="","",IF(Bittrex!H916=Bittrex!E916,D916,Bittrex!E916)))</f>
        <v/>
      </c>
      <c r="K916" t="str">
        <f>IF('Bittrex Data'!B916="","",IF(Bittrex!I916=Bittrex!G916,Bittrex!F916,Bittrex!G916))</f>
        <v/>
      </c>
    </row>
    <row r="917" spans="3:11" x14ac:dyDescent="0.2">
      <c r="C917" t="str">
        <f>IF('Bittrex Data'!A917="","",IF(AND('Bittrex Data'!C917="LIMIT_SELL",Bittrex!D917="USD"),"Sale",IF(AND('Bittrex Data'!C917="LIMIT_BUY",Bittrex!D917="USD"),"Buy","Trade")))</f>
        <v/>
      </c>
      <c r="D917" t="str">
        <f>IF('Bittrex Data'!B917="","",LEFT(LEFT('Bittrex Data'!B917,SEARCH("-",'Bittrex Data'!B917,1)),LEN(LEFT('Bittrex Data'!B917,SEARCH("-",'Bittrex Data'!B917,1)))-1))</f>
        <v/>
      </c>
      <c r="E917" t="str">
        <f>IF('Bittrex Data'!B917="","",RIGHT(RIGHT('Bittrex Data'!B917,LEN('Bittrex Data'!B917)-SEARCH("-",'Bittrex Data'!B917,1)+1),LEN(RIGHT('Bittrex Data'!B917,LEN('Bittrex Data'!B917)-SEARCH("-",'Bittrex Data'!B917,1)+1))-1))</f>
        <v/>
      </c>
      <c r="F917" t="str">
        <f>IF('Bittrex Data'!C917="","",IF('Bittrex Data'!C917="Limit_Sell",'Bittrex Data'!G917-'Bittrex Data'!F917,IF('Bittrex Data'!C917="Limit_Buy",'Bittrex Data'!G917+'Bittrex Data'!F917,"")))</f>
        <v/>
      </c>
      <c r="G917" t="str">
        <f>IF('Bittrex Data'!B917="","",'Bittrex Data'!D917)</f>
        <v/>
      </c>
      <c r="H917" t="str">
        <f>IF('Bittrex Data'!C917="","",IF(Bittrex!C917="Buy",Bittrex!D917,IF(Bittrex!C917="Sale",Bittrex!E917,IF(AND(Bittrex!C917="Trade",'Bittrex Data'!C917="Limit_Sell"),Bittrex!E917,IF(AND(Bittrex!C917="Trade",'Bittrex Data'!C917="Limit_Buy"),Bittrex!D917,"")))))</f>
        <v/>
      </c>
      <c r="I917" t="str">
        <f>IF('Bittrex Data'!C917="","",IF(Bittrex!C917="Buy",F917,IF(C917="Sale",Bittrex!G917,IF(AND(C917="Trade",'Bittrex Data'!C917="Limit_Sell"),Bittrex!G917,IF(AND(Bittrex!C917="Trade",'Bittrex Data'!C917="Limit_Buy"),F917,"")))))</f>
        <v/>
      </c>
      <c r="J917" t="str">
        <f>IF('Bittrex Data'!B917="","",IF('Bittrex Data'!B917="","",IF(Bittrex!H917=Bittrex!E917,D917,Bittrex!E917)))</f>
        <v/>
      </c>
      <c r="K917" t="str">
        <f>IF('Bittrex Data'!B917="","",IF(Bittrex!I917=Bittrex!G917,Bittrex!F917,Bittrex!G917))</f>
        <v/>
      </c>
    </row>
    <row r="918" spans="3:11" x14ac:dyDescent="0.2">
      <c r="C918" t="str">
        <f>IF('Bittrex Data'!A918="","",IF(AND('Bittrex Data'!C918="LIMIT_SELL",Bittrex!D918="USD"),"Sale",IF(AND('Bittrex Data'!C918="LIMIT_BUY",Bittrex!D918="USD"),"Buy","Trade")))</f>
        <v/>
      </c>
      <c r="D918" t="str">
        <f>IF('Bittrex Data'!B918="","",LEFT(LEFT('Bittrex Data'!B918,SEARCH("-",'Bittrex Data'!B918,1)),LEN(LEFT('Bittrex Data'!B918,SEARCH("-",'Bittrex Data'!B918,1)))-1))</f>
        <v/>
      </c>
      <c r="E918" t="str">
        <f>IF('Bittrex Data'!B918="","",RIGHT(RIGHT('Bittrex Data'!B918,LEN('Bittrex Data'!B918)-SEARCH("-",'Bittrex Data'!B918,1)+1),LEN(RIGHT('Bittrex Data'!B918,LEN('Bittrex Data'!B918)-SEARCH("-",'Bittrex Data'!B918,1)+1))-1))</f>
        <v/>
      </c>
      <c r="F918" t="str">
        <f>IF('Bittrex Data'!C918="","",IF('Bittrex Data'!C918="Limit_Sell",'Bittrex Data'!G918-'Bittrex Data'!F918,IF('Bittrex Data'!C918="Limit_Buy",'Bittrex Data'!G918+'Bittrex Data'!F918,"")))</f>
        <v/>
      </c>
      <c r="G918" t="str">
        <f>IF('Bittrex Data'!B918="","",'Bittrex Data'!D918)</f>
        <v/>
      </c>
      <c r="H918" t="str">
        <f>IF('Bittrex Data'!C918="","",IF(Bittrex!C918="Buy",Bittrex!D918,IF(Bittrex!C918="Sale",Bittrex!E918,IF(AND(Bittrex!C918="Trade",'Bittrex Data'!C918="Limit_Sell"),Bittrex!E918,IF(AND(Bittrex!C918="Trade",'Bittrex Data'!C918="Limit_Buy"),Bittrex!D918,"")))))</f>
        <v/>
      </c>
      <c r="I918" t="str">
        <f>IF('Bittrex Data'!C918="","",IF(Bittrex!C918="Buy",F918,IF(C918="Sale",Bittrex!G918,IF(AND(C918="Trade",'Bittrex Data'!C918="Limit_Sell"),Bittrex!G918,IF(AND(Bittrex!C918="Trade",'Bittrex Data'!C918="Limit_Buy"),F918,"")))))</f>
        <v/>
      </c>
      <c r="J918" t="str">
        <f>IF('Bittrex Data'!B918="","",IF('Bittrex Data'!B918="","",IF(Bittrex!H918=Bittrex!E918,D918,Bittrex!E918)))</f>
        <v/>
      </c>
      <c r="K918" t="str">
        <f>IF('Bittrex Data'!B918="","",IF(Bittrex!I918=Bittrex!G918,Bittrex!F918,Bittrex!G918))</f>
        <v/>
      </c>
    </row>
    <row r="919" spans="3:11" x14ac:dyDescent="0.2">
      <c r="C919" t="str">
        <f>IF('Bittrex Data'!A919="","",IF(AND('Bittrex Data'!C919="LIMIT_SELL",Bittrex!D919="USD"),"Sale",IF(AND('Bittrex Data'!C919="LIMIT_BUY",Bittrex!D919="USD"),"Buy","Trade")))</f>
        <v/>
      </c>
      <c r="D919" t="str">
        <f>IF('Bittrex Data'!B919="","",LEFT(LEFT('Bittrex Data'!B919,SEARCH("-",'Bittrex Data'!B919,1)),LEN(LEFT('Bittrex Data'!B919,SEARCH("-",'Bittrex Data'!B919,1)))-1))</f>
        <v/>
      </c>
      <c r="E919" t="str">
        <f>IF('Bittrex Data'!B919="","",RIGHT(RIGHT('Bittrex Data'!B919,LEN('Bittrex Data'!B919)-SEARCH("-",'Bittrex Data'!B919,1)+1),LEN(RIGHT('Bittrex Data'!B919,LEN('Bittrex Data'!B919)-SEARCH("-",'Bittrex Data'!B919,1)+1))-1))</f>
        <v/>
      </c>
      <c r="F919" t="str">
        <f>IF('Bittrex Data'!C919="","",IF('Bittrex Data'!C919="Limit_Sell",'Bittrex Data'!G919-'Bittrex Data'!F919,IF('Bittrex Data'!C919="Limit_Buy",'Bittrex Data'!G919+'Bittrex Data'!F919,"")))</f>
        <v/>
      </c>
      <c r="G919" t="str">
        <f>IF('Bittrex Data'!B919="","",'Bittrex Data'!D919)</f>
        <v/>
      </c>
      <c r="H919" t="str">
        <f>IF('Bittrex Data'!C919="","",IF(Bittrex!C919="Buy",Bittrex!D919,IF(Bittrex!C919="Sale",Bittrex!E919,IF(AND(Bittrex!C919="Trade",'Bittrex Data'!C919="Limit_Sell"),Bittrex!E919,IF(AND(Bittrex!C919="Trade",'Bittrex Data'!C919="Limit_Buy"),Bittrex!D919,"")))))</f>
        <v/>
      </c>
      <c r="I919" t="str">
        <f>IF('Bittrex Data'!C919="","",IF(Bittrex!C919="Buy",F919,IF(C919="Sale",Bittrex!G919,IF(AND(C919="Trade",'Bittrex Data'!C919="Limit_Sell"),Bittrex!G919,IF(AND(Bittrex!C919="Trade",'Bittrex Data'!C919="Limit_Buy"),F919,"")))))</f>
        <v/>
      </c>
      <c r="J919" t="str">
        <f>IF('Bittrex Data'!B919="","",IF('Bittrex Data'!B919="","",IF(Bittrex!H919=Bittrex!E919,D919,Bittrex!E919)))</f>
        <v/>
      </c>
      <c r="K919" t="str">
        <f>IF('Bittrex Data'!B919="","",IF(Bittrex!I919=Bittrex!G919,Bittrex!F919,Bittrex!G919))</f>
        <v/>
      </c>
    </row>
    <row r="920" spans="3:11" x14ac:dyDescent="0.2">
      <c r="C920" t="str">
        <f>IF('Bittrex Data'!A920="","",IF(AND('Bittrex Data'!C920="LIMIT_SELL",Bittrex!D920="USD"),"Sale",IF(AND('Bittrex Data'!C920="LIMIT_BUY",Bittrex!D920="USD"),"Buy","Trade")))</f>
        <v/>
      </c>
      <c r="D920" t="str">
        <f>IF('Bittrex Data'!B920="","",LEFT(LEFT('Bittrex Data'!B920,SEARCH("-",'Bittrex Data'!B920,1)),LEN(LEFT('Bittrex Data'!B920,SEARCH("-",'Bittrex Data'!B920,1)))-1))</f>
        <v/>
      </c>
      <c r="E920" t="str">
        <f>IF('Bittrex Data'!B920="","",RIGHT(RIGHT('Bittrex Data'!B920,LEN('Bittrex Data'!B920)-SEARCH("-",'Bittrex Data'!B920,1)+1),LEN(RIGHT('Bittrex Data'!B920,LEN('Bittrex Data'!B920)-SEARCH("-",'Bittrex Data'!B920,1)+1))-1))</f>
        <v/>
      </c>
      <c r="F920" t="str">
        <f>IF('Bittrex Data'!C920="","",IF('Bittrex Data'!C920="Limit_Sell",'Bittrex Data'!G920-'Bittrex Data'!F920,IF('Bittrex Data'!C920="Limit_Buy",'Bittrex Data'!G920+'Bittrex Data'!F920,"")))</f>
        <v/>
      </c>
      <c r="G920" t="str">
        <f>IF('Bittrex Data'!B920="","",'Bittrex Data'!D920)</f>
        <v/>
      </c>
      <c r="H920" t="str">
        <f>IF('Bittrex Data'!C920="","",IF(Bittrex!C920="Buy",Bittrex!D920,IF(Bittrex!C920="Sale",Bittrex!E920,IF(AND(Bittrex!C920="Trade",'Bittrex Data'!C920="Limit_Sell"),Bittrex!E920,IF(AND(Bittrex!C920="Trade",'Bittrex Data'!C920="Limit_Buy"),Bittrex!D920,"")))))</f>
        <v/>
      </c>
      <c r="I920" t="str">
        <f>IF('Bittrex Data'!C920="","",IF(Bittrex!C920="Buy",F920,IF(C920="Sale",Bittrex!G920,IF(AND(C920="Trade",'Bittrex Data'!C920="Limit_Sell"),Bittrex!G920,IF(AND(Bittrex!C920="Trade",'Bittrex Data'!C920="Limit_Buy"),F920,"")))))</f>
        <v/>
      </c>
      <c r="J920" t="str">
        <f>IF('Bittrex Data'!B920="","",IF('Bittrex Data'!B920="","",IF(Bittrex!H920=Bittrex!E920,D920,Bittrex!E920)))</f>
        <v/>
      </c>
      <c r="K920" t="str">
        <f>IF('Bittrex Data'!B920="","",IF(Bittrex!I920=Bittrex!G920,Bittrex!F920,Bittrex!G920))</f>
        <v/>
      </c>
    </row>
    <row r="921" spans="3:11" x14ac:dyDescent="0.2">
      <c r="C921" t="str">
        <f>IF('Bittrex Data'!A921="","",IF(AND('Bittrex Data'!C921="LIMIT_SELL",Bittrex!D921="USD"),"Sale",IF(AND('Bittrex Data'!C921="LIMIT_BUY",Bittrex!D921="USD"),"Buy","Trade")))</f>
        <v/>
      </c>
      <c r="D921" t="str">
        <f>IF('Bittrex Data'!B921="","",LEFT(LEFT('Bittrex Data'!B921,SEARCH("-",'Bittrex Data'!B921,1)),LEN(LEFT('Bittrex Data'!B921,SEARCH("-",'Bittrex Data'!B921,1)))-1))</f>
        <v/>
      </c>
      <c r="E921" t="str">
        <f>IF('Bittrex Data'!B921="","",RIGHT(RIGHT('Bittrex Data'!B921,LEN('Bittrex Data'!B921)-SEARCH("-",'Bittrex Data'!B921,1)+1),LEN(RIGHT('Bittrex Data'!B921,LEN('Bittrex Data'!B921)-SEARCH("-",'Bittrex Data'!B921,1)+1))-1))</f>
        <v/>
      </c>
      <c r="F921" t="str">
        <f>IF('Bittrex Data'!C921="","",IF('Bittrex Data'!C921="Limit_Sell",'Bittrex Data'!G921-'Bittrex Data'!F921,IF('Bittrex Data'!C921="Limit_Buy",'Bittrex Data'!G921+'Bittrex Data'!F921,"")))</f>
        <v/>
      </c>
      <c r="G921" t="str">
        <f>IF('Bittrex Data'!B921="","",'Bittrex Data'!D921)</f>
        <v/>
      </c>
      <c r="H921" t="str">
        <f>IF('Bittrex Data'!C921="","",IF(Bittrex!C921="Buy",Bittrex!D921,IF(Bittrex!C921="Sale",Bittrex!E921,IF(AND(Bittrex!C921="Trade",'Bittrex Data'!C921="Limit_Sell"),Bittrex!E921,IF(AND(Bittrex!C921="Trade",'Bittrex Data'!C921="Limit_Buy"),Bittrex!D921,"")))))</f>
        <v/>
      </c>
      <c r="I921" t="str">
        <f>IF('Bittrex Data'!C921="","",IF(Bittrex!C921="Buy",F921,IF(C921="Sale",Bittrex!G921,IF(AND(C921="Trade",'Bittrex Data'!C921="Limit_Sell"),Bittrex!G921,IF(AND(Bittrex!C921="Trade",'Bittrex Data'!C921="Limit_Buy"),F921,"")))))</f>
        <v/>
      </c>
      <c r="J921" t="str">
        <f>IF('Bittrex Data'!B921="","",IF('Bittrex Data'!B921="","",IF(Bittrex!H921=Bittrex!E921,D921,Bittrex!E921)))</f>
        <v/>
      </c>
      <c r="K921" t="str">
        <f>IF('Bittrex Data'!B921="","",IF(Bittrex!I921=Bittrex!G921,Bittrex!F921,Bittrex!G921))</f>
        <v/>
      </c>
    </row>
    <row r="922" spans="3:11" x14ac:dyDescent="0.2">
      <c r="C922" t="str">
        <f>IF('Bittrex Data'!A922="","",IF(AND('Bittrex Data'!C922="LIMIT_SELL",Bittrex!D922="USD"),"Sale",IF(AND('Bittrex Data'!C922="LIMIT_BUY",Bittrex!D922="USD"),"Buy","Trade")))</f>
        <v/>
      </c>
      <c r="D922" t="str">
        <f>IF('Bittrex Data'!B922="","",LEFT(LEFT('Bittrex Data'!B922,SEARCH("-",'Bittrex Data'!B922,1)),LEN(LEFT('Bittrex Data'!B922,SEARCH("-",'Bittrex Data'!B922,1)))-1))</f>
        <v/>
      </c>
      <c r="E922" t="str">
        <f>IF('Bittrex Data'!B922="","",RIGHT(RIGHT('Bittrex Data'!B922,LEN('Bittrex Data'!B922)-SEARCH("-",'Bittrex Data'!B922,1)+1),LEN(RIGHT('Bittrex Data'!B922,LEN('Bittrex Data'!B922)-SEARCH("-",'Bittrex Data'!B922,1)+1))-1))</f>
        <v/>
      </c>
      <c r="F922" t="str">
        <f>IF('Bittrex Data'!C922="","",IF('Bittrex Data'!C922="Limit_Sell",'Bittrex Data'!G922-'Bittrex Data'!F922,IF('Bittrex Data'!C922="Limit_Buy",'Bittrex Data'!G922+'Bittrex Data'!F922,"")))</f>
        <v/>
      </c>
      <c r="G922" t="str">
        <f>IF('Bittrex Data'!B922="","",'Bittrex Data'!D922)</f>
        <v/>
      </c>
      <c r="H922" t="str">
        <f>IF('Bittrex Data'!C922="","",IF(Bittrex!C922="Buy",Bittrex!D922,IF(Bittrex!C922="Sale",Bittrex!E922,IF(AND(Bittrex!C922="Trade",'Bittrex Data'!C922="Limit_Sell"),Bittrex!E922,IF(AND(Bittrex!C922="Trade",'Bittrex Data'!C922="Limit_Buy"),Bittrex!D922,"")))))</f>
        <v/>
      </c>
      <c r="I922" t="str">
        <f>IF('Bittrex Data'!C922="","",IF(Bittrex!C922="Buy",F922,IF(C922="Sale",Bittrex!G922,IF(AND(C922="Trade",'Bittrex Data'!C922="Limit_Sell"),Bittrex!G922,IF(AND(Bittrex!C922="Trade",'Bittrex Data'!C922="Limit_Buy"),F922,"")))))</f>
        <v/>
      </c>
      <c r="J922" t="str">
        <f>IF('Bittrex Data'!B922="","",IF('Bittrex Data'!B922="","",IF(Bittrex!H922=Bittrex!E922,D922,Bittrex!E922)))</f>
        <v/>
      </c>
      <c r="K922" t="str">
        <f>IF('Bittrex Data'!B922="","",IF(Bittrex!I922=Bittrex!G922,Bittrex!F922,Bittrex!G922))</f>
        <v/>
      </c>
    </row>
    <row r="923" spans="3:11" x14ac:dyDescent="0.2">
      <c r="C923" t="str">
        <f>IF('Bittrex Data'!A923="","",IF(AND('Bittrex Data'!C923="LIMIT_SELL",Bittrex!D923="USD"),"Sale",IF(AND('Bittrex Data'!C923="LIMIT_BUY",Bittrex!D923="USD"),"Buy","Trade")))</f>
        <v/>
      </c>
      <c r="D923" t="str">
        <f>IF('Bittrex Data'!B923="","",LEFT(LEFT('Bittrex Data'!B923,SEARCH("-",'Bittrex Data'!B923,1)),LEN(LEFT('Bittrex Data'!B923,SEARCH("-",'Bittrex Data'!B923,1)))-1))</f>
        <v/>
      </c>
      <c r="E923" t="str">
        <f>IF('Bittrex Data'!B923="","",RIGHT(RIGHT('Bittrex Data'!B923,LEN('Bittrex Data'!B923)-SEARCH("-",'Bittrex Data'!B923,1)+1),LEN(RIGHT('Bittrex Data'!B923,LEN('Bittrex Data'!B923)-SEARCH("-",'Bittrex Data'!B923,1)+1))-1))</f>
        <v/>
      </c>
      <c r="F923" t="str">
        <f>IF('Bittrex Data'!C923="","",IF('Bittrex Data'!C923="Limit_Sell",'Bittrex Data'!G923-'Bittrex Data'!F923,IF('Bittrex Data'!C923="Limit_Buy",'Bittrex Data'!G923+'Bittrex Data'!F923,"")))</f>
        <v/>
      </c>
      <c r="G923" t="str">
        <f>IF('Bittrex Data'!B923="","",'Bittrex Data'!D923)</f>
        <v/>
      </c>
      <c r="H923" t="str">
        <f>IF('Bittrex Data'!C923="","",IF(Bittrex!C923="Buy",Bittrex!D923,IF(Bittrex!C923="Sale",Bittrex!E923,IF(AND(Bittrex!C923="Trade",'Bittrex Data'!C923="Limit_Sell"),Bittrex!E923,IF(AND(Bittrex!C923="Trade",'Bittrex Data'!C923="Limit_Buy"),Bittrex!D923,"")))))</f>
        <v/>
      </c>
      <c r="I923" t="str">
        <f>IF('Bittrex Data'!C923="","",IF(Bittrex!C923="Buy",F923,IF(C923="Sale",Bittrex!G923,IF(AND(C923="Trade",'Bittrex Data'!C923="Limit_Sell"),Bittrex!G923,IF(AND(Bittrex!C923="Trade",'Bittrex Data'!C923="Limit_Buy"),F923,"")))))</f>
        <v/>
      </c>
      <c r="J923" t="str">
        <f>IF('Bittrex Data'!B923="","",IF('Bittrex Data'!B923="","",IF(Bittrex!H923=Bittrex!E923,D923,Bittrex!E923)))</f>
        <v/>
      </c>
      <c r="K923" t="str">
        <f>IF('Bittrex Data'!B923="","",IF(Bittrex!I923=Bittrex!G923,Bittrex!F923,Bittrex!G923))</f>
        <v/>
      </c>
    </row>
    <row r="924" spans="3:11" x14ac:dyDescent="0.2">
      <c r="C924" t="str">
        <f>IF('Bittrex Data'!A924="","",IF(AND('Bittrex Data'!C924="LIMIT_SELL",Bittrex!D924="USD"),"Sale",IF(AND('Bittrex Data'!C924="LIMIT_BUY",Bittrex!D924="USD"),"Buy","Trade")))</f>
        <v/>
      </c>
      <c r="D924" t="str">
        <f>IF('Bittrex Data'!B924="","",LEFT(LEFT('Bittrex Data'!B924,SEARCH("-",'Bittrex Data'!B924,1)),LEN(LEFT('Bittrex Data'!B924,SEARCH("-",'Bittrex Data'!B924,1)))-1))</f>
        <v/>
      </c>
      <c r="E924" t="str">
        <f>IF('Bittrex Data'!B924="","",RIGHT(RIGHT('Bittrex Data'!B924,LEN('Bittrex Data'!B924)-SEARCH("-",'Bittrex Data'!B924,1)+1),LEN(RIGHT('Bittrex Data'!B924,LEN('Bittrex Data'!B924)-SEARCH("-",'Bittrex Data'!B924,1)+1))-1))</f>
        <v/>
      </c>
      <c r="F924" t="str">
        <f>IF('Bittrex Data'!C924="","",IF('Bittrex Data'!C924="Limit_Sell",'Bittrex Data'!G924-'Bittrex Data'!F924,IF('Bittrex Data'!C924="Limit_Buy",'Bittrex Data'!G924+'Bittrex Data'!F924,"")))</f>
        <v/>
      </c>
      <c r="G924" t="str">
        <f>IF('Bittrex Data'!B924="","",'Bittrex Data'!D924)</f>
        <v/>
      </c>
      <c r="H924" t="str">
        <f>IF('Bittrex Data'!C924="","",IF(Bittrex!C924="Buy",Bittrex!D924,IF(Bittrex!C924="Sale",Bittrex!E924,IF(AND(Bittrex!C924="Trade",'Bittrex Data'!C924="Limit_Sell"),Bittrex!E924,IF(AND(Bittrex!C924="Trade",'Bittrex Data'!C924="Limit_Buy"),Bittrex!D924,"")))))</f>
        <v/>
      </c>
      <c r="I924" t="str">
        <f>IF('Bittrex Data'!C924="","",IF(Bittrex!C924="Buy",F924,IF(C924="Sale",Bittrex!G924,IF(AND(C924="Trade",'Bittrex Data'!C924="Limit_Sell"),Bittrex!G924,IF(AND(Bittrex!C924="Trade",'Bittrex Data'!C924="Limit_Buy"),F924,"")))))</f>
        <v/>
      </c>
      <c r="J924" t="str">
        <f>IF('Bittrex Data'!B924="","",IF('Bittrex Data'!B924="","",IF(Bittrex!H924=Bittrex!E924,D924,Bittrex!E924)))</f>
        <v/>
      </c>
      <c r="K924" t="str">
        <f>IF('Bittrex Data'!B924="","",IF(Bittrex!I924=Bittrex!G924,Bittrex!F924,Bittrex!G924))</f>
        <v/>
      </c>
    </row>
    <row r="925" spans="3:11" x14ac:dyDescent="0.2">
      <c r="C925" t="str">
        <f>IF('Bittrex Data'!A925="","",IF(AND('Bittrex Data'!C925="LIMIT_SELL",Bittrex!D925="USD"),"Sale",IF(AND('Bittrex Data'!C925="LIMIT_BUY",Bittrex!D925="USD"),"Buy","Trade")))</f>
        <v/>
      </c>
      <c r="D925" t="str">
        <f>IF('Bittrex Data'!B925="","",LEFT(LEFT('Bittrex Data'!B925,SEARCH("-",'Bittrex Data'!B925,1)),LEN(LEFT('Bittrex Data'!B925,SEARCH("-",'Bittrex Data'!B925,1)))-1))</f>
        <v/>
      </c>
      <c r="E925" t="str">
        <f>IF('Bittrex Data'!B925="","",RIGHT(RIGHT('Bittrex Data'!B925,LEN('Bittrex Data'!B925)-SEARCH("-",'Bittrex Data'!B925,1)+1),LEN(RIGHT('Bittrex Data'!B925,LEN('Bittrex Data'!B925)-SEARCH("-",'Bittrex Data'!B925,1)+1))-1))</f>
        <v/>
      </c>
      <c r="F925" t="str">
        <f>IF('Bittrex Data'!C925="","",IF('Bittrex Data'!C925="Limit_Sell",'Bittrex Data'!G925-'Bittrex Data'!F925,IF('Bittrex Data'!C925="Limit_Buy",'Bittrex Data'!G925+'Bittrex Data'!F925,"")))</f>
        <v/>
      </c>
      <c r="G925" t="str">
        <f>IF('Bittrex Data'!B925="","",'Bittrex Data'!D925)</f>
        <v/>
      </c>
      <c r="H925" t="str">
        <f>IF('Bittrex Data'!C925="","",IF(Bittrex!C925="Buy",Bittrex!D925,IF(Bittrex!C925="Sale",Bittrex!E925,IF(AND(Bittrex!C925="Trade",'Bittrex Data'!C925="Limit_Sell"),Bittrex!E925,IF(AND(Bittrex!C925="Trade",'Bittrex Data'!C925="Limit_Buy"),Bittrex!D925,"")))))</f>
        <v/>
      </c>
      <c r="I925" t="str">
        <f>IF('Bittrex Data'!C925="","",IF(Bittrex!C925="Buy",F925,IF(C925="Sale",Bittrex!G925,IF(AND(C925="Trade",'Bittrex Data'!C925="Limit_Sell"),Bittrex!G925,IF(AND(Bittrex!C925="Trade",'Bittrex Data'!C925="Limit_Buy"),F925,"")))))</f>
        <v/>
      </c>
      <c r="J925" t="str">
        <f>IF('Bittrex Data'!B925="","",IF('Bittrex Data'!B925="","",IF(Bittrex!H925=Bittrex!E925,D925,Bittrex!E925)))</f>
        <v/>
      </c>
      <c r="K925" t="str">
        <f>IF('Bittrex Data'!B925="","",IF(Bittrex!I925=Bittrex!G925,Bittrex!F925,Bittrex!G925))</f>
        <v/>
      </c>
    </row>
    <row r="926" spans="3:11" x14ac:dyDescent="0.2">
      <c r="C926" t="str">
        <f>IF('Bittrex Data'!A926="","",IF(AND('Bittrex Data'!C926="LIMIT_SELL",Bittrex!D926="USD"),"Sale",IF(AND('Bittrex Data'!C926="LIMIT_BUY",Bittrex!D926="USD"),"Buy","Trade")))</f>
        <v/>
      </c>
      <c r="D926" t="str">
        <f>IF('Bittrex Data'!B926="","",LEFT(LEFT('Bittrex Data'!B926,SEARCH("-",'Bittrex Data'!B926,1)),LEN(LEFT('Bittrex Data'!B926,SEARCH("-",'Bittrex Data'!B926,1)))-1))</f>
        <v/>
      </c>
      <c r="E926" t="str">
        <f>IF('Bittrex Data'!B926="","",RIGHT(RIGHT('Bittrex Data'!B926,LEN('Bittrex Data'!B926)-SEARCH("-",'Bittrex Data'!B926,1)+1),LEN(RIGHT('Bittrex Data'!B926,LEN('Bittrex Data'!B926)-SEARCH("-",'Bittrex Data'!B926,1)+1))-1))</f>
        <v/>
      </c>
      <c r="F926" t="str">
        <f>IF('Bittrex Data'!C926="","",IF('Bittrex Data'!C926="Limit_Sell",'Bittrex Data'!G926-'Bittrex Data'!F926,IF('Bittrex Data'!C926="Limit_Buy",'Bittrex Data'!G926+'Bittrex Data'!F926,"")))</f>
        <v/>
      </c>
      <c r="G926" t="str">
        <f>IF('Bittrex Data'!B926="","",'Bittrex Data'!D926)</f>
        <v/>
      </c>
      <c r="H926" t="str">
        <f>IF('Bittrex Data'!C926="","",IF(Bittrex!C926="Buy",Bittrex!D926,IF(Bittrex!C926="Sale",Bittrex!E926,IF(AND(Bittrex!C926="Trade",'Bittrex Data'!C926="Limit_Sell"),Bittrex!E926,IF(AND(Bittrex!C926="Trade",'Bittrex Data'!C926="Limit_Buy"),Bittrex!D926,"")))))</f>
        <v/>
      </c>
      <c r="I926" t="str">
        <f>IF('Bittrex Data'!C926="","",IF(Bittrex!C926="Buy",F926,IF(C926="Sale",Bittrex!G926,IF(AND(C926="Trade",'Bittrex Data'!C926="Limit_Sell"),Bittrex!G926,IF(AND(Bittrex!C926="Trade",'Bittrex Data'!C926="Limit_Buy"),F926,"")))))</f>
        <v/>
      </c>
      <c r="J926" t="str">
        <f>IF('Bittrex Data'!B926="","",IF('Bittrex Data'!B926="","",IF(Bittrex!H926=Bittrex!E926,D926,Bittrex!E926)))</f>
        <v/>
      </c>
      <c r="K926" t="str">
        <f>IF('Bittrex Data'!B926="","",IF(Bittrex!I926=Bittrex!G926,Bittrex!F926,Bittrex!G926))</f>
        <v/>
      </c>
    </row>
    <row r="927" spans="3:11" x14ac:dyDescent="0.2">
      <c r="C927" t="str">
        <f>IF('Bittrex Data'!A927="","",IF(AND('Bittrex Data'!C927="LIMIT_SELL",Bittrex!D927="USD"),"Sale",IF(AND('Bittrex Data'!C927="LIMIT_BUY",Bittrex!D927="USD"),"Buy","Trade")))</f>
        <v/>
      </c>
      <c r="D927" t="str">
        <f>IF('Bittrex Data'!B927="","",LEFT(LEFT('Bittrex Data'!B927,SEARCH("-",'Bittrex Data'!B927,1)),LEN(LEFT('Bittrex Data'!B927,SEARCH("-",'Bittrex Data'!B927,1)))-1))</f>
        <v/>
      </c>
      <c r="E927" t="str">
        <f>IF('Bittrex Data'!B927="","",RIGHT(RIGHT('Bittrex Data'!B927,LEN('Bittrex Data'!B927)-SEARCH("-",'Bittrex Data'!B927,1)+1),LEN(RIGHT('Bittrex Data'!B927,LEN('Bittrex Data'!B927)-SEARCH("-",'Bittrex Data'!B927,1)+1))-1))</f>
        <v/>
      </c>
      <c r="F927" t="str">
        <f>IF('Bittrex Data'!C927="","",IF('Bittrex Data'!C927="Limit_Sell",'Bittrex Data'!G927-'Bittrex Data'!F927,IF('Bittrex Data'!C927="Limit_Buy",'Bittrex Data'!G927+'Bittrex Data'!F927,"")))</f>
        <v/>
      </c>
      <c r="G927" t="str">
        <f>IF('Bittrex Data'!B927="","",'Bittrex Data'!D927)</f>
        <v/>
      </c>
      <c r="H927" t="str">
        <f>IF('Bittrex Data'!C927="","",IF(Bittrex!C927="Buy",Bittrex!D927,IF(Bittrex!C927="Sale",Bittrex!E927,IF(AND(Bittrex!C927="Trade",'Bittrex Data'!C927="Limit_Sell"),Bittrex!E927,IF(AND(Bittrex!C927="Trade",'Bittrex Data'!C927="Limit_Buy"),Bittrex!D927,"")))))</f>
        <v/>
      </c>
      <c r="I927" t="str">
        <f>IF('Bittrex Data'!C927="","",IF(Bittrex!C927="Buy",F927,IF(C927="Sale",Bittrex!G927,IF(AND(C927="Trade",'Bittrex Data'!C927="Limit_Sell"),Bittrex!G927,IF(AND(Bittrex!C927="Trade",'Bittrex Data'!C927="Limit_Buy"),F927,"")))))</f>
        <v/>
      </c>
      <c r="J927" t="str">
        <f>IF('Bittrex Data'!B927="","",IF('Bittrex Data'!B927="","",IF(Bittrex!H927=Bittrex!E927,D927,Bittrex!E927)))</f>
        <v/>
      </c>
      <c r="K927" t="str">
        <f>IF('Bittrex Data'!B927="","",IF(Bittrex!I927=Bittrex!G927,Bittrex!F927,Bittrex!G927))</f>
        <v/>
      </c>
    </row>
    <row r="928" spans="3:11" x14ac:dyDescent="0.2">
      <c r="C928" t="str">
        <f>IF('Bittrex Data'!A928="","",IF(AND('Bittrex Data'!C928="LIMIT_SELL",Bittrex!D928="USD"),"Sale",IF(AND('Bittrex Data'!C928="LIMIT_BUY",Bittrex!D928="USD"),"Buy","Trade")))</f>
        <v/>
      </c>
      <c r="D928" t="str">
        <f>IF('Bittrex Data'!B928="","",LEFT(LEFT('Bittrex Data'!B928,SEARCH("-",'Bittrex Data'!B928,1)),LEN(LEFT('Bittrex Data'!B928,SEARCH("-",'Bittrex Data'!B928,1)))-1))</f>
        <v/>
      </c>
      <c r="E928" t="str">
        <f>IF('Bittrex Data'!B928="","",RIGHT(RIGHT('Bittrex Data'!B928,LEN('Bittrex Data'!B928)-SEARCH("-",'Bittrex Data'!B928,1)+1),LEN(RIGHT('Bittrex Data'!B928,LEN('Bittrex Data'!B928)-SEARCH("-",'Bittrex Data'!B928,1)+1))-1))</f>
        <v/>
      </c>
      <c r="F928" t="str">
        <f>IF('Bittrex Data'!C928="","",IF('Bittrex Data'!C928="Limit_Sell",'Bittrex Data'!G928-'Bittrex Data'!F928,IF('Bittrex Data'!C928="Limit_Buy",'Bittrex Data'!G928+'Bittrex Data'!F928,"")))</f>
        <v/>
      </c>
      <c r="G928" t="str">
        <f>IF('Bittrex Data'!B928="","",'Bittrex Data'!D928)</f>
        <v/>
      </c>
      <c r="H928" t="str">
        <f>IF('Bittrex Data'!C928="","",IF(Bittrex!C928="Buy",Bittrex!D928,IF(Bittrex!C928="Sale",Bittrex!E928,IF(AND(Bittrex!C928="Trade",'Bittrex Data'!C928="Limit_Sell"),Bittrex!E928,IF(AND(Bittrex!C928="Trade",'Bittrex Data'!C928="Limit_Buy"),Bittrex!D928,"")))))</f>
        <v/>
      </c>
      <c r="I928" t="str">
        <f>IF('Bittrex Data'!C928="","",IF(Bittrex!C928="Buy",F928,IF(C928="Sale",Bittrex!G928,IF(AND(C928="Trade",'Bittrex Data'!C928="Limit_Sell"),Bittrex!G928,IF(AND(Bittrex!C928="Trade",'Bittrex Data'!C928="Limit_Buy"),F928,"")))))</f>
        <v/>
      </c>
      <c r="J928" t="str">
        <f>IF('Bittrex Data'!B928="","",IF('Bittrex Data'!B928="","",IF(Bittrex!H928=Bittrex!E928,D928,Bittrex!E928)))</f>
        <v/>
      </c>
      <c r="K928" t="str">
        <f>IF('Bittrex Data'!B928="","",IF(Bittrex!I928=Bittrex!G928,Bittrex!F928,Bittrex!G928))</f>
        <v/>
      </c>
    </row>
    <row r="929" spans="3:11" x14ac:dyDescent="0.2">
      <c r="C929" t="str">
        <f>IF('Bittrex Data'!A929="","",IF(AND('Bittrex Data'!C929="LIMIT_SELL",Bittrex!D929="USD"),"Sale",IF(AND('Bittrex Data'!C929="LIMIT_BUY",Bittrex!D929="USD"),"Buy","Trade")))</f>
        <v/>
      </c>
      <c r="D929" t="str">
        <f>IF('Bittrex Data'!B929="","",LEFT(LEFT('Bittrex Data'!B929,SEARCH("-",'Bittrex Data'!B929,1)),LEN(LEFT('Bittrex Data'!B929,SEARCH("-",'Bittrex Data'!B929,1)))-1))</f>
        <v/>
      </c>
      <c r="E929" t="str">
        <f>IF('Bittrex Data'!B929="","",RIGHT(RIGHT('Bittrex Data'!B929,LEN('Bittrex Data'!B929)-SEARCH("-",'Bittrex Data'!B929,1)+1),LEN(RIGHT('Bittrex Data'!B929,LEN('Bittrex Data'!B929)-SEARCH("-",'Bittrex Data'!B929,1)+1))-1))</f>
        <v/>
      </c>
      <c r="F929" t="str">
        <f>IF('Bittrex Data'!C929="","",IF('Bittrex Data'!C929="Limit_Sell",'Bittrex Data'!G929-'Bittrex Data'!F929,IF('Bittrex Data'!C929="Limit_Buy",'Bittrex Data'!G929+'Bittrex Data'!F929,"")))</f>
        <v/>
      </c>
      <c r="G929" t="str">
        <f>IF('Bittrex Data'!B929="","",'Bittrex Data'!D929)</f>
        <v/>
      </c>
      <c r="H929" t="str">
        <f>IF('Bittrex Data'!C929="","",IF(Bittrex!C929="Buy",Bittrex!D929,IF(Bittrex!C929="Sale",Bittrex!E929,IF(AND(Bittrex!C929="Trade",'Bittrex Data'!C929="Limit_Sell"),Bittrex!E929,IF(AND(Bittrex!C929="Trade",'Bittrex Data'!C929="Limit_Buy"),Bittrex!D929,"")))))</f>
        <v/>
      </c>
      <c r="I929" t="str">
        <f>IF('Bittrex Data'!C929="","",IF(Bittrex!C929="Buy",F929,IF(C929="Sale",Bittrex!G929,IF(AND(C929="Trade",'Bittrex Data'!C929="Limit_Sell"),Bittrex!G929,IF(AND(Bittrex!C929="Trade",'Bittrex Data'!C929="Limit_Buy"),F929,"")))))</f>
        <v/>
      </c>
      <c r="J929" t="str">
        <f>IF('Bittrex Data'!B929="","",IF('Bittrex Data'!B929="","",IF(Bittrex!H929=Bittrex!E929,D929,Bittrex!E929)))</f>
        <v/>
      </c>
      <c r="K929" t="str">
        <f>IF('Bittrex Data'!B929="","",IF(Bittrex!I929=Bittrex!G929,Bittrex!F929,Bittrex!G929))</f>
        <v/>
      </c>
    </row>
    <row r="930" spans="3:11" x14ac:dyDescent="0.2">
      <c r="C930" t="str">
        <f>IF('Bittrex Data'!A930="","",IF(AND('Bittrex Data'!C930="LIMIT_SELL",Bittrex!D930="USD"),"Sale",IF(AND('Bittrex Data'!C930="LIMIT_BUY",Bittrex!D930="USD"),"Buy","Trade")))</f>
        <v/>
      </c>
      <c r="D930" t="str">
        <f>IF('Bittrex Data'!B930="","",LEFT(LEFT('Bittrex Data'!B930,SEARCH("-",'Bittrex Data'!B930,1)),LEN(LEFT('Bittrex Data'!B930,SEARCH("-",'Bittrex Data'!B930,1)))-1))</f>
        <v/>
      </c>
      <c r="E930" t="str">
        <f>IF('Bittrex Data'!B930="","",RIGHT(RIGHT('Bittrex Data'!B930,LEN('Bittrex Data'!B930)-SEARCH("-",'Bittrex Data'!B930,1)+1),LEN(RIGHT('Bittrex Data'!B930,LEN('Bittrex Data'!B930)-SEARCH("-",'Bittrex Data'!B930,1)+1))-1))</f>
        <v/>
      </c>
      <c r="F930" t="str">
        <f>IF('Bittrex Data'!C930="","",IF('Bittrex Data'!C930="Limit_Sell",'Bittrex Data'!G930-'Bittrex Data'!F930,IF('Bittrex Data'!C930="Limit_Buy",'Bittrex Data'!G930+'Bittrex Data'!F930,"")))</f>
        <v/>
      </c>
      <c r="G930" t="str">
        <f>IF('Bittrex Data'!B930="","",'Bittrex Data'!D930)</f>
        <v/>
      </c>
      <c r="H930" t="str">
        <f>IF('Bittrex Data'!C930="","",IF(Bittrex!C930="Buy",Bittrex!D930,IF(Bittrex!C930="Sale",Bittrex!E930,IF(AND(Bittrex!C930="Trade",'Bittrex Data'!C930="Limit_Sell"),Bittrex!E930,IF(AND(Bittrex!C930="Trade",'Bittrex Data'!C930="Limit_Buy"),Bittrex!D930,"")))))</f>
        <v/>
      </c>
      <c r="I930" t="str">
        <f>IF('Bittrex Data'!C930="","",IF(Bittrex!C930="Buy",F930,IF(C930="Sale",Bittrex!G930,IF(AND(C930="Trade",'Bittrex Data'!C930="Limit_Sell"),Bittrex!G930,IF(AND(Bittrex!C930="Trade",'Bittrex Data'!C930="Limit_Buy"),F930,"")))))</f>
        <v/>
      </c>
      <c r="J930" t="str">
        <f>IF('Bittrex Data'!B930="","",IF('Bittrex Data'!B930="","",IF(Bittrex!H930=Bittrex!E930,D930,Bittrex!E930)))</f>
        <v/>
      </c>
      <c r="K930" t="str">
        <f>IF('Bittrex Data'!B930="","",IF(Bittrex!I930=Bittrex!G930,Bittrex!F930,Bittrex!G930))</f>
        <v/>
      </c>
    </row>
    <row r="931" spans="3:11" x14ac:dyDescent="0.2">
      <c r="C931" t="str">
        <f>IF('Bittrex Data'!A931="","",IF(AND('Bittrex Data'!C931="LIMIT_SELL",Bittrex!D931="USD"),"Sale",IF(AND('Bittrex Data'!C931="LIMIT_BUY",Bittrex!D931="USD"),"Buy","Trade")))</f>
        <v/>
      </c>
      <c r="D931" t="str">
        <f>IF('Bittrex Data'!B931="","",LEFT(LEFT('Bittrex Data'!B931,SEARCH("-",'Bittrex Data'!B931,1)),LEN(LEFT('Bittrex Data'!B931,SEARCH("-",'Bittrex Data'!B931,1)))-1))</f>
        <v/>
      </c>
      <c r="E931" t="str">
        <f>IF('Bittrex Data'!B931="","",RIGHT(RIGHT('Bittrex Data'!B931,LEN('Bittrex Data'!B931)-SEARCH("-",'Bittrex Data'!B931,1)+1),LEN(RIGHT('Bittrex Data'!B931,LEN('Bittrex Data'!B931)-SEARCH("-",'Bittrex Data'!B931,1)+1))-1))</f>
        <v/>
      </c>
      <c r="F931" t="str">
        <f>IF('Bittrex Data'!C931="","",IF('Bittrex Data'!C931="Limit_Sell",'Bittrex Data'!G931-'Bittrex Data'!F931,IF('Bittrex Data'!C931="Limit_Buy",'Bittrex Data'!G931+'Bittrex Data'!F931,"")))</f>
        <v/>
      </c>
      <c r="G931" t="str">
        <f>IF('Bittrex Data'!B931="","",'Bittrex Data'!D931)</f>
        <v/>
      </c>
      <c r="H931" t="str">
        <f>IF('Bittrex Data'!C931="","",IF(Bittrex!C931="Buy",Bittrex!D931,IF(Bittrex!C931="Sale",Bittrex!E931,IF(AND(Bittrex!C931="Trade",'Bittrex Data'!C931="Limit_Sell"),Bittrex!E931,IF(AND(Bittrex!C931="Trade",'Bittrex Data'!C931="Limit_Buy"),Bittrex!D931,"")))))</f>
        <v/>
      </c>
      <c r="I931" t="str">
        <f>IF('Bittrex Data'!C931="","",IF(Bittrex!C931="Buy",F931,IF(C931="Sale",Bittrex!G931,IF(AND(C931="Trade",'Bittrex Data'!C931="Limit_Sell"),Bittrex!G931,IF(AND(Bittrex!C931="Trade",'Bittrex Data'!C931="Limit_Buy"),F931,"")))))</f>
        <v/>
      </c>
      <c r="J931" t="str">
        <f>IF('Bittrex Data'!B931="","",IF('Bittrex Data'!B931="","",IF(Bittrex!H931=Bittrex!E931,D931,Bittrex!E931)))</f>
        <v/>
      </c>
      <c r="K931" t="str">
        <f>IF('Bittrex Data'!B931="","",IF(Bittrex!I931=Bittrex!G931,Bittrex!F931,Bittrex!G931))</f>
        <v/>
      </c>
    </row>
    <row r="932" spans="3:11" x14ac:dyDescent="0.2">
      <c r="C932" t="str">
        <f>IF('Bittrex Data'!A932="","",IF(AND('Bittrex Data'!C932="LIMIT_SELL",Bittrex!D932="USD"),"Sale",IF(AND('Bittrex Data'!C932="LIMIT_BUY",Bittrex!D932="USD"),"Buy","Trade")))</f>
        <v/>
      </c>
      <c r="D932" t="str">
        <f>IF('Bittrex Data'!B932="","",LEFT(LEFT('Bittrex Data'!B932,SEARCH("-",'Bittrex Data'!B932,1)),LEN(LEFT('Bittrex Data'!B932,SEARCH("-",'Bittrex Data'!B932,1)))-1))</f>
        <v/>
      </c>
      <c r="E932" t="str">
        <f>IF('Bittrex Data'!B932="","",RIGHT(RIGHT('Bittrex Data'!B932,LEN('Bittrex Data'!B932)-SEARCH("-",'Bittrex Data'!B932,1)+1),LEN(RIGHT('Bittrex Data'!B932,LEN('Bittrex Data'!B932)-SEARCH("-",'Bittrex Data'!B932,1)+1))-1))</f>
        <v/>
      </c>
      <c r="F932" t="str">
        <f>IF('Bittrex Data'!C932="","",IF('Bittrex Data'!C932="Limit_Sell",'Bittrex Data'!G932-'Bittrex Data'!F932,IF('Bittrex Data'!C932="Limit_Buy",'Bittrex Data'!G932+'Bittrex Data'!F932,"")))</f>
        <v/>
      </c>
      <c r="G932" t="str">
        <f>IF('Bittrex Data'!B932="","",'Bittrex Data'!D932)</f>
        <v/>
      </c>
      <c r="H932" t="str">
        <f>IF('Bittrex Data'!C932="","",IF(Bittrex!C932="Buy",Bittrex!D932,IF(Bittrex!C932="Sale",Bittrex!E932,IF(AND(Bittrex!C932="Trade",'Bittrex Data'!C932="Limit_Sell"),Bittrex!E932,IF(AND(Bittrex!C932="Trade",'Bittrex Data'!C932="Limit_Buy"),Bittrex!D932,"")))))</f>
        <v/>
      </c>
      <c r="I932" t="str">
        <f>IF('Bittrex Data'!C932="","",IF(Bittrex!C932="Buy",F932,IF(C932="Sale",Bittrex!G932,IF(AND(C932="Trade",'Bittrex Data'!C932="Limit_Sell"),Bittrex!G932,IF(AND(Bittrex!C932="Trade",'Bittrex Data'!C932="Limit_Buy"),F932,"")))))</f>
        <v/>
      </c>
      <c r="J932" t="str">
        <f>IF('Bittrex Data'!B932="","",IF('Bittrex Data'!B932="","",IF(Bittrex!H932=Bittrex!E932,D932,Bittrex!E932)))</f>
        <v/>
      </c>
      <c r="K932" t="str">
        <f>IF('Bittrex Data'!B932="","",IF(Bittrex!I932=Bittrex!G932,Bittrex!F932,Bittrex!G932))</f>
        <v/>
      </c>
    </row>
    <row r="933" spans="3:11" x14ac:dyDescent="0.2">
      <c r="C933" t="str">
        <f>IF('Bittrex Data'!A933="","",IF(AND('Bittrex Data'!C933="LIMIT_SELL",Bittrex!D933="USD"),"Sale",IF(AND('Bittrex Data'!C933="LIMIT_BUY",Bittrex!D933="USD"),"Buy","Trade")))</f>
        <v/>
      </c>
      <c r="D933" t="str">
        <f>IF('Bittrex Data'!B933="","",LEFT(LEFT('Bittrex Data'!B933,SEARCH("-",'Bittrex Data'!B933,1)),LEN(LEFT('Bittrex Data'!B933,SEARCH("-",'Bittrex Data'!B933,1)))-1))</f>
        <v/>
      </c>
      <c r="E933" t="str">
        <f>IF('Bittrex Data'!B933="","",RIGHT(RIGHT('Bittrex Data'!B933,LEN('Bittrex Data'!B933)-SEARCH("-",'Bittrex Data'!B933,1)+1),LEN(RIGHT('Bittrex Data'!B933,LEN('Bittrex Data'!B933)-SEARCH("-",'Bittrex Data'!B933,1)+1))-1))</f>
        <v/>
      </c>
      <c r="F933" t="str">
        <f>IF('Bittrex Data'!C933="","",IF('Bittrex Data'!C933="Limit_Sell",'Bittrex Data'!G933-'Bittrex Data'!F933,IF('Bittrex Data'!C933="Limit_Buy",'Bittrex Data'!G933+'Bittrex Data'!F933,"")))</f>
        <v/>
      </c>
      <c r="G933" t="str">
        <f>IF('Bittrex Data'!B933="","",'Bittrex Data'!D933)</f>
        <v/>
      </c>
      <c r="H933" t="str">
        <f>IF('Bittrex Data'!C933="","",IF(Bittrex!C933="Buy",Bittrex!D933,IF(Bittrex!C933="Sale",Bittrex!E933,IF(AND(Bittrex!C933="Trade",'Bittrex Data'!C933="Limit_Sell"),Bittrex!E933,IF(AND(Bittrex!C933="Trade",'Bittrex Data'!C933="Limit_Buy"),Bittrex!D933,"")))))</f>
        <v/>
      </c>
      <c r="I933" t="str">
        <f>IF('Bittrex Data'!C933="","",IF(Bittrex!C933="Buy",F933,IF(C933="Sale",Bittrex!G933,IF(AND(C933="Trade",'Bittrex Data'!C933="Limit_Sell"),Bittrex!G933,IF(AND(Bittrex!C933="Trade",'Bittrex Data'!C933="Limit_Buy"),F933,"")))))</f>
        <v/>
      </c>
      <c r="J933" t="str">
        <f>IF('Bittrex Data'!B933="","",IF('Bittrex Data'!B933="","",IF(Bittrex!H933=Bittrex!E933,D933,Bittrex!E933)))</f>
        <v/>
      </c>
      <c r="K933" t="str">
        <f>IF('Bittrex Data'!B933="","",IF(Bittrex!I933=Bittrex!G933,Bittrex!F933,Bittrex!G933))</f>
        <v/>
      </c>
    </row>
    <row r="934" spans="3:11" x14ac:dyDescent="0.2">
      <c r="C934" t="str">
        <f>IF('Bittrex Data'!A934="","",IF(AND('Bittrex Data'!C934="LIMIT_SELL",Bittrex!D934="USD"),"Sale",IF(AND('Bittrex Data'!C934="LIMIT_BUY",Bittrex!D934="USD"),"Buy","Trade")))</f>
        <v/>
      </c>
      <c r="D934" t="str">
        <f>IF('Bittrex Data'!B934="","",LEFT(LEFT('Bittrex Data'!B934,SEARCH("-",'Bittrex Data'!B934,1)),LEN(LEFT('Bittrex Data'!B934,SEARCH("-",'Bittrex Data'!B934,1)))-1))</f>
        <v/>
      </c>
      <c r="E934" t="str">
        <f>IF('Bittrex Data'!B934="","",RIGHT(RIGHT('Bittrex Data'!B934,LEN('Bittrex Data'!B934)-SEARCH("-",'Bittrex Data'!B934,1)+1),LEN(RIGHT('Bittrex Data'!B934,LEN('Bittrex Data'!B934)-SEARCH("-",'Bittrex Data'!B934,1)+1))-1))</f>
        <v/>
      </c>
      <c r="F934" t="str">
        <f>IF('Bittrex Data'!C934="","",IF('Bittrex Data'!C934="Limit_Sell",'Bittrex Data'!G934-'Bittrex Data'!F934,IF('Bittrex Data'!C934="Limit_Buy",'Bittrex Data'!G934+'Bittrex Data'!F934,"")))</f>
        <v/>
      </c>
      <c r="G934" t="str">
        <f>IF('Bittrex Data'!B934="","",'Bittrex Data'!D934)</f>
        <v/>
      </c>
      <c r="H934" t="str">
        <f>IF('Bittrex Data'!C934="","",IF(Bittrex!C934="Buy",Bittrex!D934,IF(Bittrex!C934="Sale",Bittrex!E934,IF(AND(Bittrex!C934="Trade",'Bittrex Data'!C934="Limit_Sell"),Bittrex!E934,IF(AND(Bittrex!C934="Trade",'Bittrex Data'!C934="Limit_Buy"),Bittrex!D934,"")))))</f>
        <v/>
      </c>
      <c r="I934" t="str">
        <f>IF('Bittrex Data'!C934="","",IF(Bittrex!C934="Buy",F934,IF(C934="Sale",Bittrex!G934,IF(AND(C934="Trade",'Bittrex Data'!C934="Limit_Sell"),Bittrex!G934,IF(AND(Bittrex!C934="Trade",'Bittrex Data'!C934="Limit_Buy"),F934,"")))))</f>
        <v/>
      </c>
      <c r="J934" t="str">
        <f>IF('Bittrex Data'!B934="","",IF('Bittrex Data'!B934="","",IF(Bittrex!H934=Bittrex!E934,D934,Bittrex!E934)))</f>
        <v/>
      </c>
      <c r="K934" t="str">
        <f>IF('Bittrex Data'!B934="","",IF(Bittrex!I934=Bittrex!G934,Bittrex!F934,Bittrex!G934))</f>
        <v/>
      </c>
    </row>
    <row r="935" spans="3:11" x14ac:dyDescent="0.2">
      <c r="C935" t="str">
        <f>IF('Bittrex Data'!A935="","",IF(AND('Bittrex Data'!C935="LIMIT_SELL",Bittrex!D935="USD"),"Sale",IF(AND('Bittrex Data'!C935="LIMIT_BUY",Bittrex!D935="USD"),"Buy","Trade")))</f>
        <v/>
      </c>
      <c r="D935" t="str">
        <f>IF('Bittrex Data'!B935="","",LEFT(LEFT('Bittrex Data'!B935,SEARCH("-",'Bittrex Data'!B935,1)),LEN(LEFT('Bittrex Data'!B935,SEARCH("-",'Bittrex Data'!B935,1)))-1))</f>
        <v/>
      </c>
      <c r="E935" t="str">
        <f>IF('Bittrex Data'!B935="","",RIGHT(RIGHT('Bittrex Data'!B935,LEN('Bittrex Data'!B935)-SEARCH("-",'Bittrex Data'!B935,1)+1),LEN(RIGHT('Bittrex Data'!B935,LEN('Bittrex Data'!B935)-SEARCH("-",'Bittrex Data'!B935,1)+1))-1))</f>
        <v/>
      </c>
      <c r="F935" t="str">
        <f>IF('Bittrex Data'!C935="","",IF('Bittrex Data'!C935="Limit_Sell",'Bittrex Data'!G935-'Bittrex Data'!F935,IF('Bittrex Data'!C935="Limit_Buy",'Bittrex Data'!G935+'Bittrex Data'!F935,"")))</f>
        <v/>
      </c>
      <c r="G935" t="str">
        <f>IF('Bittrex Data'!B935="","",'Bittrex Data'!D935)</f>
        <v/>
      </c>
      <c r="H935" t="str">
        <f>IF('Bittrex Data'!C935="","",IF(Bittrex!C935="Buy",Bittrex!D935,IF(Bittrex!C935="Sale",Bittrex!E935,IF(AND(Bittrex!C935="Trade",'Bittrex Data'!C935="Limit_Sell"),Bittrex!E935,IF(AND(Bittrex!C935="Trade",'Bittrex Data'!C935="Limit_Buy"),Bittrex!D935,"")))))</f>
        <v/>
      </c>
      <c r="I935" t="str">
        <f>IF('Bittrex Data'!C935="","",IF(Bittrex!C935="Buy",F935,IF(C935="Sale",Bittrex!G935,IF(AND(C935="Trade",'Bittrex Data'!C935="Limit_Sell"),Bittrex!G935,IF(AND(Bittrex!C935="Trade",'Bittrex Data'!C935="Limit_Buy"),F935,"")))))</f>
        <v/>
      </c>
      <c r="J935" t="str">
        <f>IF('Bittrex Data'!B935="","",IF('Bittrex Data'!B935="","",IF(Bittrex!H935=Bittrex!E935,D935,Bittrex!E935)))</f>
        <v/>
      </c>
      <c r="K935" t="str">
        <f>IF('Bittrex Data'!B935="","",IF(Bittrex!I935=Bittrex!G935,Bittrex!F935,Bittrex!G935))</f>
        <v/>
      </c>
    </row>
    <row r="936" spans="3:11" x14ac:dyDescent="0.2">
      <c r="C936" t="str">
        <f>IF('Bittrex Data'!A936="","",IF(AND('Bittrex Data'!C936="LIMIT_SELL",Bittrex!D936="USD"),"Sale",IF(AND('Bittrex Data'!C936="LIMIT_BUY",Bittrex!D936="USD"),"Buy","Trade")))</f>
        <v/>
      </c>
      <c r="D936" t="str">
        <f>IF('Bittrex Data'!B936="","",LEFT(LEFT('Bittrex Data'!B936,SEARCH("-",'Bittrex Data'!B936,1)),LEN(LEFT('Bittrex Data'!B936,SEARCH("-",'Bittrex Data'!B936,1)))-1))</f>
        <v/>
      </c>
      <c r="E936" t="str">
        <f>IF('Bittrex Data'!B936="","",RIGHT(RIGHT('Bittrex Data'!B936,LEN('Bittrex Data'!B936)-SEARCH("-",'Bittrex Data'!B936,1)+1),LEN(RIGHT('Bittrex Data'!B936,LEN('Bittrex Data'!B936)-SEARCH("-",'Bittrex Data'!B936,1)+1))-1))</f>
        <v/>
      </c>
      <c r="F936" t="str">
        <f>IF('Bittrex Data'!C936="","",IF('Bittrex Data'!C936="Limit_Sell",'Bittrex Data'!G936-'Bittrex Data'!F936,IF('Bittrex Data'!C936="Limit_Buy",'Bittrex Data'!G936+'Bittrex Data'!F936,"")))</f>
        <v/>
      </c>
      <c r="G936" t="str">
        <f>IF('Bittrex Data'!B936="","",'Bittrex Data'!D936)</f>
        <v/>
      </c>
      <c r="H936" t="str">
        <f>IF('Bittrex Data'!C936="","",IF(Bittrex!C936="Buy",Bittrex!D936,IF(Bittrex!C936="Sale",Bittrex!E936,IF(AND(Bittrex!C936="Trade",'Bittrex Data'!C936="Limit_Sell"),Bittrex!E936,IF(AND(Bittrex!C936="Trade",'Bittrex Data'!C936="Limit_Buy"),Bittrex!D936,"")))))</f>
        <v/>
      </c>
      <c r="I936" t="str">
        <f>IF('Bittrex Data'!C936="","",IF(Bittrex!C936="Buy",F936,IF(C936="Sale",Bittrex!G936,IF(AND(C936="Trade",'Bittrex Data'!C936="Limit_Sell"),Bittrex!G936,IF(AND(Bittrex!C936="Trade",'Bittrex Data'!C936="Limit_Buy"),F936,"")))))</f>
        <v/>
      </c>
      <c r="J936" t="str">
        <f>IF('Bittrex Data'!B936="","",IF('Bittrex Data'!B936="","",IF(Bittrex!H936=Bittrex!E936,D936,Bittrex!E936)))</f>
        <v/>
      </c>
      <c r="K936" t="str">
        <f>IF('Bittrex Data'!B936="","",IF(Bittrex!I936=Bittrex!G936,Bittrex!F936,Bittrex!G936))</f>
        <v/>
      </c>
    </row>
    <row r="937" spans="3:11" x14ac:dyDescent="0.2">
      <c r="C937" t="str">
        <f>IF('Bittrex Data'!A937="","",IF(AND('Bittrex Data'!C937="LIMIT_SELL",Bittrex!D937="USD"),"Sale",IF(AND('Bittrex Data'!C937="LIMIT_BUY",Bittrex!D937="USD"),"Buy","Trade")))</f>
        <v/>
      </c>
      <c r="D937" t="str">
        <f>IF('Bittrex Data'!B937="","",LEFT(LEFT('Bittrex Data'!B937,SEARCH("-",'Bittrex Data'!B937,1)),LEN(LEFT('Bittrex Data'!B937,SEARCH("-",'Bittrex Data'!B937,1)))-1))</f>
        <v/>
      </c>
      <c r="E937" t="str">
        <f>IF('Bittrex Data'!B937="","",RIGHT(RIGHT('Bittrex Data'!B937,LEN('Bittrex Data'!B937)-SEARCH("-",'Bittrex Data'!B937,1)+1),LEN(RIGHT('Bittrex Data'!B937,LEN('Bittrex Data'!B937)-SEARCH("-",'Bittrex Data'!B937,1)+1))-1))</f>
        <v/>
      </c>
      <c r="F937" t="str">
        <f>IF('Bittrex Data'!C937="","",IF('Bittrex Data'!C937="Limit_Sell",'Bittrex Data'!G937-'Bittrex Data'!F937,IF('Bittrex Data'!C937="Limit_Buy",'Bittrex Data'!G937+'Bittrex Data'!F937,"")))</f>
        <v/>
      </c>
      <c r="G937" t="str">
        <f>IF('Bittrex Data'!B937="","",'Bittrex Data'!D937)</f>
        <v/>
      </c>
      <c r="H937" t="str">
        <f>IF('Bittrex Data'!C937="","",IF(Bittrex!C937="Buy",Bittrex!D937,IF(Bittrex!C937="Sale",Bittrex!E937,IF(AND(Bittrex!C937="Trade",'Bittrex Data'!C937="Limit_Sell"),Bittrex!E937,IF(AND(Bittrex!C937="Trade",'Bittrex Data'!C937="Limit_Buy"),Bittrex!D937,"")))))</f>
        <v/>
      </c>
      <c r="I937" t="str">
        <f>IF('Bittrex Data'!C937="","",IF(Bittrex!C937="Buy",F937,IF(C937="Sale",Bittrex!G937,IF(AND(C937="Trade",'Bittrex Data'!C937="Limit_Sell"),Bittrex!G937,IF(AND(Bittrex!C937="Trade",'Bittrex Data'!C937="Limit_Buy"),F937,"")))))</f>
        <v/>
      </c>
      <c r="J937" t="str">
        <f>IF('Bittrex Data'!B937="","",IF('Bittrex Data'!B937="","",IF(Bittrex!H937=Bittrex!E937,D937,Bittrex!E937)))</f>
        <v/>
      </c>
      <c r="K937" t="str">
        <f>IF('Bittrex Data'!B937="","",IF(Bittrex!I937=Bittrex!G937,Bittrex!F937,Bittrex!G937))</f>
        <v/>
      </c>
    </row>
    <row r="938" spans="3:11" x14ac:dyDescent="0.2">
      <c r="C938" t="str">
        <f>IF('Bittrex Data'!A938="","",IF(AND('Bittrex Data'!C938="LIMIT_SELL",Bittrex!D938="USD"),"Sale",IF(AND('Bittrex Data'!C938="LIMIT_BUY",Bittrex!D938="USD"),"Buy","Trade")))</f>
        <v/>
      </c>
      <c r="D938" t="str">
        <f>IF('Bittrex Data'!B938="","",LEFT(LEFT('Bittrex Data'!B938,SEARCH("-",'Bittrex Data'!B938,1)),LEN(LEFT('Bittrex Data'!B938,SEARCH("-",'Bittrex Data'!B938,1)))-1))</f>
        <v/>
      </c>
      <c r="E938" t="str">
        <f>IF('Bittrex Data'!B938="","",RIGHT(RIGHT('Bittrex Data'!B938,LEN('Bittrex Data'!B938)-SEARCH("-",'Bittrex Data'!B938,1)+1),LEN(RIGHT('Bittrex Data'!B938,LEN('Bittrex Data'!B938)-SEARCH("-",'Bittrex Data'!B938,1)+1))-1))</f>
        <v/>
      </c>
      <c r="F938" t="str">
        <f>IF('Bittrex Data'!C938="","",IF('Bittrex Data'!C938="Limit_Sell",'Bittrex Data'!G938-'Bittrex Data'!F938,IF('Bittrex Data'!C938="Limit_Buy",'Bittrex Data'!G938+'Bittrex Data'!F938,"")))</f>
        <v/>
      </c>
      <c r="G938" t="str">
        <f>IF('Bittrex Data'!B938="","",'Bittrex Data'!D938)</f>
        <v/>
      </c>
      <c r="H938" t="str">
        <f>IF('Bittrex Data'!C938="","",IF(Bittrex!C938="Buy",Bittrex!D938,IF(Bittrex!C938="Sale",Bittrex!E938,IF(AND(Bittrex!C938="Trade",'Bittrex Data'!C938="Limit_Sell"),Bittrex!E938,IF(AND(Bittrex!C938="Trade",'Bittrex Data'!C938="Limit_Buy"),Bittrex!D938,"")))))</f>
        <v/>
      </c>
      <c r="I938" t="str">
        <f>IF('Bittrex Data'!C938="","",IF(Bittrex!C938="Buy",F938,IF(C938="Sale",Bittrex!G938,IF(AND(C938="Trade",'Bittrex Data'!C938="Limit_Sell"),Bittrex!G938,IF(AND(Bittrex!C938="Trade",'Bittrex Data'!C938="Limit_Buy"),F938,"")))))</f>
        <v/>
      </c>
      <c r="J938" t="str">
        <f>IF('Bittrex Data'!B938="","",IF('Bittrex Data'!B938="","",IF(Bittrex!H938=Bittrex!E938,D938,Bittrex!E938)))</f>
        <v/>
      </c>
      <c r="K938" t="str">
        <f>IF('Bittrex Data'!B938="","",IF(Bittrex!I938=Bittrex!G938,Bittrex!F938,Bittrex!G938))</f>
        <v/>
      </c>
    </row>
    <row r="939" spans="3:11" x14ac:dyDescent="0.2">
      <c r="C939" t="str">
        <f>IF('Bittrex Data'!A939="","",IF(AND('Bittrex Data'!C939="LIMIT_SELL",Bittrex!D939="USD"),"Sale",IF(AND('Bittrex Data'!C939="LIMIT_BUY",Bittrex!D939="USD"),"Buy","Trade")))</f>
        <v/>
      </c>
      <c r="D939" t="str">
        <f>IF('Bittrex Data'!B939="","",LEFT(LEFT('Bittrex Data'!B939,SEARCH("-",'Bittrex Data'!B939,1)),LEN(LEFT('Bittrex Data'!B939,SEARCH("-",'Bittrex Data'!B939,1)))-1))</f>
        <v/>
      </c>
      <c r="E939" t="str">
        <f>IF('Bittrex Data'!B939="","",RIGHT(RIGHT('Bittrex Data'!B939,LEN('Bittrex Data'!B939)-SEARCH("-",'Bittrex Data'!B939,1)+1),LEN(RIGHT('Bittrex Data'!B939,LEN('Bittrex Data'!B939)-SEARCH("-",'Bittrex Data'!B939,1)+1))-1))</f>
        <v/>
      </c>
      <c r="F939" t="str">
        <f>IF('Bittrex Data'!C939="","",IF('Bittrex Data'!C939="Limit_Sell",'Bittrex Data'!G939-'Bittrex Data'!F939,IF('Bittrex Data'!C939="Limit_Buy",'Bittrex Data'!G939+'Bittrex Data'!F939,"")))</f>
        <v/>
      </c>
      <c r="G939" t="str">
        <f>IF('Bittrex Data'!B939="","",'Bittrex Data'!D939)</f>
        <v/>
      </c>
      <c r="H939" t="str">
        <f>IF('Bittrex Data'!C939="","",IF(Bittrex!C939="Buy",Bittrex!D939,IF(Bittrex!C939="Sale",Bittrex!E939,IF(AND(Bittrex!C939="Trade",'Bittrex Data'!C939="Limit_Sell"),Bittrex!E939,IF(AND(Bittrex!C939="Trade",'Bittrex Data'!C939="Limit_Buy"),Bittrex!D939,"")))))</f>
        <v/>
      </c>
      <c r="I939" t="str">
        <f>IF('Bittrex Data'!C939="","",IF(Bittrex!C939="Buy",F939,IF(C939="Sale",Bittrex!G939,IF(AND(C939="Trade",'Bittrex Data'!C939="Limit_Sell"),Bittrex!G939,IF(AND(Bittrex!C939="Trade",'Bittrex Data'!C939="Limit_Buy"),F939,"")))))</f>
        <v/>
      </c>
      <c r="J939" t="str">
        <f>IF('Bittrex Data'!B939="","",IF('Bittrex Data'!B939="","",IF(Bittrex!H939=Bittrex!E939,D939,Bittrex!E939)))</f>
        <v/>
      </c>
      <c r="K939" t="str">
        <f>IF('Bittrex Data'!B939="","",IF(Bittrex!I939=Bittrex!G939,Bittrex!F939,Bittrex!G939))</f>
        <v/>
      </c>
    </row>
    <row r="940" spans="3:11" x14ac:dyDescent="0.2">
      <c r="C940" t="str">
        <f>IF('Bittrex Data'!A940="","",IF(AND('Bittrex Data'!C940="LIMIT_SELL",Bittrex!D940="USD"),"Sale",IF(AND('Bittrex Data'!C940="LIMIT_BUY",Bittrex!D940="USD"),"Buy","Trade")))</f>
        <v/>
      </c>
      <c r="D940" t="str">
        <f>IF('Bittrex Data'!B940="","",LEFT(LEFT('Bittrex Data'!B940,SEARCH("-",'Bittrex Data'!B940,1)),LEN(LEFT('Bittrex Data'!B940,SEARCH("-",'Bittrex Data'!B940,1)))-1))</f>
        <v/>
      </c>
      <c r="E940" t="str">
        <f>IF('Bittrex Data'!B940="","",RIGHT(RIGHT('Bittrex Data'!B940,LEN('Bittrex Data'!B940)-SEARCH("-",'Bittrex Data'!B940,1)+1),LEN(RIGHT('Bittrex Data'!B940,LEN('Bittrex Data'!B940)-SEARCH("-",'Bittrex Data'!B940,1)+1))-1))</f>
        <v/>
      </c>
      <c r="F940" t="str">
        <f>IF('Bittrex Data'!C940="","",IF('Bittrex Data'!C940="Limit_Sell",'Bittrex Data'!G940-'Bittrex Data'!F940,IF('Bittrex Data'!C940="Limit_Buy",'Bittrex Data'!G940+'Bittrex Data'!F940,"")))</f>
        <v/>
      </c>
      <c r="G940" t="str">
        <f>IF('Bittrex Data'!B940="","",'Bittrex Data'!D940)</f>
        <v/>
      </c>
      <c r="H940" t="str">
        <f>IF('Bittrex Data'!C940="","",IF(Bittrex!C940="Buy",Bittrex!D940,IF(Bittrex!C940="Sale",Bittrex!E940,IF(AND(Bittrex!C940="Trade",'Bittrex Data'!C940="Limit_Sell"),Bittrex!E940,IF(AND(Bittrex!C940="Trade",'Bittrex Data'!C940="Limit_Buy"),Bittrex!D940,"")))))</f>
        <v/>
      </c>
      <c r="I940" t="str">
        <f>IF('Bittrex Data'!C940="","",IF(Bittrex!C940="Buy",F940,IF(C940="Sale",Bittrex!G940,IF(AND(C940="Trade",'Bittrex Data'!C940="Limit_Sell"),Bittrex!G940,IF(AND(Bittrex!C940="Trade",'Bittrex Data'!C940="Limit_Buy"),F940,"")))))</f>
        <v/>
      </c>
      <c r="J940" t="str">
        <f>IF('Bittrex Data'!B940="","",IF('Bittrex Data'!B940="","",IF(Bittrex!H940=Bittrex!E940,D940,Bittrex!E940)))</f>
        <v/>
      </c>
      <c r="K940" t="str">
        <f>IF('Bittrex Data'!B940="","",IF(Bittrex!I940=Bittrex!G940,Bittrex!F940,Bittrex!G940))</f>
        <v/>
      </c>
    </row>
    <row r="941" spans="3:11" x14ac:dyDescent="0.2">
      <c r="C941" t="str">
        <f>IF('Bittrex Data'!A941="","",IF(AND('Bittrex Data'!C941="LIMIT_SELL",Bittrex!D941="USD"),"Sale",IF(AND('Bittrex Data'!C941="LIMIT_BUY",Bittrex!D941="USD"),"Buy","Trade")))</f>
        <v/>
      </c>
      <c r="D941" t="str">
        <f>IF('Bittrex Data'!B941="","",LEFT(LEFT('Bittrex Data'!B941,SEARCH("-",'Bittrex Data'!B941,1)),LEN(LEFT('Bittrex Data'!B941,SEARCH("-",'Bittrex Data'!B941,1)))-1))</f>
        <v/>
      </c>
      <c r="E941" t="str">
        <f>IF('Bittrex Data'!B941="","",RIGHT(RIGHT('Bittrex Data'!B941,LEN('Bittrex Data'!B941)-SEARCH("-",'Bittrex Data'!B941,1)+1),LEN(RIGHT('Bittrex Data'!B941,LEN('Bittrex Data'!B941)-SEARCH("-",'Bittrex Data'!B941,1)+1))-1))</f>
        <v/>
      </c>
      <c r="F941" t="str">
        <f>IF('Bittrex Data'!C941="","",IF('Bittrex Data'!C941="Limit_Sell",'Bittrex Data'!G941-'Bittrex Data'!F941,IF('Bittrex Data'!C941="Limit_Buy",'Bittrex Data'!G941+'Bittrex Data'!F941,"")))</f>
        <v/>
      </c>
      <c r="G941" t="str">
        <f>IF('Bittrex Data'!B941="","",'Bittrex Data'!D941)</f>
        <v/>
      </c>
      <c r="H941" t="str">
        <f>IF('Bittrex Data'!C941="","",IF(Bittrex!C941="Buy",Bittrex!D941,IF(Bittrex!C941="Sale",Bittrex!E941,IF(AND(Bittrex!C941="Trade",'Bittrex Data'!C941="Limit_Sell"),Bittrex!E941,IF(AND(Bittrex!C941="Trade",'Bittrex Data'!C941="Limit_Buy"),Bittrex!D941,"")))))</f>
        <v/>
      </c>
      <c r="I941" t="str">
        <f>IF('Bittrex Data'!C941="","",IF(Bittrex!C941="Buy",F941,IF(C941="Sale",Bittrex!G941,IF(AND(C941="Trade",'Bittrex Data'!C941="Limit_Sell"),Bittrex!G941,IF(AND(Bittrex!C941="Trade",'Bittrex Data'!C941="Limit_Buy"),F941,"")))))</f>
        <v/>
      </c>
      <c r="J941" t="str">
        <f>IF('Bittrex Data'!B941="","",IF('Bittrex Data'!B941="","",IF(Bittrex!H941=Bittrex!E941,D941,Bittrex!E941)))</f>
        <v/>
      </c>
      <c r="K941" t="str">
        <f>IF('Bittrex Data'!B941="","",IF(Bittrex!I941=Bittrex!G941,Bittrex!F941,Bittrex!G941))</f>
        <v/>
      </c>
    </row>
    <row r="942" spans="3:11" x14ac:dyDescent="0.2">
      <c r="C942" t="str">
        <f>IF('Bittrex Data'!A942="","",IF(AND('Bittrex Data'!C942="LIMIT_SELL",Bittrex!D942="USD"),"Sale",IF(AND('Bittrex Data'!C942="LIMIT_BUY",Bittrex!D942="USD"),"Buy","Trade")))</f>
        <v/>
      </c>
      <c r="D942" t="str">
        <f>IF('Bittrex Data'!B942="","",LEFT(LEFT('Bittrex Data'!B942,SEARCH("-",'Bittrex Data'!B942,1)),LEN(LEFT('Bittrex Data'!B942,SEARCH("-",'Bittrex Data'!B942,1)))-1))</f>
        <v/>
      </c>
      <c r="E942" t="str">
        <f>IF('Bittrex Data'!B942="","",RIGHT(RIGHT('Bittrex Data'!B942,LEN('Bittrex Data'!B942)-SEARCH("-",'Bittrex Data'!B942,1)+1),LEN(RIGHT('Bittrex Data'!B942,LEN('Bittrex Data'!B942)-SEARCH("-",'Bittrex Data'!B942,1)+1))-1))</f>
        <v/>
      </c>
      <c r="F942" t="str">
        <f>IF('Bittrex Data'!C942="","",IF('Bittrex Data'!C942="Limit_Sell",'Bittrex Data'!G942-'Bittrex Data'!F942,IF('Bittrex Data'!C942="Limit_Buy",'Bittrex Data'!G942+'Bittrex Data'!F942,"")))</f>
        <v/>
      </c>
      <c r="G942" t="str">
        <f>IF('Bittrex Data'!B942="","",'Bittrex Data'!D942)</f>
        <v/>
      </c>
      <c r="H942" t="str">
        <f>IF('Bittrex Data'!C942="","",IF(Bittrex!C942="Buy",Bittrex!D942,IF(Bittrex!C942="Sale",Bittrex!E942,IF(AND(Bittrex!C942="Trade",'Bittrex Data'!C942="Limit_Sell"),Bittrex!E942,IF(AND(Bittrex!C942="Trade",'Bittrex Data'!C942="Limit_Buy"),Bittrex!D942,"")))))</f>
        <v/>
      </c>
      <c r="I942" t="str">
        <f>IF('Bittrex Data'!C942="","",IF(Bittrex!C942="Buy",F942,IF(C942="Sale",Bittrex!G942,IF(AND(C942="Trade",'Bittrex Data'!C942="Limit_Sell"),Bittrex!G942,IF(AND(Bittrex!C942="Trade",'Bittrex Data'!C942="Limit_Buy"),F942,"")))))</f>
        <v/>
      </c>
      <c r="J942" t="str">
        <f>IF('Bittrex Data'!B942="","",IF('Bittrex Data'!B942="","",IF(Bittrex!H942=Bittrex!E942,D942,Bittrex!E942)))</f>
        <v/>
      </c>
      <c r="K942" t="str">
        <f>IF('Bittrex Data'!B942="","",IF(Bittrex!I942=Bittrex!G942,Bittrex!F942,Bittrex!G942))</f>
        <v/>
      </c>
    </row>
    <row r="943" spans="3:11" x14ac:dyDescent="0.2">
      <c r="C943" t="str">
        <f>IF('Bittrex Data'!A943="","",IF(AND('Bittrex Data'!C943="LIMIT_SELL",Bittrex!D943="USD"),"Sale",IF(AND('Bittrex Data'!C943="LIMIT_BUY",Bittrex!D943="USD"),"Buy","Trade")))</f>
        <v/>
      </c>
      <c r="D943" t="str">
        <f>IF('Bittrex Data'!B943="","",LEFT(LEFT('Bittrex Data'!B943,SEARCH("-",'Bittrex Data'!B943,1)),LEN(LEFT('Bittrex Data'!B943,SEARCH("-",'Bittrex Data'!B943,1)))-1))</f>
        <v/>
      </c>
      <c r="E943" t="str">
        <f>IF('Bittrex Data'!B943="","",RIGHT(RIGHT('Bittrex Data'!B943,LEN('Bittrex Data'!B943)-SEARCH("-",'Bittrex Data'!B943,1)+1),LEN(RIGHT('Bittrex Data'!B943,LEN('Bittrex Data'!B943)-SEARCH("-",'Bittrex Data'!B943,1)+1))-1))</f>
        <v/>
      </c>
      <c r="F943" t="str">
        <f>IF('Bittrex Data'!C943="","",IF('Bittrex Data'!C943="Limit_Sell",'Bittrex Data'!G943-'Bittrex Data'!F943,IF('Bittrex Data'!C943="Limit_Buy",'Bittrex Data'!G943+'Bittrex Data'!F943,"")))</f>
        <v/>
      </c>
      <c r="G943" t="str">
        <f>IF('Bittrex Data'!B943="","",'Bittrex Data'!D943)</f>
        <v/>
      </c>
      <c r="H943" t="str">
        <f>IF('Bittrex Data'!C943="","",IF(Bittrex!C943="Buy",Bittrex!D943,IF(Bittrex!C943="Sale",Bittrex!E943,IF(AND(Bittrex!C943="Trade",'Bittrex Data'!C943="Limit_Sell"),Bittrex!E943,IF(AND(Bittrex!C943="Trade",'Bittrex Data'!C943="Limit_Buy"),Bittrex!D943,"")))))</f>
        <v/>
      </c>
      <c r="I943" t="str">
        <f>IF('Bittrex Data'!C943="","",IF(Bittrex!C943="Buy",F943,IF(C943="Sale",Bittrex!G943,IF(AND(C943="Trade",'Bittrex Data'!C943="Limit_Sell"),Bittrex!G943,IF(AND(Bittrex!C943="Trade",'Bittrex Data'!C943="Limit_Buy"),F943,"")))))</f>
        <v/>
      </c>
      <c r="J943" t="str">
        <f>IF('Bittrex Data'!B943="","",IF('Bittrex Data'!B943="","",IF(Bittrex!H943=Bittrex!E943,D943,Bittrex!E943)))</f>
        <v/>
      </c>
      <c r="K943" t="str">
        <f>IF('Bittrex Data'!B943="","",IF(Bittrex!I943=Bittrex!G943,Bittrex!F943,Bittrex!G943))</f>
        <v/>
      </c>
    </row>
    <row r="944" spans="3:11" x14ac:dyDescent="0.2">
      <c r="C944" t="str">
        <f>IF('Bittrex Data'!A944="","",IF(AND('Bittrex Data'!C944="LIMIT_SELL",Bittrex!D944="USD"),"Sale",IF(AND('Bittrex Data'!C944="LIMIT_BUY",Bittrex!D944="USD"),"Buy","Trade")))</f>
        <v/>
      </c>
      <c r="D944" t="str">
        <f>IF('Bittrex Data'!B944="","",LEFT(LEFT('Bittrex Data'!B944,SEARCH("-",'Bittrex Data'!B944,1)),LEN(LEFT('Bittrex Data'!B944,SEARCH("-",'Bittrex Data'!B944,1)))-1))</f>
        <v/>
      </c>
      <c r="E944" t="str">
        <f>IF('Bittrex Data'!B944="","",RIGHT(RIGHT('Bittrex Data'!B944,LEN('Bittrex Data'!B944)-SEARCH("-",'Bittrex Data'!B944,1)+1),LEN(RIGHT('Bittrex Data'!B944,LEN('Bittrex Data'!B944)-SEARCH("-",'Bittrex Data'!B944,1)+1))-1))</f>
        <v/>
      </c>
      <c r="F944" t="str">
        <f>IF('Bittrex Data'!C944="","",IF('Bittrex Data'!C944="Limit_Sell",'Bittrex Data'!G944-'Bittrex Data'!F944,IF('Bittrex Data'!C944="Limit_Buy",'Bittrex Data'!G944+'Bittrex Data'!F944,"")))</f>
        <v/>
      </c>
      <c r="G944" t="str">
        <f>IF('Bittrex Data'!B944="","",'Bittrex Data'!D944)</f>
        <v/>
      </c>
      <c r="H944" t="str">
        <f>IF('Bittrex Data'!C944="","",IF(Bittrex!C944="Buy",Bittrex!D944,IF(Bittrex!C944="Sale",Bittrex!E944,IF(AND(Bittrex!C944="Trade",'Bittrex Data'!C944="Limit_Sell"),Bittrex!E944,IF(AND(Bittrex!C944="Trade",'Bittrex Data'!C944="Limit_Buy"),Bittrex!D944,"")))))</f>
        <v/>
      </c>
      <c r="I944" t="str">
        <f>IF('Bittrex Data'!C944="","",IF(Bittrex!C944="Buy",F944,IF(C944="Sale",Bittrex!G944,IF(AND(C944="Trade",'Bittrex Data'!C944="Limit_Sell"),Bittrex!G944,IF(AND(Bittrex!C944="Trade",'Bittrex Data'!C944="Limit_Buy"),F944,"")))))</f>
        <v/>
      </c>
      <c r="J944" t="str">
        <f>IF('Bittrex Data'!B944="","",IF('Bittrex Data'!B944="","",IF(Bittrex!H944=Bittrex!E944,D944,Bittrex!E944)))</f>
        <v/>
      </c>
      <c r="K944" t="str">
        <f>IF('Bittrex Data'!B944="","",IF(Bittrex!I944=Bittrex!G944,Bittrex!F944,Bittrex!G944))</f>
        <v/>
      </c>
    </row>
    <row r="945" spans="3:11" x14ac:dyDescent="0.2">
      <c r="C945" t="str">
        <f>IF('Bittrex Data'!A945="","",IF(AND('Bittrex Data'!C945="LIMIT_SELL",Bittrex!D945="USD"),"Sale",IF(AND('Bittrex Data'!C945="LIMIT_BUY",Bittrex!D945="USD"),"Buy","Trade")))</f>
        <v/>
      </c>
      <c r="D945" t="str">
        <f>IF('Bittrex Data'!B945="","",LEFT(LEFT('Bittrex Data'!B945,SEARCH("-",'Bittrex Data'!B945,1)),LEN(LEFT('Bittrex Data'!B945,SEARCH("-",'Bittrex Data'!B945,1)))-1))</f>
        <v/>
      </c>
      <c r="E945" t="str">
        <f>IF('Bittrex Data'!B945="","",RIGHT(RIGHT('Bittrex Data'!B945,LEN('Bittrex Data'!B945)-SEARCH("-",'Bittrex Data'!B945,1)+1),LEN(RIGHT('Bittrex Data'!B945,LEN('Bittrex Data'!B945)-SEARCH("-",'Bittrex Data'!B945,1)+1))-1))</f>
        <v/>
      </c>
      <c r="F945" t="str">
        <f>IF('Bittrex Data'!C945="","",IF('Bittrex Data'!C945="Limit_Sell",'Bittrex Data'!G945-'Bittrex Data'!F945,IF('Bittrex Data'!C945="Limit_Buy",'Bittrex Data'!G945+'Bittrex Data'!F945,"")))</f>
        <v/>
      </c>
      <c r="G945" t="str">
        <f>IF('Bittrex Data'!B945="","",'Bittrex Data'!D945)</f>
        <v/>
      </c>
      <c r="H945" t="str">
        <f>IF('Bittrex Data'!C945="","",IF(Bittrex!C945="Buy",Bittrex!D945,IF(Bittrex!C945="Sale",Bittrex!E945,IF(AND(Bittrex!C945="Trade",'Bittrex Data'!C945="Limit_Sell"),Bittrex!E945,IF(AND(Bittrex!C945="Trade",'Bittrex Data'!C945="Limit_Buy"),Bittrex!D945,"")))))</f>
        <v/>
      </c>
      <c r="I945" t="str">
        <f>IF('Bittrex Data'!C945="","",IF(Bittrex!C945="Buy",F945,IF(C945="Sale",Bittrex!G945,IF(AND(C945="Trade",'Bittrex Data'!C945="Limit_Sell"),Bittrex!G945,IF(AND(Bittrex!C945="Trade",'Bittrex Data'!C945="Limit_Buy"),F945,"")))))</f>
        <v/>
      </c>
      <c r="J945" t="str">
        <f>IF('Bittrex Data'!B945="","",IF('Bittrex Data'!B945="","",IF(Bittrex!H945=Bittrex!E945,D945,Bittrex!E945)))</f>
        <v/>
      </c>
      <c r="K945" t="str">
        <f>IF('Bittrex Data'!B945="","",IF(Bittrex!I945=Bittrex!G945,Bittrex!F945,Bittrex!G945))</f>
        <v/>
      </c>
    </row>
    <row r="946" spans="3:11" x14ac:dyDescent="0.2">
      <c r="C946" t="str">
        <f>IF('Bittrex Data'!A946="","",IF(AND('Bittrex Data'!C946="LIMIT_SELL",Bittrex!D946="USD"),"Sale",IF(AND('Bittrex Data'!C946="LIMIT_BUY",Bittrex!D946="USD"),"Buy","Trade")))</f>
        <v/>
      </c>
      <c r="D946" t="str">
        <f>IF('Bittrex Data'!B946="","",LEFT(LEFT('Bittrex Data'!B946,SEARCH("-",'Bittrex Data'!B946,1)),LEN(LEFT('Bittrex Data'!B946,SEARCH("-",'Bittrex Data'!B946,1)))-1))</f>
        <v/>
      </c>
      <c r="E946" t="str">
        <f>IF('Bittrex Data'!B946="","",RIGHT(RIGHT('Bittrex Data'!B946,LEN('Bittrex Data'!B946)-SEARCH("-",'Bittrex Data'!B946,1)+1),LEN(RIGHT('Bittrex Data'!B946,LEN('Bittrex Data'!B946)-SEARCH("-",'Bittrex Data'!B946,1)+1))-1))</f>
        <v/>
      </c>
      <c r="F946" t="str">
        <f>IF('Bittrex Data'!C946="","",IF('Bittrex Data'!C946="Limit_Sell",'Bittrex Data'!G946-'Bittrex Data'!F946,IF('Bittrex Data'!C946="Limit_Buy",'Bittrex Data'!G946+'Bittrex Data'!F946,"")))</f>
        <v/>
      </c>
      <c r="G946" t="str">
        <f>IF('Bittrex Data'!B946="","",'Bittrex Data'!D946)</f>
        <v/>
      </c>
      <c r="H946" t="str">
        <f>IF('Bittrex Data'!C946="","",IF(Bittrex!C946="Buy",Bittrex!D946,IF(Bittrex!C946="Sale",Bittrex!E946,IF(AND(Bittrex!C946="Trade",'Bittrex Data'!C946="Limit_Sell"),Bittrex!E946,IF(AND(Bittrex!C946="Trade",'Bittrex Data'!C946="Limit_Buy"),Bittrex!D946,"")))))</f>
        <v/>
      </c>
      <c r="I946" t="str">
        <f>IF('Bittrex Data'!C946="","",IF(Bittrex!C946="Buy",F946,IF(C946="Sale",Bittrex!G946,IF(AND(C946="Trade",'Bittrex Data'!C946="Limit_Sell"),Bittrex!G946,IF(AND(Bittrex!C946="Trade",'Bittrex Data'!C946="Limit_Buy"),F946,"")))))</f>
        <v/>
      </c>
      <c r="J946" t="str">
        <f>IF('Bittrex Data'!B946="","",IF('Bittrex Data'!B946="","",IF(Bittrex!H946=Bittrex!E946,D946,Bittrex!E946)))</f>
        <v/>
      </c>
      <c r="K946" t="str">
        <f>IF('Bittrex Data'!B946="","",IF(Bittrex!I946=Bittrex!G946,Bittrex!F946,Bittrex!G946))</f>
        <v/>
      </c>
    </row>
    <row r="947" spans="3:11" x14ac:dyDescent="0.2">
      <c r="C947" t="str">
        <f>IF('Bittrex Data'!A947="","",IF(AND('Bittrex Data'!C947="LIMIT_SELL",Bittrex!D947="USD"),"Sale",IF(AND('Bittrex Data'!C947="LIMIT_BUY",Bittrex!D947="USD"),"Buy","Trade")))</f>
        <v/>
      </c>
      <c r="D947" t="str">
        <f>IF('Bittrex Data'!B947="","",LEFT(LEFT('Bittrex Data'!B947,SEARCH("-",'Bittrex Data'!B947,1)),LEN(LEFT('Bittrex Data'!B947,SEARCH("-",'Bittrex Data'!B947,1)))-1))</f>
        <v/>
      </c>
      <c r="E947" t="str">
        <f>IF('Bittrex Data'!B947="","",RIGHT(RIGHT('Bittrex Data'!B947,LEN('Bittrex Data'!B947)-SEARCH("-",'Bittrex Data'!B947,1)+1),LEN(RIGHT('Bittrex Data'!B947,LEN('Bittrex Data'!B947)-SEARCH("-",'Bittrex Data'!B947,1)+1))-1))</f>
        <v/>
      </c>
      <c r="F947" t="str">
        <f>IF('Bittrex Data'!C947="","",IF('Bittrex Data'!C947="Limit_Sell",'Bittrex Data'!G947-'Bittrex Data'!F947,IF('Bittrex Data'!C947="Limit_Buy",'Bittrex Data'!G947+'Bittrex Data'!F947,"")))</f>
        <v/>
      </c>
      <c r="G947" t="str">
        <f>IF('Bittrex Data'!B947="","",'Bittrex Data'!D947)</f>
        <v/>
      </c>
      <c r="H947" t="str">
        <f>IF('Bittrex Data'!C947="","",IF(Bittrex!C947="Buy",Bittrex!D947,IF(Bittrex!C947="Sale",Bittrex!E947,IF(AND(Bittrex!C947="Trade",'Bittrex Data'!C947="Limit_Sell"),Bittrex!E947,IF(AND(Bittrex!C947="Trade",'Bittrex Data'!C947="Limit_Buy"),Bittrex!D947,"")))))</f>
        <v/>
      </c>
      <c r="I947" t="str">
        <f>IF('Bittrex Data'!C947="","",IF(Bittrex!C947="Buy",F947,IF(C947="Sale",Bittrex!G947,IF(AND(C947="Trade",'Bittrex Data'!C947="Limit_Sell"),Bittrex!G947,IF(AND(Bittrex!C947="Trade",'Bittrex Data'!C947="Limit_Buy"),F947,"")))))</f>
        <v/>
      </c>
      <c r="J947" t="str">
        <f>IF('Bittrex Data'!B947="","",IF('Bittrex Data'!B947="","",IF(Bittrex!H947=Bittrex!E947,D947,Bittrex!E947)))</f>
        <v/>
      </c>
      <c r="K947" t="str">
        <f>IF('Bittrex Data'!B947="","",IF(Bittrex!I947=Bittrex!G947,Bittrex!F947,Bittrex!G947))</f>
        <v/>
      </c>
    </row>
    <row r="948" spans="3:11" x14ac:dyDescent="0.2">
      <c r="C948" t="str">
        <f>IF('Bittrex Data'!A948="","",IF(AND('Bittrex Data'!C948="LIMIT_SELL",Bittrex!D948="USD"),"Sale",IF(AND('Bittrex Data'!C948="LIMIT_BUY",Bittrex!D948="USD"),"Buy","Trade")))</f>
        <v/>
      </c>
      <c r="D948" t="str">
        <f>IF('Bittrex Data'!B948="","",LEFT(LEFT('Bittrex Data'!B948,SEARCH("-",'Bittrex Data'!B948,1)),LEN(LEFT('Bittrex Data'!B948,SEARCH("-",'Bittrex Data'!B948,1)))-1))</f>
        <v/>
      </c>
      <c r="E948" t="str">
        <f>IF('Bittrex Data'!B948="","",RIGHT(RIGHT('Bittrex Data'!B948,LEN('Bittrex Data'!B948)-SEARCH("-",'Bittrex Data'!B948,1)+1),LEN(RIGHT('Bittrex Data'!B948,LEN('Bittrex Data'!B948)-SEARCH("-",'Bittrex Data'!B948,1)+1))-1))</f>
        <v/>
      </c>
      <c r="F948" t="str">
        <f>IF('Bittrex Data'!C948="","",IF('Bittrex Data'!C948="Limit_Sell",'Bittrex Data'!G948-'Bittrex Data'!F948,IF('Bittrex Data'!C948="Limit_Buy",'Bittrex Data'!G948+'Bittrex Data'!F948,"")))</f>
        <v/>
      </c>
      <c r="G948" t="str">
        <f>IF('Bittrex Data'!B948="","",'Bittrex Data'!D948)</f>
        <v/>
      </c>
      <c r="H948" t="str">
        <f>IF('Bittrex Data'!C948="","",IF(Bittrex!C948="Buy",Bittrex!D948,IF(Bittrex!C948="Sale",Bittrex!E948,IF(AND(Bittrex!C948="Trade",'Bittrex Data'!C948="Limit_Sell"),Bittrex!E948,IF(AND(Bittrex!C948="Trade",'Bittrex Data'!C948="Limit_Buy"),Bittrex!D948,"")))))</f>
        <v/>
      </c>
      <c r="I948" t="str">
        <f>IF('Bittrex Data'!C948="","",IF(Bittrex!C948="Buy",F948,IF(C948="Sale",Bittrex!G948,IF(AND(C948="Trade",'Bittrex Data'!C948="Limit_Sell"),Bittrex!G948,IF(AND(Bittrex!C948="Trade",'Bittrex Data'!C948="Limit_Buy"),F948,"")))))</f>
        <v/>
      </c>
      <c r="J948" t="str">
        <f>IF('Bittrex Data'!B948="","",IF('Bittrex Data'!B948="","",IF(Bittrex!H948=Bittrex!E948,D948,Bittrex!E948)))</f>
        <v/>
      </c>
      <c r="K948" t="str">
        <f>IF('Bittrex Data'!B948="","",IF(Bittrex!I948=Bittrex!G948,Bittrex!F948,Bittrex!G948))</f>
        <v/>
      </c>
    </row>
    <row r="949" spans="3:11" x14ac:dyDescent="0.2">
      <c r="C949" t="str">
        <f>IF('Bittrex Data'!A949="","",IF(AND('Bittrex Data'!C949="LIMIT_SELL",Bittrex!D949="USD"),"Sale",IF(AND('Bittrex Data'!C949="LIMIT_BUY",Bittrex!D949="USD"),"Buy","Trade")))</f>
        <v/>
      </c>
      <c r="D949" t="str">
        <f>IF('Bittrex Data'!B949="","",LEFT(LEFT('Bittrex Data'!B949,SEARCH("-",'Bittrex Data'!B949,1)),LEN(LEFT('Bittrex Data'!B949,SEARCH("-",'Bittrex Data'!B949,1)))-1))</f>
        <v/>
      </c>
      <c r="E949" t="str">
        <f>IF('Bittrex Data'!B949="","",RIGHT(RIGHT('Bittrex Data'!B949,LEN('Bittrex Data'!B949)-SEARCH("-",'Bittrex Data'!B949,1)+1),LEN(RIGHT('Bittrex Data'!B949,LEN('Bittrex Data'!B949)-SEARCH("-",'Bittrex Data'!B949,1)+1))-1))</f>
        <v/>
      </c>
      <c r="F949" t="str">
        <f>IF('Bittrex Data'!C949="","",IF('Bittrex Data'!C949="Limit_Sell",'Bittrex Data'!G949-'Bittrex Data'!F949,IF('Bittrex Data'!C949="Limit_Buy",'Bittrex Data'!G949+'Bittrex Data'!F949,"")))</f>
        <v/>
      </c>
      <c r="G949" t="str">
        <f>IF('Bittrex Data'!B949="","",'Bittrex Data'!D949)</f>
        <v/>
      </c>
      <c r="H949" t="str">
        <f>IF('Bittrex Data'!C949="","",IF(Bittrex!C949="Buy",Bittrex!D949,IF(Bittrex!C949="Sale",Bittrex!E949,IF(AND(Bittrex!C949="Trade",'Bittrex Data'!C949="Limit_Sell"),Bittrex!E949,IF(AND(Bittrex!C949="Trade",'Bittrex Data'!C949="Limit_Buy"),Bittrex!D949,"")))))</f>
        <v/>
      </c>
      <c r="I949" t="str">
        <f>IF('Bittrex Data'!C949="","",IF(Bittrex!C949="Buy",F949,IF(C949="Sale",Bittrex!G949,IF(AND(C949="Trade",'Bittrex Data'!C949="Limit_Sell"),Bittrex!G949,IF(AND(Bittrex!C949="Trade",'Bittrex Data'!C949="Limit_Buy"),F949,"")))))</f>
        <v/>
      </c>
      <c r="J949" t="str">
        <f>IF('Bittrex Data'!B949="","",IF('Bittrex Data'!B949="","",IF(Bittrex!H949=Bittrex!E949,D949,Bittrex!E949)))</f>
        <v/>
      </c>
      <c r="K949" t="str">
        <f>IF('Bittrex Data'!B949="","",IF(Bittrex!I949=Bittrex!G949,Bittrex!F949,Bittrex!G949))</f>
        <v/>
      </c>
    </row>
    <row r="950" spans="3:11" x14ac:dyDescent="0.2">
      <c r="C950" t="str">
        <f>IF('Bittrex Data'!A950="","",IF(AND('Bittrex Data'!C950="LIMIT_SELL",Bittrex!D950="USD"),"Sale",IF(AND('Bittrex Data'!C950="LIMIT_BUY",Bittrex!D950="USD"),"Buy","Trade")))</f>
        <v/>
      </c>
      <c r="D950" t="str">
        <f>IF('Bittrex Data'!B950="","",LEFT(LEFT('Bittrex Data'!B950,SEARCH("-",'Bittrex Data'!B950,1)),LEN(LEFT('Bittrex Data'!B950,SEARCH("-",'Bittrex Data'!B950,1)))-1))</f>
        <v/>
      </c>
      <c r="E950" t="str">
        <f>IF('Bittrex Data'!B950="","",RIGHT(RIGHT('Bittrex Data'!B950,LEN('Bittrex Data'!B950)-SEARCH("-",'Bittrex Data'!B950,1)+1),LEN(RIGHT('Bittrex Data'!B950,LEN('Bittrex Data'!B950)-SEARCH("-",'Bittrex Data'!B950,1)+1))-1))</f>
        <v/>
      </c>
      <c r="F950" t="str">
        <f>IF('Bittrex Data'!C950="","",IF('Bittrex Data'!C950="Limit_Sell",'Bittrex Data'!G950-'Bittrex Data'!F950,IF('Bittrex Data'!C950="Limit_Buy",'Bittrex Data'!G950+'Bittrex Data'!F950,"")))</f>
        <v/>
      </c>
      <c r="G950" t="str">
        <f>IF('Bittrex Data'!B950="","",'Bittrex Data'!D950)</f>
        <v/>
      </c>
      <c r="H950" t="str">
        <f>IF('Bittrex Data'!C950="","",IF(Bittrex!C950="Buy",Bittrex!D950,IF(Bittrex!C950="Sale",Bittrex!E950,IF(AND(Bittrex!C950="Trade",'Bittrex Data'!C950="Limit_Sell"),Bittrex!E950,IF(AND(Bittrex!C950="Trade",'Bittrex Data'!C950="Limit_Buy"),Bittrex!D950,"")))))</f>
        <v/>
      </c>
      <c r="I950" t="str">
        <f>IF('Bittrex Data'!C950="","",IF(Bittrex!C950="Buy",F950,IF(C950="Sale",Bittrex!G950,IF(AND(C950="Trade",'Bittrex Data'!C950="Limit_Sell"),Bittrex!G950,IF(AND(Bittrex!C950="Trade",'Bittrex Data'!C950="Limit_Buy"),F950,"")))))</f>
        <v/>
      </c>
      <c r="J950" t="str">
        <f>IF('Bittrex Data'!B950="","",IF('Bittrex Data'!B950="","",IF(Bittrex!H950=Bittrex!E950,D950,Bittrex!E950)))</f>
        <v/>
      </c>
      <c r="K950" t="str">
        <f>IF('Bittrex Data'!B950="","",IF(Bittrex!I950=Bittrex!G950,Bittrex!F950,Bittrex!G950))</f>
        <v/>
      </c>
    </row>
    <row r="951" spans="3:11" x14ac:dyDescent="0.2">
      <c r="C951" t="str">
        <f>IF('Bittrex Data'!A951="","",IF(AND('Bittrex Data'!C951="LIMIT_SELL",Bittrex!D951="USD"),"Sale",IF(AND('Bittrex Data'!C951="LIMIT_BUY",Bittrex!D951="USD"),"Buy","Trade")))</f>
        <v/>
      </c>
      <c r="D951" t="str">
        <f>IF('Bittrex Data'!B951="","",LEFT(LEFT('Bittrex Data'!B951,SEARCH("-",'Bittrex Data'!B951,1)),LEN(LEFT('Bittrex Data'!B951,SEARCH("-",'Bittrex Data'!B951,1)))-1))</f>
        <v/>
      </c>
      <c r="E951" t="str">
        <f>IF('Bittrex Data'!B951="","",RIGHT(RIGHT('Bittrex Data'!B951,LEN('Bittrex Data'!B951)-SEARCH("-",'Bittrex Data'!B951,1)+1),LEN(RIGHT('Bittrex Data'!B951,LEN('Bittrex Data'!B951)-SEARCH("-",'Bittrex Data'!B951,1)+1))-1))</f>
        <v/>
      </c>
      <c r="F951" t="str">
        <f>IF('Bittrex Data'!C951="","",IF('Bittrex Data'!C951="Limit_Sell",'Bittrex Data'!G951-'Bittrex Data'!F951,IF('Bittrex Data'!C951="Limit_Buy",'Bittrex Data'!G951+'Bittrex Data'!F951,"")))</f>
        <v/>
      </c>
      <c r="G951" t="str">
        <f>IF('Bittrex Data'!B951="","",'Bittrex Data'!D951)</f>
        <v/>
      </c>
      <c r="H951" t="str">
        <f>IF('Bittrex Data'!C951="","",IF(Bittrex!C951="Buy",Bittrex!D951,IF(Bittrex!C951="Sale",Bittrex!E951,IF(AND(Bittrex!C951="Trade",'Bittrex Data'!C951="Limit_Sell"),Bittrex!E951,IF(AND(Bittrex!C951="Trade",'Bittrex Data'!C951="Limit_Buy"),Bittrex!D951,"")))))</f>
        <v/>
      </c>
      <c r="I951" t="str">
        <f>IF('Bittrex Data'!C951="","",IF(Bittrex!C951="Buy",F951,IF(C951="Sale",Bittrex!G951,IF(AND(C951="Trade",'Bittrex Data'!C951="Limit_Sell"),Bittrex!G951,IF(AND(Bittrex!C951="Trade",'Bittrex Data'!C951="Limit_Buy"),F951,"")))))</f>
        <v/>
      </c>
      <c r="J951" t="str">
        <f>IF('Bittrex Data'!B951="","",IF('Bittrex Data'!B951="","",IF(Bittrex!H951=Bittrex!E951,D951,Bittrex!E951)))</f>
        <v/>
      </c>
      <c r="K951" t="str">
        <f>IF('Bittrex Data'!B951="","",IF(Bittrex!I951=Bittrex!G951,Bittrex!F951,Bittrex!G951))</f>
        <v/>
      </c>
    </row>
    <row r="952" spans="3:11" x14ac:dyDescent="0.2">
      <c r="C952" t="str">
        <f>IF('Bittrex Data'!A952="","",IF(AND('Bittrex Data'!C952="LIMIT_SELL",Bittrex!D952="USD"),"Sale",IF(AND('Bittrex Data'!C952="LIMIT_BUY",Bittrex!D952="USD"),"Buy","Trade")))</f>
        <v/>
      </c>
      <c r="D952" t="str">
        <f>IF('Bittrex Data'!B952="","",LEFT(LEFT('Bittrex Data'!B952,SEARCH("-",'Bittrex Data'!B952,1)),LEN(LEFT('Bittrex Data'!B952,SEARCH("-",'Bittrex Data'!B952,1)))-1))</f>
        <v/>
      </c>
      <c r="E952" t="str">
        <f>IF('Bittrex Data'!B952="","",RIGHT(RIGHT('Bittrex Data'!B952,LEN('Bittrex Data'!B952)-SEARCH("-",'Bittrex Data'!B952,1)+1),LEN(RIGHT('Bittrex Data'!B952,LEN('Bittrex Data'!B952)-SEARCH("-",'Bittrex Data'!B952,1)+1))-1))</f>
        <v/>
      </c>
      <c r="F952" t="str">
        <f>IF('Bittrex Data'!C952="","",IF('Bittrex Data'!C952="Limit_Sell",'Bittrex Data'!G952-'Bittrex Data'!F952,IF('Bittrex Data'!C952="Limit_Buy",'Bittrex Data'!G952+'Bittrex Data'!F952,"")))</f>
        <v/>
      </c>
      <c r="G952" t="str">
        <f>IF('Bittrex Data'!B952="","",'Bittrex Data'!D952)</f>
        <v/>
      </c>
      <c r="H952" t="str">
        <f>IF('Bittrex Data'!C952="","",IF(Bittrex!C952="Buy",Bittrex!D952,IF(Bittrex!C952="Sale",Bittrex!E952,IF(AND(Bittrex!C952="Trade",'Bittrex Data'!C952="Limit_Sell"),Bittrex!E952,IF(AND(Bittrex!C952="Trade",'Bittrex Data'!C952="Limit_Buy"),Bittrex!D952,"")))))</f>
        <v/>
      </c>
      <c r="I952" t="str">
        <f>IF('Bittrex Data'!C952="","",IF(Bittrex!C952="Buy",F952,IF(C952="Sale",Bittrex!G952,IF(AND(C952="Trade",'Bittrex Data'!C952="Limit_Sell"),Bittrex!G952,IF(AND(Bittrex!C952="Trade",'Bittrex Data'!C952="Limit_Buy"),F952,"")))))</f>
        <v/>
      </c>
      <c r="J952" t="str">
        <f>IF('Bittrex Data'!B952="","",IF('Bittrex Data'!B952="","",IF(Bittrex!H952=Bittrex!E952,D952,Bittrex!E952)))</f>
        <v/>
      </c>
      <c r="K952" t="str">
        <f>IF('Bittrex Data'!B952="","",IF(Bittrex!I952=Bittrex!G952,Bittrex!F952,Bittrex!G952))</f>
        <v/>
      </c>
    </row>
    <row r="953" spans="3:11" x14ac:dyDescent="0.2">
      <c r="C953" t="str">
        <f>IF('Bittrex Data'!A953="","",IF(AND('Bittrex Data'!C953="LIMIT_SELL",Bittrex!D953="USD"),"Sale",IF(AND('Bittrex Data'!C953="LIMIT_BUY",Bittrex!D953="USD"),"Buy","Trade")))</f>
        <v/>
      </c>
      <c r="D953" t="str">
        <f>IF('Bittrex Data'!B953="","",LEFT(LEFT('Bittrex Data'!B953,SEARCH("-",'Bittrex Data'!B953,1)),LEN(LEFT('Bittrex Data'!B953,SEARCH("-",'Bittrex Data'!B953,1)))-1))</f>
        <v/>
      </c>
      <c r="E953" t="str">
        <f>IF('Bittrex Data'!B953="","",RIGHT(RIGHT('Bittrex Data'!B953,LEN('Bittrex Data'!B953)-SEARCH("-",'Bittrex Data'!B953,1)+1),LEN(RIGHT('Bittrex Data'!B953,LEN('Bittrex Data'!B953)-SEARCH("-",'Bittrex Data'!B953,1)+1))-1))</f>
        <v/>
      </c>
      <c r="F953" t="str">
        <f>IF('Bittrex Data'!C953="","",IF('Bittrex Data'!C953="Limit_Sell",'Bittrex Data'!G953-'Bittrex Data'!F953,IF('Bittrex Data'!C953="Limit_Buy",'Bittrex Data'!G953+'Bittrex Data'!F953,"")))</f>
        <v/>
      </c>
      <c r="G953" t="str">
        <f>IF('Bittrex Data'!B953="","",'Bittrex Data'!D953)</f>
        <v/>
      </c>
      <c r="H953" t="str">
        <f>IF('Bittrex Data'!C953="","",IF(Bittrex!C953="Buy",Bittrex!D953,IF(Bittrex!C953="Sale",Bittrex!E953,IF(AND(Bittrex!C953="Trade",'Bittrex Data'!C953="Limit_Sell"),Bittrex!E953,IF(AND(Bittrex!C953="Trade",'Bittrex Data'!C953="Limit_Buy"),Bittrex!D953,"")))))</f>
        <v/>
      </c>
      <c r="I953" t="str">
        <f>IF('Bittrex Data'!C953="","",IF(Bittrex!C953="Buy",F953,IF(C953="Sale",Bittrex!G953,IF(AND(C953="Trade",'Bittrex Data'!C953="Limit_Sell"),Bittrex!G953,IF(AND(Bittrex!C953="Trade",'Bittrex Data'!C953="Limit_Buy"),F953,"")))))</f>
        <v/>
      </c>
      <c r="J953" t="str">
        <f>IF('Bittrex Data'!B953="","",IF('Bittrex Data'!B953="","",IF(Bittrex!H953=Bittrex!E953,D953,Bittrex!E953)))</f>
        <v/>
      </c>
      <c r="K953" t="str">
        <f>IF('Bittrex Data'!B953="","",IF(Bittrex!I953=Bittrex!G953,Bittrex!F953,Bittrex!G953))</f>
        <v/>
      </c>
    </row>
    <row r="954" spans="3:11" x14ac:dyDescent="0.2">
      <c r="C954" t="str">
        <f>IF('Bittrex Data'!A954="","",IF(AND('Bittrex Data'!C954="LIMIT_SELL",Bittrex!D954="USD"),"Sale",IF(AND('Bittrex Data'!C954="LIMIT_BUY",Bittrex!D954="USD"),"Buy","Trade")))</f>
        <v/>
      </c>
      <c r="D954" t="str">
        <f>IF('Bittrex Data'!B954="","",LEFT(LEFT('Bittrex Data'!B954,SEARCH("-",'Bittrex Data'!B954,1)),LEN(LEFT('Bittrex Data'!B954,SEARCH("-",'Bittrex Data'!B954,1)))-1))</f>
        <v/>
      </c>
      <c r="E954" t="str">
        <f>IF('Bittrex Data'!B954="","",RIGHT(RIGHT('Bittrex Data'!B954,LEN('Bittrex Data'!B954)-SEARCH("-",'Bittrex Data'!B954,1)+1),LEN(RIGHT('Bittrex Data'!B954,LEN('Bittrex Data'!B954)-SEARCH("-",'Bittrex Data'!B954,1)+1))-1))</f>
        <v/>
      </c>
      <c r="F954" t="str">
        <f>IF('Bittrex Data'!C954="","",IF('Bittrex Data'!C954="Limit_Sell",'Bittrex Data'!G954-'Bittrex Data'!F954,IF('Bittrex Data'!C954="Limit_Buy",'Bittrex Data'!G954+'Bittrex Data'!F954,"")))</f>
        <v/>
      </c>
      <c r="G954" t="str">
        <f>IF('Bittrex Data'!B954="","",'Bittrex Data'!D954)</f>
        <v/>
      </c>
      <c r="H954" t="str">
        <f>IF('Bittrex Data'!C954="","",IF(Bittrex!C954="Buy",Bittrex!D954,IF(Bittrex!C954="Sale",Bittrex!E954,IF(AND(Bittrex!C954="Trade",'Bittrex Data'!C954="Limit_Sell"),Bittrex!E954,IF(AND(Bittrex!C954="Trade",'Bittrex Data'!C954="Limit_Buy"),Bittrex!D954,"")))))</f>
        <v/>
      </c>
      <c r="I954" t="str">
        <f>IF('Bittrex Data'!C954="","",IF(Bittrex!C954="Buy",F954,IF(C954="Sale",Bittrex!G954,IF(AND(C954="Trade",'Bittrex Data'!C954="Limit_Sell"),Bittrex!G954,IF(AND(Bittrex!C954="Trade",'Bittrex Data'!C954="Limit_Buy"),F954,"")))))</f>
        <v/>
      </c>
      <c r="J954" t="str">
        <f>IF('Bittrex Data'!B954="","",IF('Bittrex Data'!B954="","",IF(Bittrex!H954=Bittrex!E954,D954,Bittrex!E954)))</f>
        <v/>
      </c>
      <c r="K954" t="str">
        <f>IF('Bittrex Data'!B954="","",IF(Bittrex!I954=Bittrex!G954,Bittrex!F954,Bittrex!G954))</f>
        <v/>
      </c>
    </row>
    <row r="955" spans="3:11" x14ac:dyDescent="0.2">
      <c r="C955" t="str">
        <f>IF('Bittrex Data'!A955="","",IF(AND('Bittrex Data'!C955="LIMIT_SELL",Bittrex!D955="USD"),"Sale",IF(AND('Bittrex Data'!C955="LIMIT_BUY",Bittrex!D955="USD"),"Buy","Trade")))</f>
        <v/>
      </c>
      <c r="D955" t="str">
        <f>IF('Bittrex Data'!B955="","",LEFT(LEFT('Bittrex Data'!B955,SEARCH("-",'Bittrex Data'!B955,1)),LEN(LEFT('Bittrex Data'!B955,SEARCH("-",'Bittrex Data'!B955,1)))-1))</f>
        <v/>
      </c>
      <c r="E955" t="str">
        <f>IF('Bittrex Data'!B955="","",RIGHT(RIGHT('Bittrex Data'!B955,LEN('Bittrex Data'!B955)-SEARCH("-",'Bittrex Data'!B955,1)+1),LEN(RIGHT('Bittrex Data'!B955,LEN('Bittrex Data'!B955)-SEARCH("-",'Bittrex Data'!B955,1)+1))-1))</f>
        <v/>
      </c>
      <c r="F955" t="str">
        <f>IF('Bittrex Data'!C955="","",IF('Bittrex Data'!C955="Limit_Sell",'Bittrex Data'!G955-'Bittrex Data'!F955,IF('Bittrex Data'!C955="Limit_Buy",'Bittrex Data'!G955+'Bittrex Data'!F955,"")))</f>
        <v/>
      </c>
      <c r="G955" t="str">
        <f>IF('Bittrex Data'!B955="","",'Bittrex Data'!D955)</f>
        <v/>
      </c>
      <c r="H955" t="str">
        <f>IF('Bittrex Data'!C955="","",IF(Bittrex!C955="Buy",Bittrex!D955,IF(Bittrex!C955="Sale",Bittrex!E955,IF(AND(Bittrex!C955="Trade",'Bittrex Data'!C955="Limit_Sell"),Bittrex!E955,IF(AND(Bittrex!C955="Trade",'Bittrex Data'!C955="Limit_Buy"),Bittrex!D955,"")))))</f>
        <v/>
      </c>
      <c r="I955" t="str">
        <f>IF('Bittrex Data'!C955="","",IF(Bittrex!C955="Buy",F955,IF(C955="Sale",Bittrex!G955,IF(AND(C955="Trade",'Bittrex Data'!C955="Limit_Sell"),Bittrex!G955,IF(AND(Bittrex!C955="Trade",'Bittrex Data'!C955="Limit_Buy"),F955,"")))))</f>
        <v/>
      </c>
      <c r="J955" t="str">
        <f>IF('Bittrex Data'!B955="","",IF('Bittrex Data'!B955="","",IF(Bittrex!H955=Bittrex!E955,D955,Bittrex!E955)))</f>
        <v/>
      </c>
      <c r="K955" t="str">
        <f>IF('Bittrex Data'!B955="","",IF(Bittrex!I955=Bittrex!G955,Bittrex!F955,Bittrex!G955))</f>
        <v/>
      </c>
    </row>
    <row r="956" spans="3:11" x14ac:dyDescent="0.2">
      <c r="C956" t="str">
        <f>IF('Bittrex Data'!A956="","",IF(AND('Bittrex Data'!C956="LIMIT_SELL",Bittrex!D956="USD"),"Sale",IF(AND('Bittrex Data'!C956="LIMIT_BUY",Bittrex!D956="USD"),"Buy","Trade")))</f>
        <v/>
      </c>
      <c r="D956" t="str">
        <f>IF('Bittrex Data'!B956="","",LEFT(LEFT('Bittrex Data'!B956,SEARCH("-",'Bittrex Data'!B956,1)),LEN(LEFT('Bittrex Data'!B956,SEARCH("-",'Bittrex Data'!B956,1)))-1))</f>
        <v/>
      </c>
      <c r="E956" t="str">
        <f>IF('Bittrex Data'!B956="","",RIGHT(RIGHT('Bittrex Data'!B956,LEN('Bittrex Data'!B956)-SEARCH("-",'Bittrex Data'!B956,1)+1),LEN(RIGHT('Bittrex Data'!B956,LEN('Bittrex Data'!B956)-SEARCH("-",'Bittrex Data'!B956,1)+1))-1))</f>
        <v/>
      </c>
      <c r="F956" t="str">
        <f>IF('Bittrex Data'!C956="","",IF('Bittrex Data'!C956="Limit_Sell",'Bittrex Data'!G956-'Bittrex Data'!F956,IF('Bittrex Data'!C956="Limit_Buy",'Bittrex Data'!G956+'Bittrex Data'!F956,"")))</f>
        <v/>
      </c>
      <c r="G956" t="str">
        <f>IF('Bittrex Data'!B956="","",'Bittrex Data'!D956)</f>
        <v/>
      </c>
      <c r="H956" t="str">
        <f>IF('Bittrex Data'!C956="","",IF(Bittrex!C956="Buy",Bittrex!D956,IF(Bittrex!C956="Sale",Bittrex!E956,IF(AND(Bittrex!C956="Trade",'Bittrex Data'!C956="Limit_Sell"),Bittrex!E956,IF(AND(Bittrex!C956="Trade",'Bittrex Data'!C956="Limit_Buy"),Bittrex!D956,"")))))</f>
        <v/>
      </c>
      <c r="I956" t="str">
        <f>IF('Bittrex Data'!C956="","",IF(Bittrex!C956="Buy",F956,IF(C956="Sale",Bittrex!G956,IF(AND(C956="Trade",'Bittrex Data'!C956="Limit_Sell"),Bittrex!G956,IF(AND(Bittrex!C956="Trade",'Bittrex Data'!C956="Limit_Buy"),F956,"")))))</f>
        <v/>
      </c>
      <c r="J956" t="str">
        <f>IF('Bittrex Data'!B956="","",IF('Bittrex Data'!B956="","",IF(Bittrex!H956=Bittrex!E956,D956,Bittrex!E956)))</f>
        <v/>
      </c>
      <c r="K956" t="str">
        <f>IF('Bittrex Data'!B956="","",IF(Bittrex!I956=Bittrex!G956,Bittrex!F956,Bittrex!G956))</f>
        <v/>
      </c>
    </row>
    <row r="957" spans="3:11" x14ac:dyDescent="0.2">
      <c r="C957" t="str">
        <f>IF('Bittrex Data'!A957="","",IF(AND('Bittrex Data'!C957="LIMIT_SELL",Bittrex!D957="USD"),"Sale",IF(AND('Bittrex Data'!C957="LIMIT_BUY",Bittrex!D957="USD"),"Buy","Trade")))</f>
        <v/>
      </c>
      <c r="D957" t="str">
        <f>IF('Bittrex Data'!B957="","",LEFT(LEFT('Bittrex Data'!B957,SEARCH("-",'Bittrex Data'!B957,1)),LEN(LEFT('Bittrex Data'!B957,SEARCH("-",'Bittrex Data'!B957,1)))-1))</f>
        <v/>
      </c>
      <c r="E957" t="str">
        <f>IF('Bittrex Data'!B957="","",RIGHT(RIGHT('Bittrex Data'!B957,LEN('Bittrex Data'!B957)-SEARCH("-",'Bittrex Data'!B957,1)+1),LEN(RIGHT('Bittrex Data'!B957,LEN('Bittrex Data'!B957)-SEARCH("-",'Bittrex Data'!B957,1)+1))-1))</f>
        <v/>
      </c>
      <c r="F957" t="str">
        <f>IF('Bittrex Data'!C957="","",IF('Bittrex Data'!C957="Limit_Sell",'Bittrex Data'!G957-'Bittrex Data'!F957,IF('Bittrex Data'!C957="Limit_Buy",'Bittrex Data'!G957+'Bittrex Data'!F957,"")))</f>
        <v/>
      </c>
      <c r="G957" t="str">
        <f>IF('Bittrex Data'!B957="","",'Bittrex Data'!D957)</f>
        <v/>
      </c>
      <c r="H957" t="str">
        <f>IF('Bittrex Data'!C957="","",IF(Bittrex!C957="Buy",Bittrex!D957,IF(Bittrex!C957="Sale",Bittrex!E957,IF(AND(Bittrex!C957="Trade",'Bittrex Data'!C957="Limit_Sell"),Bittrex!E957,IF(AND(Bittrex!C957="Trade",'Bittrex Data'!C957="Limit_Buy"),Bittrex!D957,"")))))</f>
        <v/>
      </c>
      <c r="I957" t="str">
        <f>IF('Bittrex Data'!C957="","",IF(Bittrex!C957="Buy",F957,IF(C957="Sale",Bittrex!G957,IF(AND(C957="Trade",'Bittrex Data'!C957="Limit_Sell"),Bittrex!G957,IF(AND(Bittrex!C957="Trade",'Bittrex Data'!C957="Limit_Buy"),F957,"")))))</f>
        <v/>
      </c>
      <c r="J957" t="str">
        <f>IF('Bittrex Data'!B957="","",IF('Bittrex Data'!B957="","",IF(Bittrex!H957=Bittrex!E957,D957,Bittrex!E957)))</f>
        <v/>
      </c>
      <c r="K957" t="str">
        <f>IF('Bittrex Data'!B957="","",IF(Bittrex!I957=Bittrex!G957,Bittrex!F957,Bittrex!G957))</f>
        <v/>
      </c>
    </row>
    <row r="958" spans="3:11" x14ac:dyDescent="0.2">
      <c r="C958" t="str">
        <f>IF('Bittrex Data'!A958="","",IF(AND('Bittrex Data'!C958="LIMIT_SELL",Bittrex!D958="USD"),"Sale",IF(AND('Bittrex Data'!C958="LIMIT_BUY",Bittrex!D958="USD"),"Buy","Trade")))</f>
        <v/>
      </c>
      <c r="D958" t="str">
        <f>IF('Bittrex Data'!B958="","",LEFT(LEFT('Bittrex Data'!B958,SEARCH("-",'Bittrex Data'!B958,1)),LEN(LEFT('Bittrex Data'!B958,SEARCH("-",'Bittrex Data'!B958,1)))-1))</f>
        <v/>
      </c>
      <c r="E958" t="str">
        <f>IF('Bittrex Data'!B958="","",RIGHT(RIGHT('Bittrex Data'!B958,LEN('Bittrex Data'!B958)-SEARCH("-",'Bittrex Data'!B958,1)+1),LEN(RIGHT('Bittrex Data'!B958,LEN('Bittrex Data'!B958)-SEARCH("-",'Bittrex Data'!B958,1)+1))-1))</f>
        <v/>
      </c>
      <c r="F958" t="str">
        <f>IF('Bittrex Data'!C958="","",IF('Bittrex Data'!C958="Limit_Sell",'Bittrex Data'!G958-'Bittrex Data'!F958,IF('Bittrex Data'!C958="Limit_Buy",'Bittrex Data'!G958+'Bittrex Data'!F958,"")))</f>
        <v/>
      </c>
      <c r="G958" t="str">
        <f>IF('Bittrex Data'!B958="","",'Bittrex Data'!D958)</f>
        <v/>
      </c>
      <c r="H958" t="str">
        <f>IF('Bittrex Data'!C958="","",IF(Bittrex!C958="Buy",Bittrex!D958,IF(Bittrex!C958="Sale",Bittrex!E958,IF(AND(Bittrex!C958="Trade",'Bittrex Data'!C958="Limit_Sell"),Bittrex!E958,IF(AND(Bittrex!C958="Trade",'Bittrex Data'!C958="Limit_Buy"),Bittrex!D958,"")))))</f>
        <v/>
      </c>
      <c r="I958" t="str">
        <f>IF('Bittrex Data'!C958="","",IF(Bittrex!C958="Buy",F958,IF(C958="Sale",Bittrex!G958,IF(AND(C958="Trade",'Bittrex Data'!C958="Limit_Sell"),Bittrex!G958,IF(AND(Bittrex!C958="Trade",'Bittrex Data'!C958="Limit_Buy"),F958,"")))))</f>
        <v/>
      </c>
      <c r="J958" t="str">
        <f>IF('Bittrex Data'!B958="","",IF('Bittrex Data'!B958="","",IF(Bittrex!H958=Bittrex!E958,D958,Bittrex!E958)))</f>
        <v/>
      </c>
      <c r="K958" t="str">
        <f>IF('Bittrex Data'!B958="","",IF(Bittrex!I958=Bittrex!G958,Bittrex!F958,Bittrex!G958))</f>
        <v/>
      </c>
    </row>
    <row r="959" spans="3:11" x14ac:dyDescent="0.2">
      <c r="C959" t="str">
        <f>IF('Bittrex Data'!A959="","",IF(AND('Bittrex Data'!C959="LIMIT_SELL",Bittrex!D959="USD"),"Sale",IF(AND('Bittrex Data'!C959="LIMIT_BUY",Bittrex!D959="USD"),"Buy","Trade")))</f>
        <v/>
      </c>
      <c r="D959" t="str">
        <f>IF('Bittrex Data'!B959="","",LEFT(LEFT('Bittrex Data'!B959,SEARCH("-",'Bittrex Data'!B959,1)),LEN(LEFT('Bittrex Data'!B959,SEARCH("-",'Bittrex Data'!B959,1)))-1))</f>
        <v/>
      </c>
      <c r="E959" t="str">
        <f>IF('Bittrex Data'!B959="","",RIGHT(RIGHT('Bittrex Data'!B959,LEN('Bittrex Data'!B959)-SEARCH("-",'Bittrex Data'!B959,1)+1),LEN(RIGHT('Bittrex Data'!B959,LEN('Bittrex Data'!B959)-SEARCH("-",'Bittrex Data'!B959,1)+1))-1))</f>
        <v/>
      </c>
      <c r="F959" t="str">
        <f>IF('Bittrex Data'!C959="","",IF('Bittrex Data'!C959="Limit_Sell",'Bittrex Data'!G959-'Bittrex Data'!F959,IF('Bittrex Data'!C959="Limit_Buy",'Bittrex Data'!G959+'Bittrex Data'!F959,"")))</f>
        <v/>
      </c>
      <c r="G959" t="str">
        <f>IF('Bittrex Data'!B959="","",'Bittrex Data'!D959)</f>
        <v/>
      </c>
      <c r="H959" t="str">
        <f>IF('Bittrex Data'!C959="","",IF(Bittrex!C959="Buy",Bittrex!D959,IF(Bittrex!C959="Sale",Bittrex!E959,IF(AND(Bittrex!C959="Trade",'Bittrex Data'!C959="Limit_Sell"),Bittrex!E959,IF(AND(Bittrex!C959="Trade",'Bittrex Data'!C959="Limit_Buy"),Bittrex!D959,"")))))</f>
        <v/>
      </c>
      <c r="I959" t="str">
        <f>IF('Bittrex Data'!C959="","",IF(Bittrex!C959="Buy",F959,IF(C959="Sale",Bittrex!G959,IF(AND(C959="Trade",'Bittrex Data'!C959="Limit_Sell"),Bittrex!G959,IF(AND(Bittrex!C959="Trade",'Bittrex Data'!C959="Limit_Buy"),F959,"")))))</f>
        <v/>
      </c>
      <c r="J959" t="str">
        <f>IF('Bittrex Data'!B959="","",IF('Bittrex Data'!B959="","",IF(Bittrex!H959=Bittrex!E959,D959,Bittrex!E959)))</f>
        <v/>
      </c>
      <c r="K959" t="str">
        <f>IF('Bittrex Data'!B959="","",IF(Bittrex!I959=Bittrex!G959,Bittrex!F959,Bittrex!G959))</f>
        <v/>
      </c>
    </row>
    <row r="960" spans="3:11" x14ac:dyDescent="0.2">
      <c r="C960" t="str">
        <f>IF('Bittrex Data'!A960="","",IF(AND('Bittrex Data'!C960="LIMIT_SELL",Bittrex!D960="USD"),"Sale",IF(AND('Bittrex Data'!C960="LIMIT_BUY",Bittrex!D960="USD"),"Buy","Trade")))</f>
        <v/>
      </c>
      <c r="D960" t="str">
        <f>IF('Bittrex Data'!B960="","",LEFT(LEFT('Bittrex Data'!B960,SEARCH("-",'Bittrex Data'!B960,1)),LEN(LEFT('Bittrex Data'!B960,SEARCH("-",'Bittrex Data'!B960,1)))-1))</f>
        <v/>
      </c>
      <c r="E960" t="str">
        <f>IF('Bittrex Data'!B960="","",RIGHT(RIGHT('Bittrex Data'!B960,LEN('Bittrex Data'!B960)-SEARCH("-",'Bittrex Data'!B960,1)+1),LEN(RIGHT('Bittrex Data'!B960,LEN('Bittrex Data'!B960)-SEARCH("-",'Bittrex Data'!B960,1)+1))-1))</f>
        <v/>
      </c>
      <c r="F960" t="str">
        <f>IF('Bittrex Data'!C960="","",IF('Bittrex Data'!C960="Limit_Sell",'Bittrex Data'!G960-'Bittrex Data'!F960,IF('Bittrex Data'!C960="Limit_Buy",'Bittrex Data'!G960+'Bittrex Data'!F960,"")))</f>
        <v/>
      </c>
      <c r="G960" t="str">
        <f>IF('Bittrex Data'!B960="","",'Bittrex Data'!D960)</f>
        <v/>
      </c>
      <c r="H960" t="str">
        <f>IF('Bittrex Data'!C960="","",IF(Bittrex!C960="Buy",Bittrex!D960,IF(Bittrex!C960="Sale",Bittrex!E960,IF(AND(Bittrex!C960="Trade",'Bittrex Data'!C960="Limit_Sell"),Bittrex!E960,IF(AND(Bittrex!C960="Trade",'Bittrex Data'!C960="Limit_Buy"),Bittrex!D960,"")))))</f>
        <v/>
      </c>
      <c r="I960" t="str">
        <f>IF('Bittrex Data'!C960="","",IF(Bittrex!C960="Buy",F960,IF(C960="Sale",Bittrex!G960,IF(AND(C960="Trade",'Bittrex Data'!C960="Limit_Sell"),Bittrex!G960,IF(AND(Bittrex!C960="Trade",'Bittrex Data'!C960="Limit_Buy"),F960,"")))))</f>
        <v/>
      </c>
      <c r="J960" t="str">
        <f>IF('Bittrex Data'!B960="","",IF('Bittrex Data'!B960="","",IF(Bittrex!H960=Bittrex!E960,D960,Bittrex!E960)))</f>
        <v/>
      </c>
      <c r="K960" t="str">
        <f>IF('Bittrex Data'!B960="","",IF(Bittrex!I960=Bittrex!G960,Bittrex!F960,Bittrex!G960))</f>
        <v/>
      </c>
    </row>
    <row r="961" spans="3:11" x14ac:dyDescent="0.2">
      <c r="C961" t="str">
        <f>IF('Bittrex Data'!A961="","",IF(AND('Bittrex Data'!C961="LIMIT_SELL",Bittrex!D961="USD"),"Sale",IF(AND('Bittrex Data'!C961="LIMIT_BUY",Bittrex!D961="USD"),"Buy","Trade")))</f>
        <v/>
      </c>
      <c r="D961" t="str">
        <f>IF('Bittrex Data'!B961="","",LEFT(LEFT('Bittrex Data'!B961,SEARCH("-",'Bittrex Data'!B961,1)),LEN(LEFT('Bittrex Data'!B961,SEARCH("-",'Bittrex Data'!B961,1)))-1))</f>
        <v/>
      </c>
      <c r="E961" t="str">
        <f>IF('Bittrex Data'!B961="","",RIGHT(RIGHT('Bittrex Data'!B961,LEN('Bittrex Data'!B961)-SEARCH("-",'Bittrex Data'!B961,1)+1),LEN(RIGHT('Bittrex Data'!B961,LEN('Bittrex Data'!B961)-SEARCH("-",'Bittrex Data'!B961,1)+1))-1))</f>
        <v/>
      </c>
      <c r="F961" t="str">
        <f>IF('Bittrex Data'!C961="","",IF('Bittrex Data'!C961="Limit_Sell",'Bittrex Data'!G961-'Bittrex Data'!F961,IF('Bittrex Data'!C961="Limit_Buy",'Bittrex Data'!G961+'Bittrex Data'!F961,"")))</f>
        <v/>
      </c>
      <c r="G961" t="str">
        <f>IF('Bittrex Data'!B961="","",'Bittrex Data'!D961)</f>
        <v/>
      </c>
      <c r="H961" t="str">
        <f>IF('Bittrex Data'!C961="","",IF(Bittrex!C961="Buy",Bittrex!D961,IF(Bittrex!C961="Sale",Bittrex!E961,IF(AND(Bittrex!C961="Trade",'Bittrex Data'!C961="Limit_Sell"),Bittrex!E961,IF(AND(Bittrex!C961="Trade",'Bittrex Data'!C961="Limit_Buy"),Bittrex!D961,"")))))</f>
        <v/>
      </c>
      <c r="I961" t="str">
        <f>IF('Bittrex Data'!C961="","",IF(Bittrex!C961="Buy",F961,IF(C961="Sale",Bittrex!G961,IF(AND(C961="Trade",'Bittrex Data'!C961="Limit_Sell"),Bittrex!G961,IF(AND(Bittrex!C961="Trade",'Bittrex Data'!C961="Limit_Buy"),F961,"")))))</f>
        <v/>
      </c>
      <c r="J961" t="str">
        <f>IF('Bittrex Data'!B961="","",IF('Bittrex Data'!B961="","",IF(Bittrex!H961=Bittrex!E961,D961,Bittrex!E961)))</f>
        <v/>
      </c>
      <c r="K961" t="str">
        <f>IF('Bittrex Data'!B961="","",IF(Bittrex!I961=Bittrex!G961,Bittrex!F961,Bittrex!G961))</f>
        <v/>
      </c>
    </row>
    <row r="962" spans="3:11" x14ac:dyDescent="0.2">
      <c r="C962" t="str">
        <f>IF('Bittrex Data'!A962="","",IF(AND('Bittrex Data'!C962="LIMIT_SELL",Bittrex!D962="USD"),"Sale",IF(AND('Bittrex Data'!C962="LIMIT_BUY",Bittrex!D962="USD"),"Buy","Trade")))</f>
        <v/>
      </c>
      <c r="D962" t="str">
        <f>IF('Bittrex Data'!B962="","",LEFT(LEFT('Bittrex Data'!B962,SEARCH("-",'Bittrex Data'!B962,1)),LEN(LEFT('Bittrex Data'!B962,SEARCH("-",'Bittrex Data'!B962,1)))-1))</f>
        <v/>
      </c>
      <c r="E962" t="str">
        <f>IF('Bittrex Data'!B962="","",RIGHT(RIGHT('Bittrex Data'!B962,LEN('Bittrex Data'!B962)-SEARCH("-",'Bittrex Data'!B962,1)+1),LEN(RIGHT('Bittrex Data'!B962,LEN('Bittrex Data'!B962)-SEARCH("-",'Bittrex Data'!B962,1)+1))-1))</f>
        <v/>
      </c>
      <c r="F962" t="str">
        <f>IF('Bittrex Data'!C962="","",IF('Bittrex Data'!C962="Limit_Sell",'Bittrex Data'!G962-'Bittrex Data'!F962,IF('Bittrex Data'!C962="Limit_Buy",'Bittrex Data'!G962+'Bittrex Data'!F962,"")))</f>
        <v/>
      </c>
      <c r="G962" t="str">
        <f>IF('Bittrex Data'!B962="","",'Bittrex Data'!D962)</f>
        <v/>
      </c>
      <c r="H962" t="str">
        <f>IF('Bittrex Data'!C962="","",IF(Bittrex!C962="Buy",Bittrex!D962,IF(Bittrex!C962="Sale",Bittrex!E962,IF(AND(Bittrex!C962="Trade",'Bittrex Data'!C962="Limit_Sell"),Bittrex!E962,IF(AND(Bittrex!C962="Trade",'Bittrex Data'!C962="Limit_Buy"),Bittrex!D962,"")))))</f>
        <v/>
      </c>
      <c r="I962" t="str">
        <f>IF('Bittrex Data'!C962="","",IF(Bittrex!C962="Buy",F962,IF(C962="Sale",Bittrex!G962,IF(AND(C962="Trade",'Bittrex Data'!C962="Limit_Sell"),Bittrex!G962,IF(AND(Bittrex!C962="Trade",'Bittrex Data'!C962="Limit_Buy"),F962,"")))))</f>
        <v/>
      </c>
      <c r="J962" t="str">
        <f>IF('Bittrex Data'!B962="","",IF('Bittrex Data'!B962="","",IF(Bittrex!H962=Bittrex!E962,D962,Bittrex!E962)))</f>
        <v/>
      </c>
      <c r="K962" t="str">
        <f>IF('Bittrex Data'!B962="","",IF(Bittrex!I962=Bittrex!G962,Bittrex!F962,Bittrex!G962))</f>
        <v/>
      </c>
    </row>
    <row r="963" spans="3:11" x14ac:dyDescent="0.2">
      <c r="C963" t="str">
        <f>IF('Bittrex Data'!A963="","",IF(AND('Bittrex Data'!C963="LIMIT_SELL",Bittrex!D963="USD"),"Sale",IF(AND('Bittrex Data'!C963="LIMIT_BUY",Bittrex!D963="USD"),"Buy","Trade")))</f>
        <v/>
      </c>
      <c r="D963" t="str">
        <f>IF('Bittrex Data'!B963="","",LEFT(LEFT('Bittrex Data'!B963,SEARCH("-",'Bittrex Data'!B963,1)),LEN(LEFT('Bittrex Data'!B963,SEARCH("-",'Bittrex Data'!B963,1)))-1))</f>
        <v/>
      </c>
      <c r="E963" t="str">
        <f>IF('Bittrex Data'!B963="","",RIGHT(RIGHT('Bittrex Data'!B963,LEN('Bittrex Data'!B963)-SEARCH("-",'Bittrex Data'!B963,1)+1),LEN(RIGHT('Bittrex Data'!B963,LEN('Bittrex Data'!B963)-SEARCH("-",'Bittrex Data'!B963,1)+1))-1))</f>
        <v/>
      </c>
      <c r="F963" t="str">
        <f>IF('Bittrex Data'!C963="","",IF('Bittrex Data'!C963="Limit_Sell",'Bittrex Data'!G963-'Bittrex Data'!F963,IF('Bittrex Data'!C963="Limit_Buy",'Bittrex Data'!G963+'Bittrex Data'!F963,"")))</f>
        <v/>
      </c>
      <c r="G963" t="str">
        <f>IF('Bittrex Data'!B963="","",'Bittrex Data'!D963)</f>
        <v/>
      </c>
      <c r="H963" t="str">
        <f>IF('Bittrex Data'!C963="","",IF(Bittrex!C963="Buy",Bittrex!D963,IF(Bittrex!C963="Sale",Bittrex!E963,IF(AND(Bittrex!C963="Trade",'Bittrex Data'!C963="Limit_Sell"),Bittrex!E963,IF(AND(Bittrex!C963="Trade",'Bittrex Data'!C963="Limit_Buy"),Bittrex!D963,"")))))</f>
        <v/>
      </c>
      <c r="I963" t="str">
        <f>IF('Bittrex Data'!C963="","",IF(Bittrex!C963="Buy",F963,IF(C963="Sale",Bittrex!G963,IF(AND(C963="Trade",'Bittrex Data'!C963="Limit_Sell"),Bittrex!G963,IF(AND(Bittrex!C963="Trade",'Bittrex Data'!C963="Limit_Buy"),F963,"")))))</f>
        <v/>
      </c>
      <c r="J963" t="str">
        <f>IF('Bittrex Data'!B963="","",IF('Bittrex Data'!B963="","",IF(Bittrex!H963=Bittrex!E963,D963,Bittrex!E963)))</f>
        <v/>
      </c>
      <c r="K963" t="str">
        <f>IF('Bittrex Data'!B963="","",IF(Bittrex!I963=Bittrex!G963,Bittrex!F963,Bittrex!G963))</f>
        <v/>
      </c>
    </row>
    <row r="964" spans="3:11" x14ac:dyDescent="0.2">
      <c r="C964" t="str">
        <f>IF('Bittrex Data'!A964="","",IF(AND('Bittrex Data'!C964="LIMIT_SELL",Bittrex!D964="USD"),"Sale",IF(AND('Bittrex Data'!C964="LIMIT_BUY",Bittrex!D964="USD"),"Buy","Trade")))</f>
        <v/>
      </c>
      <c r="D964" t="str">
        <f>IF('Bittrex Data'!B964="","",LEFT(LEFT('Bittrex Data'!B964,SEARCH("-",'Bittrex Data'!B964,1)),LEN(LEFT('Bittrex Data'!B964,SEARCH("-",'Bittrex Data'!B964,1)))-1))</f>
        <v/>
      </c>
      <c r="E964" t="str">
        <f>IF('Bittrex Data'!B964="","",RIGHT(RIGHT('Bittrex Data'!B964,LEN('Bittrex Data'!B964)-SEARCH("-",'Bittrex Data'!B964,1)+1),LEN(RIGHT('Bittrex Data'!B964,LEN('Bittrex Data'!B964)-SEARCH("-",'Bittrex Data'!B964,1)+1))-1))</f>
        <v/>
      </c>
      <c r="F964" t="str">
        <f>IF('Bittrex Data'!C964="","",IF('Bittrex Data'!C964="Limit_Sell",'Bittrex Data'!G964-'Bittrex Data'!F964,IF('Bittrex Data'!C964="Limit_Buy",'Bittrex Data'!G964+'Bittrex Data'!F964,"")))</f>
        <v/>
      </c>
      <c r="G964" t="str">
        <f>IF('Bittrex Data'!B964="","",'Bittrex Data'!D964)</f>
        <v/>
      </c>
      <c r="H964" t="str">
        <f>IF('Bittrex Data'!C964="","",IF(Bittrex!C964="Buy",Bittrex!D964,IF(Bittrex!C964="Sale",Bittrex!E964,IF(AND(Bittrex!C964="Trade",'Bittrex Data'!C964="Limit_Sell"),Bittrex!E964,IF(AND(Bittrex!C964="Trade",'Bittrex Data'!C964="Limit_Buy"),Bittrex!D964,"")))))</f>
        <v/>
      </c>
      <c r="I964" t="str">
        <f>IF('Bittrex Data'!C964="","",IF(Bittrex!C964="Buy",F964,IF(C964="Sale",Bittrex!G964,IF(AND(C964="Trade",'Bittrex Data'!C964="Limit_Sell"),Bittrex!G964,IF(AND(Bittrex!C964="Trade",'Bittrex Data'!C964="Limit_Buy"),F964,"")))))</f>
        <v/>
      </c>
      <c r="J964" t="str">
        <f>IF('Bittrex Data'!B964="","",IF('Bittrex Data'!B964="","",IF(Bittrex!H964=Bittrex!E964,D964,Bittrex!E964)))</f>
        <v/>
      </c>
      <c r="K964" t="str">
        <f>IF('Bittrex Data'!B964="","",IF(Bittrex!I964=Bittrex!G964,Bittrex!F964,Bittrex!G964))</f>
        <v/>
      </c>
    </row>
    <row r="965" spans="3:11" x14ac:dyDescent="0.2">
      <c r="C965" t="str">
        <f>IF('Bittrex Data'!A965="","",IF(AND('Bittrex Data'!C965="LIMIT_SELL",Bittrex!D965="USD"),"Sale",IF(AND('Bittrex Data'!C965="LIMIT_BUY",Bittrex!D965="USD"),"Buy","Trade")))</f>
        <v/>
      </c>
      <c r="D965" t="str">
        <f>IF('Bittrex Data'!B965="","",LEFT(LEFT('Bittrex Data'!B965,SEARCH("-",'Bittrex Data'!B965,1)),LEN(LEFT('Bittrex Data'!B965,SEARCH("-",'Bittrex Data'!B965,1)))-1))</f>
        <v/>
      </c>
      <c r="E965" t="str">
        <f>IF('Bittrex Data'!B965="","",RIGHT(RIGHT('Bittrex Data'!B965,LEN('Bittrex Data'!B965)-SEARCH("-",'Bittrex Data'!B965,1)+1),LEN(RIGHT('Bittrex Data'!B965,LEN('Bittrex Data'!B965)-SEARCH("-",'Bittrex Data'!B965,1)+1))-1))</f>
        <v/>
      </c>
      <c r="F965" t="str">
        <f>IF('Bittrex Data'!C965="","",IF('Bittrex Data'!C965="Limit_Sell",'Bittrex Data'!G965-'Bittrex Data'!F965,IF('Bittrex Data'!C965="Limit_Buy",'Bittrex Data'!G965+'Bittrex Data'!F965,"")))</f>
        <v/>
      </c>
      <c r="G965" t="str">
        <f>IF('Bittrex Data'!B965="","",'Bittrex Data'!D965)</f>
        <v/>
      </c>
      <c r="H965" t="str">
        <f>IF('Bittrex Data'!C965="","",IF(Bittrex!C965="Buy",Bittrex!D965,IF(Bittrex!C965="Sale",Bittrex!E965,IF(AND(Bittrex!C965="Trade",'Bittrex Data'!C965="Limit_Sell"),Bittrex!E965,IF(AND(Bittrex!C965="Trade",'Bittrex Data'!C965="Limit_Buy"),Bittrex!D965,"")))))</f>
        <v/>
      </c>
      <c r="I965" t="str">
        <f>IF('Bittrex Data'!C965="","",IF(Bittrex!C965="Buy",F965,IF(C965="Sale",Bittrex!G965,IF(AND(C965="Trade",'Bittrex Data'!C965="Limit_Sell"),Bittrex!G965,IF(AND(Bittrex!C965="Trade",'Bittrex Data'!C965="Limit_Buy"),F965,"")))))</f>
        <v/>
      </c>
      <c r="J965" t="str">
        <f>IF('Bittrex Data'!B965="","",IF('Bittrex Data'!B965="","",IF(Bittrex!H965=Bittrex!E965,D965,Bittrex!E965)))</f>
        <v/>
      </c>
      <c r="K965" t="str">
        <f>IF('Bittrex Data'!B965="","",IF(Bittrex!I965=Bittrex!G965,Bittrex!F965,Bittrex!G965))</f>
        <v/>
      </c>
    </row>
    <row r="966" spans="3:11" x14ac:dyDescent="0.2">
      <c r="C966" t="str">
        <f>IF('Bittrex Data'!A966="","",IF(AND('Bittrex Data'!C966="LIMIT_SELL",Bittrex!D966="USD"),"Sale",IF(AND('Bittrex Data'!C966="LIMIT_BUY",Bittrex!D966="USD"),"Buy","Trade")))</f>
        <v/>
      </c>
      <c r="D966" t="str">
        <f>IF('Bittrex Data'!B966="","",LEFT(LEFT('Bittrex Data'!B966,SEARCH("-",'Bittrex Data'!B966,1)),LEN(LEFT('Bittrex Data'!B966,SEARCH("-",'Bittrex Data'!B966,1)))-1))</f>
        <v/>
      </c>
      <c r="E966" t="str">
        <f>IF('Bittrex Data'!B966="","",RIGHT(RIGHT('Bittrex Data'!B966,LEN('Bittrex Data'!B966)-SEARCH("-",'Bittrex Data'!B966,1)+1),LEN(RIGHT('Bittrex Data'!B966,LEN('Bittrex Data'!B966)-SEARCH("-",'Bittrex Data'!B966,1)+1))-1))</f>
        <v/>
      </c>
      <c r="F966" t="str">
        <f>IF('Bittrex Data'!C966="","",IF('Bittrex Data'!C966="Limit_Sell",'Bittrex Data'!G966-'Bittrex Data'!F966,IF('Bittrex Data'!C966="Limit_Buy",'Bittrex Data'!G966+'Bittrex Data'!F966,"")))</f>
        <v/>
      </c>
      <c r="G966" t="str">
        <f>IF('Bittrex Data'!B966="","",'Bittrex Data'!D966)</f>
        <v/>
      </c>
      <c r="H966" t="str">
        <f>IF('Bittrex Data'!C966="","",IF(Bittrex!C966="Buy",Bittrex!D966,IF(Bittrex!C966="Sale",Bittrex!E966,IF(AND(Bittrex!C966="Trade",'Bittrex Data'!C966="Limit_Sell"),Bittrex!E966,IF(AND(Bittrex!C966="Trade",'Bittrex Data'!C966="Limit_Buy"),Bittrex!D966,"")))))</f>
        <v/>
      </c>
      <c r="I966" t="str">
        <f>IF('Bittrex Data'!C966="","",IF(Bittrex!C966="Buy",F966,IF(C966="Sale",Bittrex!G966,IF(AND(C966="Trade",'Bittrex Data'!C966="Limit_Sell"),Bittrex!G966,IF(AND(Bittrex!C966="Trade",'Bittrex Data'!C966="Limit_Buy"),F966,"")))))</f>
        <v/>
      </c>
      <c r="J966" t="str">
        <f>IF('Bittrex Data'!B966="","",IF('Bittrex Data'!B966="","",IF(Bittrex!H966=Bittrex!E966,D966,Bittrex!E966)))</f>
        <v/>
      </c>
      <c r="K966" t="str">
        <f>IF('Bittrex Data'!B966="","",IF(Bittrex!I966=Bittrex!G966,Bittrex!F966,Bittrex!G966))</f>
        <v/>
      </c>
    </row>
    <row r="967" spans="3:11" x14ac:dyDescent="0.2">
      <c r="C967" t="str">
        <f>IF('Bittrex Data'!A967="","",IF(AND('Bittrex Data'!C967="LIMIT_SELL",Bittrex!D967="USD"),"Sale",IF(AND('Bittrex Data'!C967="LIMIT_BUY",Bittrex!D967="USD"),"Buy","Trade")))</f>
        <v/>
      </c>
      <c r="D967" t="str">
        <f>IF('Bittrex Data'!B967="","",LEFT(LEFT('Bittrex Data'!B967,SEARCH("-",'Bittrex Data'!B967,1)),LEN(LEFT('Bittrex Data'!B967,SEARCH("-",'Bittrex Data'!B967,1)))-1))</f>
        <v/>
      </c>
      <c r="E967" t="str">
        <f>IF('Bittrex Data'!B967="","",RIGHT(RIGHT('Bittrex Data'!B967,LEN('Bittrex Data'!B967)-SEARCH("-",'Bittrex Data'!B967,1)+1),LEN(RIGHT('Bittrex Data'!B967,LEN('Bittrex Data'!B967)-SEARCH("-",'Bittrex Data'!B967,1)+1))-1))</f>
        <v/>
      </c>
      <c r="F967" t="str">
        <f>IF('Bittrex Data'!C967="","",IF('Bittrex Data'!C967="Limit_Sell",'Bittrex Data'!G967-'Bittrex Data'!F967,IF('Bittrex Data'!C967="Limit_Buy",'Bittrex Data'!G967+'Bittrex Data'!F967,"")))</f>
        <v/>
      </c>
      <c r="G967" t="str">
        <f>IF('Bittrex Data'!B967="","",'Bittrex Data'!D967)</f>
        <v/>
      </c>
      <c r="H967" t="str">
        <f>IF('Bittrex Data'!C967="","",IF(Bittrex!C967="Buy",Bittrex!D967,IF(Bittrex!C967="Sale",Bittrex!E967,IF(AND(Bittrex!C967="Trade",'Bittrex Data'!C967="Limit_Sell"),Bittrex!E967,IF(AND(Bittrex!C967="Trade",'Bittrex Data'!C967="Limit_Buy"),Bittrex!D967,"")))))</f>
        <v/>
      </c>
      <c r="I967" t="str">
        <f>IF('Bittrex Data'!C967="","",IF(Bittrex!C967="Buy",F967,IF(C967="Sale",Bittrex!G967,IF(AND(C967="Trade",'Bittrex Data'!C967="Limit_Sell"),Bittrex!G967,IF(AND(Bittrex!C967="Trade",'Bittrex Data'!C967="Limit_Buy"),F967,"")))))</f>
        <v/>
      </c>
      <c r="J967" t="str">
        <f>IF('Bittrex Data'!B967="","",IF('Bittrex Data'!B967="","",IF(Bittrex!H967=Bittrex!E967,D967,Bittrex!E967)))</f>
        <v/>
      </c>
      <c r="K967" t="str">
        <f>IF('Bittrex Data'!B967="","",IF(Bittrex!I967=Bittrex!G967,Bittrex!F967,Bittrex!G967))</f>
        <v/>
      </c>
    </row>
    <row r="968" spans="3:11" x14ac:dyDescent="0.2">
      <c r="C968" t="str">
        <f>IF('Bittrex Data'!A968="","",IF(AND('Bittrex Data'!C968="LIMIT_SELL",Bittrex!D968="USD"),"Sale",IF(AND('Bittrex Data'!C968="LIMIT_BUY",Bittrex!D968="USD"),"Buy","Trade")))</f>
        <v/>
      </c>
      <c r="D968" t="str">
        <f>IF('Bittrex Data'!B968="","",LEFT(LEFT('Bittrex Data'!B968,SEARCH("-",'Bittrex Data'!B968,1)),LEN(LEFT('Bittrex Data'!B968,SEARCH("-",'Bittrex Data'!B968,1)))-1))</f>
        <v/>
      </c>
      <c r="E968" t="str">
        <f>IF('Bittrex Data'!B968="","",RIGHT(RIGHT('Bittrex Data'!B968,LEN('Bittrex Data'!B968)-SEARCH("-",'Bittrex Data'!B968,1)+1),LEN(RIGHT('Bittrex Data'!B968,LEN('Bittrex Data'!B968)-SEARCH("-",'Bittrex Data'!B968,1)+1))-1))</f>
        <v/>
      </c>
      <c r="F968" t="str">
        <f>IF('Bittrex Data'!C968="","",IF('Bittrex Data'!C968="Limit_Sell",'Bittrex Data'!G968-'Bittrex Data'!F968,IF('Bittrex Data'!C968="Limit_Buy",'Bittrex Data'!G968+'Bittrex Data'!F968,"")))</f>
        <v/>
      </c>
      <c r="G968" t="str">
        <f>IF('Bittrex Data'!B968="","",'Bittrex Data'!D968)</f>
        <v/>
      </c>
      <c r="H968" t="str">
        <f>IF('Bittrex Data'!C968="","",IF(Bittrex!C968="Buy",Bittrex!D968,IF(Bittrex!C968="Sale",Bittrex!E968,IF(AND(Bittrex!C968="Trade",'Bittrex Data'!C968="Limit_Sell"),Bittrex!E968,IF(AND(Bittrex!C968="Trade",'Bittrex Data'!C968="Limit_Buy"),Bittrex!D968,"")))))</f>
        <v/>
      </c>
      <c r="I968" t="str">
        <f>IF('Bittrex Data'!C968="","",IF(Bittrex!C968="Buy",F968,IF(C968="Sale",Bittrex!G968,IF(AND(C968="Trade",'Bittrex Data'!C968="Limit_Sell"),Bittrex!G968,IF(AND(Bittrex!C968="Trade",'Bittrex Data'!C968="Limit_Buy"),F968,"")))))</f>
        <v/>
      </c>
      <c r="J968" t="str">
        <f>IF('Bittrex Data'!B968="","",IF('Bittrex Data'!B968="","",IF(Bittrex!H968=Bittrex!E968,D968,Bittrex!E968)))</f>
        <v/>
      </c>
      <c r="K968" t="str">
        <f>IF('Bittrex Data'!B968="","",IF(Bittrex!I968=Bittrex!G968,Bittrex!F968,Bittrex!G968))</f>
        <v/>
      </c>
    </row>
    <row r="969" spans="3:11" x14ac:dyDescent="0.2">
      <c r="C969" t="str">
        <f>IF('Bittrex Data'!A969="","",IF(AND('Bittrex Data'!C969="LIMIT_SELL",Bittrex!D969="USD"),"Sale",IF(AND('Bittrex Data'!C969="LIMIT_BUY",Bittrex!D969="USD"),"Buy","Trade")))</f>
        <v/>
      </c>
      <c r="D969" t="str">
        <f>IF('Bittrex Data'!B969="","",LEFT(LEFT('Bittrex Data'!B969,SEARCH("-",'Bittrex Data'!B969,1)),LEN(LEFT('Bittrex Data'!B969,SEARCH("-",'Bittrex Data'!B969,1)))-1))</f>
        <v/>
      </c>
      <c r="E969" t="str">
        <f>IF('Bittrex Data'!B969="","",RIGHT(RIGHT('Bittrex Data'!B969,LEN('Bittrex Data'!B969)-SEARCH("-",'Bittrex Data'!B969,1)+1),LEN(RIGHT('Bittrex Data'!B969,LEN('Bittrex Data'!B969)-SEARCH("-",'Bittrex Data'!B969,1)+1))-1))</f>
        <v/>
      </c>
      <c r="F969" t="str">
        <f>IF('Bittrex Data'!C969="","",IF('Bittrex Data'!C969="Limit_Sell",'Bittrex Data'!G969-'Bittrex Data'!F969,IF('Bittrex Data'!C969="Limit_Buy",'Bittrex Data'!G969+'Bittrex Data'!F969,"")))</f>
        <v/>
      </c>
      <c r="G969" t="str">
        <f>IF('Bittrex Data'!B969="","",'Bittrex Data'!D969)</f>
        <v/>
      </c>
      <c r="H969" t="str">
        <f>IF('Bittrex Data'!C969="","",IF(Bittrex!C969="Buy",Bittrex!D969,IF(Bittrex!C969="Sale",Bittrex!E969,IF(AND(Bittrex!C969="Trade",'Bittrex Data'!C969="Limit_Sell"),Bittrex!E969,IF(AND(Bittrex!C969="Trade",'Bittrex Data'!C969="Limit_Buy"),Bittrex!D969,"")))))</f>
        <v/>
      </c>
      <c r="I969" t="str">
        <f>IF('Bittrex Data'!C969="","",IF(Bittrex!C969="Buy",F969,IF(C969="Sale",Bittrex!G969,IF(AND(C969="Trade",'Bittrex Data'!C969="Limit_Sell"),Bittrex!G969,IF(AND(Bittrex!C969="Trade",'Bittrex Data'!C969="Limit_Buy"),F969,"")))))</f>
        <v/>
      </c>
      <c r="J969" t="str">
        <f>IF('Bittrex Data'!B969="","",IF('Bittrex Data'!B969="","",IF(Bittrex!H969=Bittrex!E969,D969,Bittrex!E969)))</f>
        <v/>
      </c>
      <c r="K969" t="str">
        <f>IF('Bittrex Data'!B969="","",IF(Bittrex!I969=Bittrex!G969,Bittrex!F969,Bittrex!G969))</f>
        <v/>
      </c>
    </row>
    <row r="970" spans="3:11" x14ac:dyDescent="0.2">
      <c r="C970" t="str">
        <f>IF('Bittrex Data'!A970="","",IF(AND('Bittrex Data'!C970="LIMIT_SELL",Bittrex!D970="USD"),"Sale",IF(AND('Bittrex Data'!C970="LIMIT_BUY",Bittrex!D970="USD"),"Buy","Trade")))</f>
        <v/>
      </c>
      <c r="D970" t="str">
        <f>IF('Bittrex Data'!B970="","",LEFT(LEFT('Bittrex Data'!B970,SEARCH("-",'Bittrex Data'!B970,1)),LEN(LEFT('Bittrex Data'!B970,SEARCH("-",'Bittrex Data'!B970,1)))-1))</f>
        <v/>
      </c>
      <c r="E970" t="str">
        <f>IF('Bittrex Data'!B970="","",RIGHT(RIGHT('Bittrex Data'!B970,LEN('Bittrex Data'!B970)-SEARCH("-",'Bittrex Data'!B970,1)+1),LEN(RIGHT('Bittrex Data'!B970,LEN('Bittrex Data'!B970)-SEARCH("-",'Bittrex Data'!B970,1)+1))-1))</f>
        <v/>
      </c>
      <c r="F970" t="str">
        <f>IF('Bittrex Data'!C970="","",IF('Bittrex Data'!C970="Limit_Sell",'Bittrex Data'!G970-'Bittrex Data'!F970,IF('Bittrex Data'!C970="Limit_Buy",'Bittrex Data'!G970+'Bittrex Data'!F970,"")))</f>
        <v/>
      </c>
      <c r="G970" t="str">
        <f>IF('Bittrex Data'!B970="","",'Bittrex Data'!D970)</f>
        <v/>
      </c>
      <c r="H970" t="str">
        <f>IF('Bittrex Data'!C970="","",IF(Bittrex!C970="Buy",Bittrex!D970,IF(Bittrex!C970="Sale",Bittrex!E970,IF(AND(Bittrex!C970="Trade",'Bittrex Data'!C970="Limit_Sell"),Bittrex!E970,IF(AND(Bittrex!C970="Trade",'Bittrex Data'!C970="Limit_Buy"),Bittrex!D970,"")))))</f>
        <v/>
      </c>
      <c r="I970" t="str">
        <f>IF('Bittrex Data'!C970="","",IF(Bittrex!C970="Buy",F970,IF(C970="Sale",Bittrex!G970,IF(AND(C970="Trade",'Bittrex Data'!C970="Limit_Sell"),Bittrex!G970,IF(AND(Bittrex!C970="Trade",'Bittrex Data'!C970="Limit_Buy"),F970,"")))))</f>
        <v/>
      </c>
      <c r="J970" t="str">
        <f>IF('Bittrex Data'!B970="","",IF('Bittrex Data'!B970="","",IF(Bittrex!H970=Bittrex!E970,D970,Bittrex!E970)))</f>
        <v/>
      </c>
      <c r="K970" t="str">
        <f>IF('Bittrex Data'!B970="","",IF(Bittrex!I970=Bittrex!G970,Bittrex!F970,Bittrex!G970))</f>
        <v/>
      </c>
    </row>
    <row r="971" spans="3:11" x14ac:dyDescent="0.2">
      <c r="C971" t="str">
        <f>IF('Bittrex Data'!A971="","",IF(AND('Bittrex Data'!C971="LIMIT_SELL",Bittrex!D971="USD"),"Sale",IF(AND('Bittrex Data'!C971="LIMIT_BUY",Bittrex!D971="USD"),"Buy","Trade")))</f>
        <v/>
      </c>
      <c r="D971" t="str">
        <f>IF('Bittrex Data'!B971="","",LEFT(LEFT('Bittrex Data'!B971,SEARCH("-",'Bittrex Data'!B971,1)),LEN(LEFT('Bittrex Data'!B971,SEARCH("-",'Bittrex Data'!B971,1)))-1))</f>
        <v/>
      </c>
      <c r="E971" t="str">
        <f>IF('Bittrex Data'!B971="","",RIGHT(RIGHT('Bittrex Data'!B971,LEN('Bittrex Data'!B971)-SEARCH("-",'Bittrex Data'!B971,1)+1),LEN(RIGHT('Bittrex Data'!B971,LEN('Bittrex Data'!B971)-SEARCH("-",'Bittrex Data'!B971,1)+1))-1))</f>
        <v/>
      </c>
      <c r="F971" t="str">
        <f>IF('Bittrex Data'!C971="","",IF('Bittrex Data'!C971="Limit_Sell",'Bittrex Data'!G971-'Bittrex Data'!F971,IF('Bittrex Data'!C971="Limit_Buy",'Bittrex Data'!G971+'Bittrex Data'!F971,"")))</f>
        <v/>
      </c>
      <c r="G971" t="str">
        <f>IF('Bittrex Data'!B971="","",'Bittrex Data'!D971)</f>
        <v/>
      </c>
      <c r="H971" t="str">
        <f>IF('Bittrex Data'!C971="","",IF(Bittrex!C971="Buy",Bittrex!D971,IF(Bittrex!C971="Sale",Bittrex!E971,IF(AND(Bittrex!C971="Trade",'Bittrex Data'!C971="Limit_Sell"),Bittrex!E971,IF(AND(Bittrex!C971="Trade",'Bittrex Data'!C971="Limit_Buy"),Bittrex!D971,"")))))</f>
        <v/>
      </c>
      <c r="I971" t="str">
        <f>IF('Bittrex Data'!C971="","",IF(Bittrex!C971="Buy",F971,IF(C971="Sale",Bittrex!G971,IF(AND(C971="Trade",'Bittrex Data'!C971="Limit_Sell"),Bittrex!G971,IF(AND(Bittrex!C971="Trade",'Bittrex Data'!C971="Limit_Buy"),F971,"")))))</f>
        <v/>
      </c>
      <c r="J971" t="str">
        <f>IF('Bittrex Data'!B971="","",IF('Bittrex Data'!B971="","",IF(Bittrex!H971=Bittrex!E971,D971,Bittrex!E971)))</f>
        <v/>
      </c>
      <c r="K971" t="str">
        <f>IF('Bittrex Data'!B971="","",IF(Bittrex!I971=Bittrex!G971,Bittrex!F971,Bittrex!G971))</f>
        <v/>
      </c>
    </row>
    <row r="972" spans="3:11" x14ac:dyDescent="0.2">
      <c r="C972" t="str">
        <f>IF('Bittrex Data'!A972="","",IF(AND('Bittrex Data'!C972="LIMIT_SELL",Bittrex!D972="USD"),"Sale",IF(AND('Bittrex Data'!C972="LIMIT_BUY",Bittrex!D972="USD"),"Buy","Trade")))</f>
        <v/>
      </c>
      <c r="D972" t="str">
        <f>IF('Bittrex Data'!B972="","",LEFT(LEFT('Bittrex Data'!B972,SEARCH("-",'Bittrex Data'!B972,1)),LEN(LEFT('Bittrex Data'!B972,SEARCH("-",'Bittrex Data'!B972,1)))-1))</f>
        <v/>
      </c>
      <c r="E972" t="str">
        <f>IF('Bittrex Data'!B972="","",RIGHT(RIGHT('Bittrex Data'!B972,LEN('Bittrex Data'!B972)-SEARCH("-",'Bittrex Data'!B972,1)+1),LEN(RIGHT('Bittrex Data'!B972,LEN('Bittrex Data'!B972)-SEARCH("-",'Bittrex Data'!B972,1)+1))-1))</f>
        <v/>
      </c>
      <c r="F972" t="str">
        <f>IF('Bittrex Data'!C972="","",IF('Bittrex Data'!C972="Limit_Sell",'Bittrex Data'!G972-'Bittrex Data'!F972,IF('Bittrex Data'!C972="Limit_Buy",'Bittrex Data'!G972+'Bittrex Data'!F972,"")))</f>
        <v/>
      </c>
      <c r="G972" t="str">
        <f>IF('Bittrex Data'!B972="","",'Bittrex Data'!D972)</f>
        <v/>
      </c>
      <c r="H972" t="str">
        <f>IF('Bittrex Data'!C972="","",IF(Bittrex!C972="Buy",Bittrex!D972,IF(Bittrex!C972="Sale",Bittrex!E972,IF(AND(Bittrex!C972="Trade",'Bittrex Data'!C972="Limit_Sell"),Bittrex!E972,IF(AND(Bittrex!C972="Trade",'Bittrex Data'!C972="Limit_Buy"),Bittrex!D972,"")))))</f>
        <v/>
      </c>
      <c r="I972" t="str">
        <f>IF('Bittrex Data'!C972="","",IF(Bittrex!C972="Buy",F972,IF(C972="Sale",Bittrex!G972,IF(AND(C972="Trade",'Bittrex Data'!C972="Limit_Sell"),Bittrex!G972,IF(AND(Bittrex!C972="Trade",'Bittrex Data'!C972="Limit_Buy"),F972,"")))))</f>
        <v/>
      </c>
      <c r="J972" t="str">
        <f>IF('Bittrex Data'!B972="","",IF('Bittrex Data'!B972="","",IF(Bittrex!H972=Bittrex!E972,D972,Bittrex!E972)))</f>
        <v/>
      </c>
      <c r="K972" t="str">
        <f>IF('Bittrex Data'!B972="","",IF(Bittrex!I972=Bittrex!G972,Bittrex!F972,Bittrex!G972))</f>
        <v/>
      </c>
    </row>
    <row r="973" spans="3:11" x14ac:dyDescent="0.2">
      <c r="C973" t="str">
        <f>IF('Bittrex Data'!A973="","",IF(AND('Bittrex Data'!C973="LIMIT_SELL",Bittrex!D973="USD"),"Sale",IF(AND('Bittrex Data'!C973="LIMIT_BUY",Bittrex!D973="USD"),"Buy","Trade")))</f>
        <v/>
      </c>
      <c r="D973" t="str">
        <f>IF('Bittrex Data'!B973="","",LEFT(LEFT('Bittrex Data'!B973,SEARCH("-",'Bittrex Data'!B973,1)),LEN(LEFT('Bittrex Data'!B973,SEARCH("-",'Bittrex Data'!B973,1)))-1))</f>
        <v/>
      </c>
      <c r="E973" t="str">
        <f>IF('Bittrex Data'!B973="","",RIGHT(RIGHT('Bittrex Data'!B973,LEN('Bittrex Data'!B973)-SEARCH("-",'Bittrex Data'!B973,1)+1),LEN(RIGHT('Bittrex Data'!B973,LEN('Bittrex Data'!B973)-SEARCH("-",'Bittrex Data'!B973,1)+1))-1))</f>
        <v/>
      </c>
      <c r="F973" t="str">
        <f>IF('Bittrex Data'!C973="","",IF('Bittrex Data'!C973="Limit_Sell",'Bittrex Data'!G973-'Bittrex Data'!F973,IF('Bittrex Data'!C973="Limit_Buy",'Bittrex Data'!G973+'Bittrex Data'!F973,"")))</f>
        <v/>
      </c>
      <c r="G973" t="str">
        <f>IF('Bittrex Data'!B973="","",'Bittrex Data'!D973)</f>
        <v/>
      </c>
      <c r="H973" t="str">
        <f>IF('Bittrex Data'!C973="","",IF(Bittrex!C973="Buy",Bittrex!D973,IF(Bittrex!C973="Sale",Bittrex!E973,IF(AND(Bittrex!C973="Trade",'Bittrex Data'!C973="Limit_Sell"),Bittrex!E973,IF(AND(Bittrex!C973="Trade",'Bittrex Data'!C973="Limit_Buy"),Bittrex!D973,"")))))</f>
        <v/>
      </c>
      <c r="I973" t="str">
        <f>IF('Bittrex Data'!C973="","",IF(Bittrex!C973="Buy",F973,IF(C973="Sale",Bittrex!G973,IF(AND(C973="Trade",'Bittrex Data'!C973="Limit_Sell"),Bittrex!G973,IF(AND(Bittrex!C973="Trade",'Bittrex Data'!C973="Limit_Buy"),F973,"")))))</f>
        <v/>
      </c>
      <c r="J973" t="str">
        <f>IF('Bittrex Data'!B973="","",IF('Bittrex Data'!B973="","",IF(Bittrex!H973=Bittrex!E973,D973,Bittrex!E973)))</f>
        <v/>
      </c>
      <c r="K973" t="str">
        <f>IF('Bittrex Data'!B973="","",IF(Bittrex!I973=Bittrex!G973,Bittrex!F973,Bittrex!G973))</f>
        <v/>
      </c>
    </row>
    <row r="974" spans="3:11" x14ac:dyDescent="0.2">
      <c r="C974" t="str">
        <f>IF('Bittrex Data'!A974="","",IF(AND('Bittrex Data'!C974="LIMIT_SELL",Bittrex!D974="USD"),"Sale",IF(AND('Bittrex Data'!C974="LIMIT_BUY",Bittrex!D974="USD"),"Buy","Trade")))</f>
        <v/>
      </c>
      <c r="D974" t="str">
        <f>IF('Bittrex Data'!B974="","",LEFT(LEFT('Bittrex Data'!B974,SEARCH("-",'Bittrex Data'!B974,1)),LEN(LEFT('Bittrex Data'!B974,SEARCH("-",'Bittrex Data'!B974,1)))-1))</f>
        <v/>
      </c>
      <c r="E974" t="str">
        <f>IF('Bittrex Data'!B974="","",RIGHT(RIGHT('Bittrex Data'!B974,LEN('Bittrex Data'!B974)-SEARCH("-",'Bittrex Data'!B974,1)+1),LEN(RIGHT('Bittrex Data'!B974,LEN('Bittrex Data'!B974)-SEARCH("-",'Bittrex Data'!B974,1)+1))-1))</f>
        <v/>
      </c>
      <c r="F974" t="str">
        <f>IF('Bittrex Data'!C974="","",IF('Bittrex Data'!C974="Limit_Sell",'Bittrex Data'!G974-'Bittrex Data'!F974,IF('Bittrex Data'!C974="Limit_Buy",'Bittrex Data'!G974+'Bittrex Data'!F974,"")))</f>
        <v/>
      </c>
      <c r="G974" t="str">
        <f>IF('Bittrex Data'!B974="","",'Bittrex Data'!D974)</f>
        <v/>
      </c>
      <c r="H974" t="str">
        <f>IF('Bittrex Data'!C974="","",IF(Bittrex!C974="Buy",Bittrex!D974,IF(Bittrex!C974="Sale",Bittrex!E974,IF(AND(Bittrex!C974="Trade",'Bittrex Data'!C974="Limit_Sell"),Bittrex!E974,IF(AND(Bittrex!C974="Trade",'Bittrex Data'!C974="Limit_Buy"),Bittrex!D974,"")))))</f>
        <v/>
      </c>
      <c r="I974" t="str">
        <f>IF('Bittrex Data'!C974="","",IF(Bittrex!C974="Buy",F974,IF(C974="Sale",Bittrex!G974,IF(AND(C974="Trade",'Bittrex Data'!C974="Limit_Sell"),Bittrex!G974,IF(AND(Bittrex!C974="Trade",'Bittrex Data'!C974="Limit_Buy"),F974,"")))))</f>
        <v/>
      </c>
      <c r="J974" t="str">
        <f>IF('Bittrex Data'!B974="","",IF('Bittrex Data'!B974="","",IF(Bittrex!H974=Bittrex!E974,D974,Bittrex!E974)))</f>
        <v/>
      </c>
      <c r="K974" t="str">
        <f>IF('Bittrex Data'!B974="","",IF(Bittrex!I974=Bittrex!G974,Bittrex!F974,Bittrex!G974))</f>
        <v/>
      </c>
    </row>
    <row r="975" spans="3:11" x14ac:dyDescent="0.2">
      <c r="C975" t="str">
        <f>IF('Bittrex Data'!A975="","",IF(AND('Bittrex Data'!C975="LIMIT_SELL",Bittrex!D975="USD"),"Sale",IF(AND('Bittrex Data'!C975="LIMIT_BUY",Bittrex!D975="USD"),"Buy","Trade")))</f>
        <v/>
      </c>
      <c r="D975" t="str">
        <f>IF('Bittrex Data'!B975="","",LEFT(LEFT('Bittrex Data'!B975,SEARCH("-",'Bittrex Data'!B975,1)),LEN(LEFT('Bittrex Data'!B975,SEARCH("-",'Bittrex Data'!B975,1)))-1))</f>
        <v/>
      </c>
      <c r="E975" t="str">
        <f>IF('Bittrex Data'!B975="","",RIGHT(RIGHT('Bittrex Data'!B975,LEN('Bittrex Data'!B975)-SEARCH("-",'Bittrex Data'!B975,1)+1),LEN(RIGHT('Bittrex Data'!B975,LEN('Bittrex Data'!B975)-SEARCH("-",'Bittrex Data'!B975,1)+1))-1))</f>
        <v/>
      </c>
      <c r="F975" t="str">
        <f>IF('Bittrex Data'!C975="","",IF('Bittrex Data'!C975="Limit_Sell",'Bittrex Data'!G975-'Bittrex Data'!F975,IF('Bittrex Data'!C975="Limit_Buy",'Bittrex Data'!G975+'Bittrex Data'!F975,"")))</f>
        <v/>
      </c>
      <c r="G975" t="str">
        <f>IF('Bittrex Data'!B975="","",'Bittrex Data'!D975)</f>
        <v/>
      </c>
      <c r="H975" t="str">
        <f>IF('Bittrex Data'!C975="","",IF(Bittrex!C975="Buy",Bittrex!D975,IF(Bittrex!C975="Sale",Bittrex!E975,IF(AND(Bittrex!C975="Trade",'Bittrex Data'!C975="Limit_Sell"),Bittrex!E975,IF(AND(Bittrex!C975="Trade",'Bittrex Data'!C975="Limit_Buy"),Bittrex!D975,"")))))</f>
        <v/>
      </c>
      <c r="I975" t="str">
        <f>IF('Bittrex Data'!C975="","",IF(Bittrex!C975="Buy",F975,IF(C975="Sale",Bittrex!G975,IF(AND(C975="Trade",'Bittrex Data'!C975="Limit_Sell"),Bittrex!G975,IF(AND(Bittrex!C975="Trade",'Bittrex Data'!C975="Limit_Buy"),F975,"")))))</f>
        <v/>
      </c>
      <c r="J975" t="str">
        <f>IF('Bittrex Data'!B975="","",IF('Bittrex Data'!B975="","",IF(Bittrex!H975=Bittrex!E975,D975,Bittrex!E975)))</f>
        <v/>
      </c>
      <c r="K975" t="str">
        <f>IF('Bittrex Data'!B975="","",IF(Bittrex!I975=Bittrex!G975,Bittrex!F975,Bittrex!G975))</f>
        <v/>
      </c>
    </row>
    <row r="976" spans="3:11" x14ac:dyDescent="0.2">
      <c r="C976" t="str">
        <f>IF('Bittrex Data'!A976="","",IF(AND('Bittrex Data'!C976="LIMIT_SELL",Bittrex!D976="USD"),"Sale",IF(AND('Bittrex Data'!C976="LIMIT_BUY",Bittrex!D976="USD"),"Buy","Trade")))</f>
        <v/>
      </c>
      <c r="D976" t="str">
        <f>IF('Bittrex Data'!B976="","",LEFT(LEFT('Bittrex Data'!B976,SEARCH("-",'Bittrex Data'!B976,1)),LEN(LEFT('Bittrex Data'!B976,SEARCH("-",'Bittrex Data'!B976,1)))-1))</f>
        <v/>
      </c>
      <c r="E976" t="str">
        <f>IF('Bittrex Data'!B976="","",RIGHT(RIGHT('Bittrex Data'!B976,LEN('Bittrex Data'!B976)-SEARCH("-",'Bittrex Data'!B976,1)+1),LEN(RIGHT('Bittrex Data'!B976,LEN('Bittrex Data'!B976)-SEARCH("-",'Bittrex Data'!B976,1)+1))-1))</f>
        <v/>
      </c>
      <c r="F976" t="str">
        <f>IF('Bittrex Data'!C976="","",IF('Bittrex Data'!C976="Limit_Sell",'Bittrex Data'!G976-'Bittrex Data'!F976,IF('Bittrex Data'!C976="Limit_Buy",'Bittrex Data'!G976+'Bittrex Data'!F976,"")))</f>
        <v/>
      </c>
      <c r="G976" t="str">
        <f>IF('Bittrex Data'!B976="","",'Bittrex Data'!D976)</f>
        <v/>
      </c>
      <c r="H976" t="str">
        <f>IF('Bittrex Data'!C976="","",IF(Bittrex!C976="Buy",Bittrex!D976,IF(Bittrex!C976="Sale",Bittrex!E976,IF(AND(Bittrex!C976="Trade",'Bittrex Data'!C976="Limit_Sell"),Bittrex!E976,IF(AND(Bittrex!C976="Trade",'Bittrex Data'!C976="Limit_Buy"),Bittrex!D976,"")))))</f>
        <v/>
      </c>
      <c r="I976" t="str">
        <f>IF('Bittrex Data'!C976="","",IF(Bittrex!C976="Buy",F976,IF(C976="Sale",Bittrex!G976,IF(AND(C976="Trade",'Bittrex Data'!C976="Limit_Sell"),Bittrex!G976,IF(AND(Bittrex!C976="Trade",'Bittrex Data'!C976="Limit_Buy"),F976,"")))))</f>
        <v/>
      </c>
      <c r="J976" t="str">
        <f>IF('Bittrex Data'!B976="","",IF('Bittrex Data'!B976="","",IF(Bittrex!H976=Bittrex!E976,D976,Bittrex!E976)))</f>
        <v/>
      </c>
      <c r="K976" t="str">
        <f>IF('Bittrex Data'!B976="","",IF(Bittrex!I976=Bittrex!G976,Bittrex!F976,Bittrex!G976))</f>
        <v/>
      </c>
    </row>
    <row r="977" spans="3:11" x14ac:dyDescent="0.2">
      <c r="C977" t="str">
        <f>IF('Bittrex Data'!A977="","",IF(AND('Bittrex Data'!C977="LIMIT_SELL",Bittrex!D977="USD"),"Sale",IF(AND('Bittrex Data'!C977="LIMIT_BUY",Bittrex!D977="USD"),"Buy","Trade")))</f>
        <v/>
      </c>
      <c r="D977" t="str">
        <f>IF('Bittrex Data'!B977="","",LEFT(LEFT('Bittrex Data'!B977,SEARCH("-",'Bittrex Data'!B977,1)),LEN(LEFT('Bittrex Data'!B977,SEARCH("-",'Bittrex Data'!B977,1)))-1))</f>
        <v/>
      </c>
      <c r="E977" t="str">
        <f>IF('Bittrex Data'!B977="","",RIGHT(RIGHT('Bittrex Data'!B977,LEN('Bittrex Data'!B977)-SEARCH("-",'Bittrex Data'!B977,1)+1),LEN(RIGHT('Bittrex Data'!B977,LEN('Bittrex Data'!B977)-SEARCH("-",'Bittrex Data'!B977,1)+1))-1))</f>
        <v/>
      </c>
      <c r="F977" t="str">
        <f>IF('Bittrex Data'!C977="","",IF('Bittrex Data'!C977="Limit_Sell",'Bittrex Data'!G977-'Bittrex Data'!F977,IF('Bittrex Data'!C977="Limit_Buy",'Bittrex Data'!G977+'Bittrex Data'!F977,"")))</f>
        <v/>
      </c>
      <c r="G977" t="str">
        <f>IF('Bittrex Data'!B977="","",'Bittrex Data'!D977)</f>
        <v/>
      </c>
      <c r="H977" t="str">
        <f>IF('Bittrex Data'!C977="","",IF(Bittrex!C977="Buy",Bittrex!D977,IF(Bittrex!C977="Sale",Bittrex!E977,IF(AND(Bittrex!C977="Trade",'Bittrex Data'!C977="Limit_Sell"),Bittrex!E977,IF(AND(Bittrex!C977="Trade",'Bittrex Data'!C977="Limit_Buy"),Bittrex!D977,"")))))</f>
        <v/>
      </c>
      <c r="I977" t="str">
        <f>IF('Bittrex Data'!C977="","",IF(Bittrex!C977="Buy",F977,IF(C977="Sale",Bittrex!G977,IF(AND(C977="Trade",'Bittrex Data'!C977="Limit_Sell"),Bittrex!G977,IF(AND(Bittrex!C977="Trade",'Bittrex Data'!C977="Limit_Buy"),F977,"")))))</f>
        <v/>
      </c>
      <c r="J977" t="str">
        <f>IF('Bittrex Data'!B977="","",IF('Bittrex Data'!B977="","",IF(Bittrex!H977=Bittrex!E977,D977,Bittrex!E977)))</f>
        <v/>
      </c>
      <c r="K977" t="str">
        <f>IF('Bittrex Data'!B977="","",IF(Bittrex!I977=Bittrex!G977,Bittrex!F977,Bittrex!G977))</f>
        <v/>
      </c>
    </row>
    <row r="978" spans="3:11" x14ac:dyDescent="0.2">
      <c r="C978" t="str">
        <f>IF('Bittrex Data'!A978="","",IF(AND('Bittrex Data'!C978="LIMIT_SELL",Bittrex!D978="USD"),"Sale",IF(AND('Bittrex Data'!C978="LIMIT_BUY",Bittrex!D978="USD"),"Buy","Trade")))</f>
        <v/>
      </c>
      <c r="D978" t="str">
        <f>IF('Bittrex Data'!B978="","",LEFT(LEFT('Bittrex Data'!B978,SEARCH("-",'Bittrex Data'!B978,1)),LEN(LEFT('Bittrex Data'!B978,SEARCH("-",'Bittrex Data'!B978,1)))-1))</f>
        <v/>
      </c>
      <c r="E978" t="str">
        <f>IF('Bittrex Data'!B978="","",RIGHT(RIGHT('Bittrex Data'!B978,LEN('Bittrex Data'!B978)-SEARCH("-",'Bittrex Data'!B978,1)+1),LEN(RIGHT('Bittrex Data'!B978,LEN('Bittrex Data'!B978)-SEARCH("-",'Bittrex Data'!B978,1)+1))-1))</f>
        <v/>
      </c>
      <c r="F978" t="str">
        <f>IF('Bittrex Data'!C978="","",IF('Bittrex Data'!C978="Limit_Sell",'Bittrex Data'!G978-'Bittrex Data'!F978,IF('Bittrex Data'!C978="Limit_Buy",'Bittrex Data'!G978+'Bittrex Data'!F978,"")))</f>
        <v/>
      </c>
      <c r="G978" t="str">
        <f>IF('Bittrex Data'!B978="","",'Bittrex Data'!D978)</f>
        <v/>
      </c>
      <c r="H978" t="str">
        <f>IF('Bittrex Data'!C978="","",IF(Bittrex!C978="Buy",Bittrex!D978,IF(Bittrex!C978="Sale",Bittrex!E978,IF(AND(Bittrex!C978="Trade",'Bittrex Data'!C978="Limit_Sell"),Bittrex!E978,IF(AND(Bittrex!C978="Trade",'Bittrex Data'!C978="Limit_Buy"),Bittrex!D978,"")))))</f>
        <v/>
      </c>
      <c r="I978" t="str">
        <f>IF('Bittrex Data'!C978="","",IF(Bittrex!C978="Buy",F978,IF(C978="Sale",Bittrex!G978,IF(AND(C978="Trade",'Bittrex Data'!C978="Limit_Sell"),Bittrex!G978,IF(AND(Bittrex!C978="Trade",'Bittrex Data'!C978="Limit_Buy"),F978,"")))))</f>
        <v/>
      </c>
      <c r="J978" t="str">
        <f>IF('Bittrex Data'!B978="","",IF('Bittrex Data'!B978="","",IF(Bittrex!H978=Bittrex!E978,D978,Bittrex!E978)))</f>
        <v/>
      </c>
      <c r="K978" t="str">
        <f>IF('Bittrex Data'!B978="","",IF(Bittrex!I978=Bittrex!G978,Bittrex!F978,Bittrex!G978))</f>
        <v/>
      </c>
    </row>
    <row r="979" spans="3:11" x14ac:dyDescent="0.2">
      <c r="C979" t="str">
        <f>IF('Bittrex Data'!A979="","",IF(AND('Bittrex Data'!C979="LIMIT_SELL",Bittrex!D979="USD"),"Sale",IF(AND('Bittrex Data'!C979="LIMIT_BUY",Bittrex!D979="USD"),"Buy","Trade")))</f>
        <v/>
      </c>
      <c r="D979" t="str">
        <f>IF('Bittrex Data'!B979="","",LEFT(LEFT('Bittrex Data'!B979,SEARCH("-",'Bittrex Data'!B979,1)),LEN(LEFT('Bittrex Data'!B979,SEARCH("-",'Bittrex Data'!B979,1)))-1))</f>
        <v/>
      </c>
      <c r="E979" t="str">
        <f>IF('Bittrex Data'!B979="","",RIGHT(RIGHT('Bittrex Data'!B979,LEN('Bittrex Data'!B979)-SEARCH("-",'Bittrex Data'!B979,1)+1),LEN(RIGHT('Bittrex Data'!B979,LEN('Bittrex Data'!B979)-SEARCH("-",'Bittrex Data'!B979,1)+1))-1))</f>
        <v/>
      </c>
      <c r="F979" t="str">
        <f>IF('Bittrex Data'!C979="","",IF('Bittrex Data'!C979="Limit_Sell",'Bittrex Data'!G979-'Bittrex Data'!F979,IF('Bittrex Data'!C979="Limit_Buy",'Bittrex Data'!G979+'Bittrex Data'!F979,"")))</f>
        <v/>
      </c>
      <c r="G979" t="str">
        <f>IF('Bittrex Data'!B979="","",'Bittrex Data'!D979)</f>
        <v/>
      </c>
      <c r="H979" t="str">
        <f>IF('Bittrex Data'!C979="","",IF(Bittrex!C979="Buy",Bittrex!D979,IF(Bittrex!C979="Sale",Bittrex!E979,IF(AND(Bittrex!C979="Trade",'Bittrex Data'!C979="Limit_Sell"),Bittrex!E979,IF(AND(Bittrex!C979="Trade",'Bittrex Data'!C979="Limit_Buy"),Bittrex!D979,"")))))</f>
        <v/>
      </c>
      <c r="I979" t="str">
        <f>IF('Bittrex Data'!C979="","",IF(Bittrex!C979="Buy",F979,IF(C979="Sale",Bittrex!G979,IF(AND(C979="Trade",'Bittrex Data'!C979="Limit_Sell"),Bittrex!G979,IF(AND(Bittrex!C979="Trade",'Bittrex Data'!C979="Limit_Buy"),F979,"")))))</f>
        <v/>
      </c>
      <c r="J979" t="str">
        <f>IF('Bittrex Data'!B979="","",IF('Bittrex Data'!B979="","",IF(Bittrex!H979=Bittrex!E979,D979,Bittrex!E979)))</f>
        <v/>
      </c>
      <c r="K979" t="str">
        <f>IF('Bittrex Data'!B979="","",IF(Bittrex!I979=Bittrex!G979,Bittrex!F979,Bittrex!G979))</f>
        <v/>
      </c>
    </row>
    <row r="980" spans="3:11" x14ac:dyDescent="0.2">
      <c r="C980" t="str">
        <f>IF('Bittrex Data'!A980="","",IF(AND('Bittrex Data'!C980="LIMIT_SELL",Bittrex!D980="USD"),"Sale",IF(AND('Bittrex Data'!C980="LIMIT_BUY",Bittrex!D980="USD"),"Buy","Trade")))</f>
        <v/>
      </c>
      <c r="D980" t="str">
        <f>IF('Bittrex Data'!B980="","",LEFT(LEFT('Bittrex Data'!B980,SEARCH("-",'Bittrex Data'!B980,1)),LEN(LEFT('Bittrex Data'!B980,SEARCH("-",'Bittrex Data'!B980,1)))-1))</f>
        <v/>
      </c>
      <c r="E980" t="str">
        <f>IF('Bittrex Data'!B980="","",RIGHT(RIGHT('Bittrex Data'!B980,LEN('Bittrex Data'!B980)-SEARCH("-",'Bittrex Data'!B980,1)+1),LEN(RIGHT('Bittrex Data'!B980,LEN('Bittrex Data'!B980)-SEARCH("-",'Bittrex Data'!B980,1)+1))-1))</f>
        <v/>
      </c>
      <c r="F980" t="str">
        <f>IF('Bittrex Data'!C980="","",IF('Bittrex Data'!C980="Limit_Sell",'Bittrex Data'!G980-'Bittrex Data'!F980,IF('Bittrex Data'!C980="Limit_Buy",'Bittrex Data'!G980+'Bittrex Data'!F980,"")))</f>
        <v/>
      </c>
      <c r="G980" t="str">
        <f>IF('Bittrex Data'!B980="","",'Bittrex Data'!D980)</f>
        <v/>
      </c>
      <c r="H980" t="str">
        <f>IF('Bittrex Data'!C980="","",IF(Bittrex!C980="Buy",Bittrex!D980,IF(Bittrex!C980="Sale",Bittrex!E980,IF(AND(Bittrex!C980="Trade",'Bittrex Data'!C980="Limit_Sell"),Bittrex!E980,IF(AND(Bittrex!C980="Trade",'Bittrex Data'!C980="Limit_Buy"),Bittrex!D980,"")))))</f>
        <v/>
      </c>
      <c r="I980" t="str">
        <f>IF('Bittrex Data'!C980="","",IF(Bittrex!C980="Buy",F980,IF(C980="Sale",Bittrex!G980,IF(AND(C980="Trade",'Bittrex Data'!C980="Limit_Sell"),Bittrex!G980,IF(AND(Bittrex!C980="Trade",'Bittrex Data'!C980="Limit_Buy"),F980,"")))))</f>
        <v/>
      </c>
      <c r="J980" t="str">
        <f>IF('Bittrex Data'!B980="","",IF('Bittrex Data'!B980="","",IF(Bittrex!H980=Bittrex!E980,D980,Bittrex!E980)))</f>
        <v/>
      </c>
      <c r="K980" t="str">
        <f>IF('Bittrex Data'!B980="","",IF(Bittrex!I980=Bittrex!G980,Bittrex!F980,Bittrex!G980))</f>
        <v/>
      </c>
    </row>
    <row r="981" spans="3:11" x14ac:dyDescent="0.2">
      <c r="C981" t="str">
        <f>IF('Bittrex Data'!A981="","",IF(AND('Bittrex Data'!C981="LIMIT_SELL",Bittrex!D981="USD"),"Sale",IF(AND('Bittrex Data'!C981="LIMIT_BUY",Bittrex!D981="USD"),"Buy","Trade")))</f>
        <v/>
      </c>
      <c r="D981" t="str">
        <f>IF('Bittrex Data'!B981="","",LEFT(LEFT('Bittrex Data'!B981,SEARCH("-",'Bittrex Data'!B981,1)),LEN(LEFT('Bittrex Data'!B981,SEARCH("-",'Bittrex Data'!B981,1)))-1))</f>
        <v/>
      </c>
      <c r="E981" t="str">
        <f>IF('Bittrex Data'!B981="","",RIGHT(RIGHT('Bittrex Data'!B981,LEN('Bittrex Data'!B981)-SEARCH("-",'Bittrex Data'!B981,1)+1),LEN(RIGHT('Bittrex Data'!B981,LEN('Bittrex Data'!B981)-SEARCH("-",'Bittrex Data'!B981,1)+1))-1))</f>
        <v/>
      </c>
      <c r="F981" t="str">
        <f>IF('Bittrex Data'!C981="","",IF('Bittrex Data'!C981="Limit_Sell",'Bittrex Data'!G981-'Bittrex Data'!F981,IF('Bittrex Data'!C981="Limit_Buy",'Bittrex Data'!G981+'Bittrex Data'!F981,"")))</f>
        <v/>
      </c>
      <c r="G981" t="str">
        <f>IF('Bittrex Data'!B981="","",'Bittrex Data'!D981)</f>
        <v/>
      </c>
      <c r="H981" t="str">
        <f>IF('Bittrex Data'!C981="","",IF(Bittrex!C981="Buy",Bittrex!D981,IF(Bittrex!C981="Sale",Bittrex!E981,IF(AND(Bittrex!C981="Trade",'Bittrex Data'!C981="Limit_Sell"),Bittrex!E981,IF(AND(Bittrex!C981="Trade",'Bittrex Data'!C981="Limit_Buy"),Bittrex!D981,"")))))</f>
        <v/>
      </c>
      <c r="I981" t="str">
        <f>IF('Bittrex Data'!C981="","",IF(Bittrex!C981="Buy",F981,IF(C981="Sale",Bittrex!G981,IF(AND(C981="Trade",'Bittrex Data'!C981="Limit_Sell"),Bittrex!G981,IF(AND(Bittrex!C981="Trade",'Bittrex Data'!C981="Limit_Buy"),F981,"")))))</f>
        <v/>
      </c>
      <c r="J981" t="str">
        <f>IF('Bittrex Data'!B981="","",IF('Bittrex Data'!B981="","",IF(Bittrex!H981=Bittrex!E981,D981,Bittrex!E981)))</f>
        <v/>
      </c>
      <c r="K981" t="str">
        <f>IF('Bittrex Data'!B981="","",IF(Bittrex!I981=Bittrex!G981,Bittrex!F981,Bittrex!G981))</f>
        <v/>
      </c>
    </row>
    <row r="982" spans="3:11" x14ac:dyDescent="0.2">
      <c r="C982" t="str">
        <f>IF('Bittrex Data'!A982="","",IF(AND('Bittrex Data'!C982="LIMIT_SELL",Bittrex!D982="USD"),"Sale",IF(AND('Bittrex Data'!C982="LIMIT_BUY",Bittrex!D982="USD"),"Buy","Trade")))</f>
        <v/>
      </c>
      <c r="D982" t="str">
        <f>IF('Bittrex Data'!B982="","",LEFT(LEFT('Bittrex Data'!B982,SEARCH("-",'Bittrex Data'!B982,1)),LEN(LEFT('Bittrex Data'!B982,SEARCH("-",'Bittrex Data'!B982,1)))-1))</f>
        <v/>
      </c>
      <c r="E982" t="str">
        <f>IF('Bittrex Data'!B982="","",RIGHT(RIGHT('Bittrex Data'!B982,LEN('Bittrex Data'!B982)-SEARCH("-",'Bittrex Data'!B982,1)+1),LEN(RIGHT('Bittrex Data'!B982,LEN('Bittrex Data'!B982)-SEARCH("-",'Bittrex Data'!B982,1)+1))-1))</f>
        <v/>
      </c>
      <c r="F982" t="str">
        <f>IF('Bittrex Data'!C982="","",IF('Bittrex Data'!C982="Limit_Sell",'Bittrex Data'!G982-'Bittrex Data'!F982,IF('Bittrex Data'!C982="Limit_Buy",'Bittrex Data'!G982+'Bittrex Data'!F982,"")))</f>
        <v/>
      </c>
      <c r="G982" t="str">
        <f>IF('Bittrex Data'!B982="","",'Bittrex Data'!D982)</f>
        <v/>
      </c>
      <c r="H982" t="str">
        <f>IF('Bittrex Data'!C982="","",IF(Bittrex!C982="Buy",Bittrex!D982,IF(Bittrex!C982="Sale",Bittrex!E982,IF(AND(Bittrex!C982="Trade",'Bittrex Data'!C982="Limit_Sell"),Bittrex!E982,IF(AND(Bittrex!C982="Trade",'Bittrex Data'!C982="Limit_Buy"),Bittrex!D982,"")))))</f>
        <v/>
      </c>
      <c r="I982" t="str">
        <f>IF('Bittrex Data'!C982="","",IF(Bittrex!C982="Buy",F982,IF(C982="Sale",Bittrex!G982,IF(AND(C982="Trade",'Bittrex Data'!C982="Limit_Sell"),Bittrex!G982,IF(AND(Bittrex!C982="Trade",'Bittrex Data'!C982="Limit_Buy"),F982,"")))))</f>
        <v/>
      </c>
      <c r="J982" t="str">
        <f>IF('Bittrex Data'!B982="","",IF('Bittrex Data'!B982="","",IF(Bittrex!H982=Bittrex!E982,D982,Bittrex!E982)))</f>
        <v/>
      </c>
      <c r="K982" t="str">
        <f>IF('Bittrex Data'!B982="","",IF(Bittrex!I982=Bittrex!G982,Bittrex!F982,Bittrex!G982))</f>
        <v/>
      </c>
    </row>
    <row r="983" spans="3:11" x14ac:dyDescent="0.2">
      <c r="C983" t="str">
        <f>IF('Bittrex Data'!A983="","",IF(AND('Bittrex Data'!C983="LIMIT_SELL",Bittrex!D983="USD"),"Sale",IF(AND('Bittrex Data'!C983="LIMIT_BUY",Bittrex!D983="USD"),"Buy","Trade")))</f>
        <v/>
      </c>
      <c r="D983" t="str">
        <f>IF('Bittrex Data'!B983="","",LEFT(LEFT('Bittrex Data'!B983,SEARCH("-",'Bittrex Data'!B983,1)),LEN(LEFT('Bittrex Data'!B983,SEARCH("-",'Bittrex Data'!B983,1)))-1))</f>
        <v/>
      </c>
      <c r="E983" t="str">
        <f>IF('Bittrex Data'!B983="","",RIGHT(RIGHT('Bittrex Data'!B983,LEN('Bittrex Data'!B983)-SEARCH("-",'Bittrex Data'!B983,1)+1),LEN(RIGHT('Bittrex Data'!B983,LEN('Bittrex Data'!B983)-SEARCH("-",'Bittrex Data'!B983,1)+1))-1))</f>
        <v/>
      </c>
      <c r="F983" t="str">
        <f>IF('Bittrex Data'!C983="","",IF('Bittrex Data'!C983="Limit_Sell",'Bittrex Data'!G983-'Bittrex Data'!F983,IF('Bittrex Data'!C983="Limit_Buy",'Bittrex Data'!G983+'Bittrex Data'!F983,"")))</f>
        <v/>
      </c>
      <c r="G983" t="str">
        <f>IF('Bittrex Data'!B983="","",'Bittrex Data'!D983)</f>
        <v/>
      </c>
      <c r="H983" t="str">
        <f>IF('Bittrex Data'!C983="","",IF(Bittrex!C983="Buy",Bittrex!D983,IF(Bittrex!C983="Sale",Bittrex!E983,IF(AND(Bittrex!C983="Trade",'Bittrex Data'!C983="Limit_Sell"),Bittrex!E983,IF(AND(Bittrex!C983="Trade",'Bittrex Data'!C983="Limit_Buy"),Bittrex!D983,"")))))</f>
        <v/>
      </c>
      <c r="I983" t="str">
        <f>IF('Bittrex Data'!C983="","",IF(Bittrex!C983="Buy",F983,IF(C983="Sale",Bittrex!G983,IF(AND(C983="Trade",'Bittrex Data'!C983="Limit_Sell"),Bittrex!G983,IF(AND(Bittrex!C983="Trade",'Bittrex Data'!C983="Limit_Buy"),F983,"")))))</f>
        <v/>
      </c>
      <c r="J983" t="str">
        <f>IF('Bittrex Data'!B983="","",IF('Bittrex Data'!B983="","",IF(Bittrex!H983=Bittrex!E983,D983,Bittrex!E983)))</f>
        <v/>
      </c>
      <c r="K983" t="str">
        <f>IF('Bittrex Data'!B983="","",IF(Bittrex!I983=Bittrex!G983,Bittrex!F983,Bittrex!G983))</f>
        <v/>
      </c>
    </row>
    <row r="984" spans="3:11" x14ac:dyDescent="0.2">
      <c r="C984" t="str">
        <f>IF('Bittrex Data'!A984="","",IF(AND('Bittrex Data'!C984="LIMIT_SELL",Bittrex!D984="USD"),"Sale",IF(AND('Bittrex Data'!C984="LIMIT_BUY",Bittrex!D984="USD"),"Buy","Trade")))</f>
        <v/>
      </c>
      <c r="D984" t="str">
        <f>IF('Bittrex Data'!B984="","",LEFT(LEFT('Bittrex Data'!B984,SEARCH("-",'Bittrex Data'!B984,1)),LEN(LEFT('Bittrex Data'!B984,SEARCH("-",'Bittrex Data'!B984,1)))-1))</f>
        <v/>
      </c>
      <c r="E984" t="str">
        <f>IF('Bittrex Data'!B984="","",RIGHT(RIGHT('Bittrex Data'!B984,LEN('Bittrex Data'!B984)-SEARCH("-",'Bittrex Data'!B984,1)+1),LEN(RIGHT('Bittrex Data'!B984,LEN('Bittrex Data'!B984)-SEARCH("-",'Bittrex Data'!B984,1)+1))-1))</f>
        <v/>
      </c>
      <c r="F984" t="str">
        <f>IF('Bittrex Data'!C984="","",IF('Bittrex Data'!C984="Limit_Sell",'Bittrex Data'!G984-'Bittrex Data'!F984,IF('Bittrex Data'!C984="Limit_Buy",'Bittrex Data'!G984+'Bittrex Data'!F984,"")))</f>
        <v/>
      </c>
      <c r="G984" t="str">
        <f>IF('Bittrex Data'!B984="","",'Bittrex Data'!D984)</f>
        <v/>
      </c>
      <c r="H984" t="str">
        <f>IF('Bittrex Data'!C984="","",IF(Bittrex!C984="Buy",Bittrex!D984,IF(Bittrex!C984="Sale",Bittrex!E984,IF(AND(Bittrex!C984="Trade",'Bittrex Data'!C984="Limit_Sell"),Bittrex!E984,IF(AND(Bittrex!C984="Trade",'Bittrex Data'!C984="Limit_Buy"),Bittrex!D984,"")))))</f>
        <v/>
      </c>
      <c r="I984" t="str">
        <f>IF('Bittrex Data'!C984="","",IF(Bittrex!C984="Buy",F984,IF(C984="Sale",Bittrex!G984,IF(AND(C984="Trade",'Bittrex Data'!C984="Limit_Sell"),Bittrex!G984,IF(AND(Bittrex!C984="Trade",'Bittrex Data'!C984="Limit_Buy"),F984,"")))))</f>
        <v/>
      </c>
      <c r="J984" t="str">
        <f>IF('Bittrex Data'!B984="","",IF('Bittrex Data'!B984="","",IF(Bittrex!H984=Bittrex!E984,D984,Bittrex!E984)))</f>
        <v/>
      </c>
      <c r="K984" t="str">
        <f>IF('Bittrex Data'!B984="","",IF(Bittrex!I984=Bittrex!G984,Bittrex!F984,Bittrex!G984))</f>
        <v/>
      </c>
    </row>
    <row r="985" spans="3:11" x14ac:dyDescent="0.2">
      <c r="C985" t="str">
        <f>IF('Bittrex Data'!A985="","",IF(AND('Bittrex Data'!C985="LIMIT_SELL",Bittrex!D985="USD"),"Sale",IF(AND('Bittrex Data'!C985="LIMIT_BUY",Bittrex!D985="USD"),"Buy","Trade")))</f>
        <v/>
      </c>
      <c r="D985" t="str">
        <f>IF('Bittrex Data'!B985="","",LEFT(LEFT('Bittrex Data'!B985,SEARCH("-",'Bittrex Data'!B985,1)),LEN(LEFT('Bittrex Data'!B985,SEARCH("-",'Bittrex Data'!B985,1)))-1))</f>
        <v/>
      </c>
      <c r="E985" t="str">
        <f>IF('Bittrex Data'!B985="","",RIGHT(RIGHT('Bittrex Data'!B985,LEN('Bittrex Data'!B985)-SEARCH("-",'Bittrex Data'!B985,1)+1),LEN(RIGHT('Bittrex Data'!B985,LEN('Bittrex Data'!B985)-SEARCH("-",'Bittrex Data'!B985,1)+1))-1))</f>
        <v/>
      </c>
      <c r="F985" t="str">
        <f>IF('Bittrex Data'!C985="","",IF('Bittrex Data'!C985="Limit_Sell",'Bittrex Data'!G985-'Bittrex Data'!F985,IF('Bittrex Data'!C985="Limit_Buy",'Bittrex Data'!G985+'Bittrex Data'!F985,"")))</f>
        <v/>
      </c>
      <c r="G985" t="str">
        <f>IF('Bittrex Data'!B985="","",'Bittrex Data'!D985)</f>
        <v/>
      </c>
      <c r="H985" t="str">
        <f>IF('Bittrex Data'!C985="","",IF(Bittrex!C985="Buy",Bittrex!D985,IF(Bittrex!C985="Sale",Bittrex!E985,IF(AND(Bittrex!C985="Trade",'Bittrex Data'!C985="Limit_Sell"),Bittrex!E985,IF(AND(Bittrex!C985="Trade",'Bittrex Data'!C985="Limit_Buy"),Bittrex!D985,"")))))</f>
        <v/>
      </c>
      <c r="I985" t="str">
        <f>IF('Bittrex Data'!C985="","",IF(Bittrex!C985="Buy",F985,IF(C985="Sale",Bittrex!G985,IF(AND(C985="Trade",'Bittrex Data'!C985="Limit_Sell"),Bittrex!G985,IF(AND(Bittrex!C985="Trade",'Bittrex Data'!C985="Limit_Buy"),F985,"")))))</f>
        <v/>
      </c>
      <c r="J985" t="str">
        <f>IF('Bittrex Data'!B985="","",IF('Bittrex Data'!B985="","",IF(Bittrex!H985=Bittrex!E985,D985,Bittrex!E985)))</f>
        <v/>
      </c>
      <c r="K985" t="str">
        <f>IF('Bittrex Data'!B985="","",IF(Bittrex!I985=Bittrex!G985,Bittrex!F985,Bittrex!G985))</f>
        <v/>
      </c>
    </row>
    <row r="986" spans="3:11" x14ac:dyDescent="0.2">
      <c r="C986" t="str">
        <f>IF('Bittrex Data'!A986="","",IF(AND('Bittrex Data'!C986="LIMIT_SELL",Bittrex!D986="USD"),"Sale",IF(AND('Bittrex Data'!C986="LIMIT_BUY",Bittrex!D986="USD"),"Buy","Trade")))</f>
        <v/>
      </c>
      <c r="D986" t="str">
        <f>IF('Bittrex Data'!B986="","",LEFT(LEFT('Bittrex Data'!B986,SEARCH("-",'Bittrex Data'!B986,1)),LEN(LEFT('Bittrex Data'!B986,SEARCH("-",'Bittrex Data'!B986,1)))-1))</f>
        <v/>
      </c>
      <c r="E986" t="str">
        <f>IF('Bittrex Data'!B986="","",RIGHT(RIGHT('Bittrex Data'!B986,LEN('Bittrex Data'!B986)-SEARCH("-",'Bittrex Data'!B986,1)+1),LEN(RIGHT('Bittrex Data'!B986,LEN('Bittrex Data'!B986)-SEARCH("-",'Bittrex Data'!B986,1)+1))-1))</f>
        <v/>
      </c>
      <c r="F986" t="str">
        <f>IF('Bittrex Data'!C986="","",IF('Bittrex Data'!C986="Limit_Sell",'Bittrex Data'!G986-'Bittrex Data'!F986,IF('Bittrex Data'!C986="Limit_Buy",'Bittrex Data'!G986+'Bittrex Data'!F986,"")))</f>
        <v/>
      </c>
      <c r="G986" t="str">
        <f>IF('Bittrex Data'!B986="","",'Bittrex Data'!D986)</f>
        <v/>
      </c>
      <c r="H986" t="str">
        <f>IF('Bittrex Data'!C986="","",IF(Bittrex!C986="Buy",Bittrex!D986,IF(Bittrex!C986="Sale",Bittrex!E986,IF(AND(Bittrex!C986="Trade",'Bittrex Data'!C986="Limit_Sell"),Bittrex!E986,IF(AND(Bittrex!C986="Trade",'Bittrex Data'!C986="Limit_Buy"),Bittrex!D986,"")))))</f>
        <v/>
      </c>
      <c r="I986" t="str">
        <f>IF('Bittrex Data'!C986="","",IF(Bittrex!C986="Buy",F986,IF(C986="Sale",Bittrex!G986,IF(AND(C986="Trade",'Bittrex Data'!C986="Limit_Sell"),Bittrex!G986,IF(AND(Bittrex!C986="Trade",'Bittrex Data'!C986="Limit_Buy"),F986,"")))))</f>
        <v/>
      </c>
      <c r="J986" t="str">
        <f>IF('Bittrex Data'!B986="","",IF('Bittrex Data'!B986="","",IF(Bittrex!H986=Bittrex!E986,D986,Bittrex!E986)))</f>
        <v/>
      </c>
      <c r="K986" t="str">
        <f>IF('Bittrex Data'!B986="","",IF(Bittrex!I986=Bittrex!G986,Bittrex!F986,Bittrex!G986))</f>
        <v/>
      </c>
    </row>
    <row r="987" spans="3:11" x14ac:dyDescent="0.2">
      <c r="C987" t="str">
        <f>IF('Bittrex Data'!A987="","",IF(AND('Bittrex Data'!C987="LIMIT_SELL",Bittrex!D987="USD"),"Sale",IF(AND('Bittrex Data'!C987="LIMIT_BUY",Bittrex!D987="USD"),"Buy","Trade")))</f>
        <v/>
      </c>
      <c r="D987" t="str">
        <f>IF('Bittrex Data'!B987="","",LEFT(LEFT('Bittrex Data'!B987,SEARCH("-",'Bittrex Data'!B987,1)),LEN(LEFT('Bittrex Data'!B987,SEARCH("-",'Bittrex Data'!B987,1)))-1))</f>
        <v/>
      </c>
      <c r="E987" t="str">
        <f>IF('Bittrex Data'!B987="","",RIGHT(RIGHT('Bittrex Data'!B987,LEN('Bittrex Data'!B987)-SEARCH("-",'Bittrex Data'!B987,1)+1),LEN(RIGHT('Bittrex Data'!B987,LEN('Bittrex Data'!B987)-SEARCH("-",'Bittrex Data'!B987,1)+1))-1))</f>
        <v/>
      </c>
      <c r="F987" t="str">
        <f>IF('Bittrex Data'!C987="","",IF('Bittrex Data'!C987="Limit_Sell",'Bittrex Data'!G987-'Bittrex Data'!F987,IF('Bittrex Data'!C987="Limit_Buy",'Bittrex Data'!G987+'Bittrex Data'!F987,"")))</f>
        <v/>
      </c>
      <c r="G987" t="str">
        <f>IF('Bittrex Data'!B987="","",'Bittrex Data'!D987)</f>
        <v/>
      </c>
      <c r="H987" t="str">
        <f>IF('Bittrex Data'!C987="","",IF(Bittrex!C987="Buy",Bittrex!D987,IF(Bittrex!C987="Sale",Bittrex!E987,IF(AND(Bittrex!C987="Trade",'Bittrex Data'!C987="Limit_Sell"),Bittrex!E987,IF(AND(Bittrex!C987="Trade",'Bittrex Data'!C987="Limit_Buy"),Bittrex!D987,"")))))</f>
        <v/>
      </c>
      <c r="I987" t="str">
        <f>IF('Bittrex Data'!C987="","",IF(Bittrex!C987="Buy",F987,IF(C987="Sale",Bittrex!G987,IF(AND(C987="Trade",'Bittrex Data'!C987="Limit_Sell"),Bittrex!G987,IF(AND(Bittrex!C987="Trade",'Bittrex Data'!C987="Limit_Buy"),F987,"")))))</f>
        <v/>
      </c>
      <c r="J987" t="str">
        <f>IF('Bittrex Data'!B987="","",IF('Bittrex Data'!B987="","",IF(Bittrex!H987=Bittrex!E987,D987,Bittrex!E987)))</f>
        <v/>
      </c>
      <c r="K987" t="str">
        <f>IF('Bittrex Data'!B987="","",IF(Bittrex!I987=Bittrex!G987,Bittrex!F987,Bittrex!G987))</f>
        <v/>
      </c>
    </row>
    <row r="988" spans="3:11" x14ac:dyDescent="0.2">
      <c r="C988" t="str">
        <f>IF('Bittrex Data'!A988="","",IF(AND('Bittrex Data'!C988="LIMIT_SELL",Bittrex!D988="USD"),"Sale",IF(AND('Bittrex Data'!C988="LIMIT_BUY",Bittrex!D988="USD"),"Buy","Trade")))</f>
        <v/>
      </c>
      <c r="D988" t="str">
        <f>IF('Bittrex Data'!B988="","",LEFT(LEFT('Bittrex Data'!B988,SEARCH("-",'Bittrex Data'!B988,1)),LEN(LEFT('Bittrex Data'!B988,SEARCH("-",'Bittrex Data'!B988,1)))-1))</f>
        <v/>
      </c>
      <c r="E988" t="str">
        <f>IF('Bittrex Data'!B988="","",RIGHT(RIGHT('Bittrex Data'!B988,LEN('Bittrex Data'!B988)-SEARCH("-",'Bittrex Data'!B988,1)+1),LEN(RIGHT('Bittrex Data'!B988,LEN('Bittrex Data'!B988)-SEARCH("-",'Bittrex Data'!B988,1)+1))-1))</f>
        <v/>
      </c>
      <c r="F988" t="str">
        <f>IF('Bittrex Data'!C988="","",IF('Bittrex Data'!C988="Limit_Sell",'Bittrex Data'!G988-'Bittrex Data'!F988,IF('Bittrex Data'!C988="Limit_Buy",'Bittrex Data'!G988+'Bittrex Data'!F988,"")))</f>
        <v/>
      </c>
      <c r="G988" t="str">
        <f>IF('Bittrex Data'!B988="","",'Bittrex Data'!D988)</f>
        <v/>
      </c>
      <c r="H988" t="str">
        <f>IF('Bittrex Data'!C988="","",IF(Bittrex!C988="Buy",Bittrex!D988,IF(Bittrex!C988="Sale",Bittrex!E988,IF(AND(Bittrex!C988="Trade",'Bittrex Data'!C988="Limit_Sell"),Bittrex!E988,IF(AND(Bittrex!C988="Trade",'Bittrex Data'!C988="Limit_Buy"),Bittrex!D988,"")))))</f>
        <v/>
      </c>
      <c r="I988" t="str">
        <f>IF('Bittrex Data'!C988="","",IF(Bittrex!C988="Buy",F988,IF(C988="Sale",Bittrex!G988,IF(AND(C988="Trade",'Bittrex Data'!C988="Limit_Sell"),Bittrex!G988,IF(AND(Bittrex!C988="Trade",'Bittrex Data'!C988="Limit_Buy"),F988,"")))))</f>
        <v/>
      </c>
      <c r="J988" t="str">
        <f>IF('Bittrex Data'!B988="","",IF('Bittrex Data'!B988="","",IF(Bittrex!H988=Bittrex!E988,D988,Bittrex!E988)))</f>
        <v/>
      </c>
      <c r="K988" t="str">
        <f>IF('Bittrex Data'!B988="","",IF(Bittrex!I988=Bittrex!G988,Bittrex!F988,Bittrex!G988))</f>
        <v/>
      </c>
    </row>
    <row r="989" spans="3:11" x14ac:dyDescent="0.2">
      <c r="C989" t="str">
        <f>IF('Bittrex Data'!A989="","",IF(AND('Bittrex Data'!C989="LIMIT_SELL",Bittrex!D989="USD"),"Sale",IF(AND('Bittrex Data'!C989="LIMIT_BUY",Bittrex!D989="USD"),"Buy","Trade")))</f>
        <v/>
      </c>
      <c r="D989" t="str">
        <f>IF('Bittrex Data'!B989="","",LEFT(LEFT('Bittrex Data'!B989,SEARCH("-",'Bittrex Data'!B989,1)),LEN(LEFT('Bittrex Data'!B989,SEARCH("-",'Bittrex Data'!B989,1)))-1))</f>
        <v/>
      </c>
      <c r="E989" t="str">
        <f>IF('Bittrex Data'!B989="","",RIGHT(RIGHT('Bittrex Data'!B989,LEN('Bittrex Data'!B989)-SEARCH("-",'Bittrex Data'!B989,1)+1),LEN(RIGHT('Bittrex Data'!B989,LEN('Bittrex Data'!B989)-SEARCH("-",'Bittrex Data'!B989,1)+1))-1))</f>
        <v/>
      </c>
      <c r="F989" t="str">
        <f>IF('Bittrex Data'!C989="","",IF('Bittrex Data'!C989="Limit_Sell",'Bittrex Data'!G989-'Bittrex Data'!F989,IF('Bittrex Data'!C989="Limit_Buy",'Bittrex Data'!G989+'Bittrex Data'!F989,"")))</f>
        <v/>
      </c>
      <c r="G989" t="str">
        <f>IF('Bittrex Data'!B989="","",'Bittrex Data'!D989)</f>
        <v/>
      </c>
      <c r="H989" t="str">
        <f>IF('Bittrex Data'!C989="","",IF(Bittrex!C989="Buy",Bittrex!D989,IF(Bittrex!C989="Sale",Bittrex!E989,IF(AND(Bittrex!C989="Trade",'Bittrex Data'!C989="Limit_Sell"),Bittrex!E989,IF(AND(Bittrex!C989="Trade",'Bittrex Data'!C989="Limit_Buy"),Bittrex!D989,"")))))</f>
        <v/>
      </c>
      <c r="I989" t="str">
        <f>IF('Bittrex Data'!C989="","",IF(Bittrex!C989="Buy",F989,IF(C989="Sale",Bittrex!G989,IF(AND(C989="Trade",'Bittrex Data'!C989="Limit_Sell"),Bittrex!G989,IF(AND(Bittrex!C989="Trade",'Bittrex Data'!C989="Limit_Buy"),F989,"")))))</f>
        <v/>
      </c>
      <c r="J989" t="str">
        <f>IF('Bittrex Data'!B989="","",IF('Bittrex Data'!B989="","",IF(Bittrex!H989=Bittrex!E989,D989,Bittrex!E989)))</f>
        <v/>
      </c>
      <c r="K989" t="str">
        <f>IF('Bittrex Data'!B989="","",IF(Bittrex!I989=Bittrex!G989,Bittrex!F989,Bittrex!G989))</f>
        <v/>
      </c>
    </row>
    <row r="990" spans="3:11" x14ac:dyDescent="0.2">
      <c r="C990" t="str">
        <f>IF('Bittrex Data'!A990="","",IF(AND('Bittrex Data'!C990="LIMIT_SELL",Bittrex!D990="USD"),"Sale",IF(AND('Bittrex Data'!C990="LIMIT_BUY",Bittrex!D990="USD"),"Buy","Trade")))</f>
        <v/>
      </c>
      <c r="D990" t="str">
        <f>IF('Bittrex Data'!B990="","",LEFT(LEFT('Bittrex Data'!B990,SEARCH("-",'Bittrex Data'!B990,1)),LEN(LEFT('Bittrex Data'!B990,SEARCH("-",'Bittrex Data'!B990,1)))-1))</f>
        <v/>
      </c>
      <c r="E990" t="str">
        <f>IF('Bittrex Data'!B990="","",RIGHT(RIGHT('Bittrex Data'!B990,LEN('Bittrex Data'!B990)-SEARCH("-",'Bittrex Data'!B990,1)+1),LEN(RIGHT('Bittrex Data'!B990,LEN('Bittrex Data'!B990)-SEARCH("-",'Bittrex Data'!B990,1)+1))-1))</f>
        <v/>
      </c>
      <c r="F990" t="str">
        <f>IF('Bittrex Data'!C990="","",IF('Bittrex Data'!C990="Limit_Sell",'Bittrex Data'!G990-'Bittrex Data'!F990,IF('Bittrex Data'!C990="Limit_Buy",'Bittrex Data'!G990+'Bittrex Data'!F990,"")))</f>
        <v/>
      </c>
      <c r="G990" t="str">
        <f>IF('Bittrex Data'!B990="","",'Bittrex Data'!D990)</f>
        <v/>
      </c>
      <c r="H990" t="str">
        <f>IF('Bittrex Data'!C990="","",IF(Bittrex!C990="Buy",Bittrex!D990,IF(Bittrex!C990="Sale",Bittrex!E990,IF(AND(Bittrex!C990="Trade",'Bittrex Data'!C990="Limit_Sell"),Bittrex!E990,IF(AND(Bittrex!C990="Trade",'Bittrex Data'!C990="Limit_Buy"),Bittrex!D990,"")))))</f>
        <v/>
      </c>
      <c r="I990" t="str">
        <f>IF('Bittrex Data'!C990="","",IF(Bittrex!C990="Buy",F990,IF(C990="Sale",Bittrex!G990,IF(AND(C990="Trade",'Bittrex Data'!C990="Limit_Sell"),Bittrex!G990,IF(AND(Bittrex!C990="Trade",'Bittrex Data'!C990="Limit_Buy"),F990,"")))))</f>
        <v/>
      </c>
      <c r="J990" t="str">
        <f>IF('Bittrex Data'!B990="","",IF('Bittrex Data'!B990="","",IF(Bittrex!H990=Bittrex!E990,D990,Bittrex!E990)))</f>
        <v/>
      </c>
      <c r="K990" t="str">
        <f>IF('Bittrex Data'!B990="","",IF(Bittrex!I990=Bittrex!G990,Bittrex!F990,Bittrex!G990))</f>
        <v/>
      </c>
    </row>
    <row r="991" spans="3:11" x14ac:dyDescent="0.2">
      <c r="C991" t="str">
        <f>IF('Bittrex Data'!A991="","",IF(AND('Bittrex Data'!C991="LIMIT_SELL",Bittrex!D991="USD"),"Sale",IF(AND('Bittrex Data'!C991="LIMIT_BUY",Bittrex!D991="USD"),"Buy","Trade")))</f>
        <v/>
      </c>
      <c r="D991" t="str">
        <f>IF('Bittrex Data'!B991="","",LEFT(LEFT('Bittrex Data'!B991,SEARCH("-",'Bittrex Data'!B991,1)),LEN(LEFT('Bittrex Data'!B991,SEARCH("-",'Bittrex Data'!B991,1)))-1))</f>
        <v/>
      </c>
      <c r="E991" t="str">
        <f>IF('Bittrex Data'!B991="","",RIGHT(RIGHT('Bittrex Data'!B991,LEN('Bittrex Data'!B991)-SEARCH("-",'Bittrex Data'!B991,1)+1),LEN(RIGHT('Bittrex Data'!B991,LEN('Bittrex Data'!B991)-SEARCH("-",'Bittrex Data'!B991,1)+1))-1))</f>
        <v/>
      </c>
      <c r="F991" t="str">
        <f>IF('Bittrex Data'!C991="","",IF('Bittrex Data'!C991="Limit_Sell",'Bittrex Data'!G991-'Bittrex Data'!F991,IF('Bittrex Data'!C991="Limit_Buy",'Bittrex Data'!G991+'Bittrex Data'!F991,"")))</f>
        <v/>
      </c>
      <c r="G991" t="str">
        <f>IF('Bittrex Data'!B991="","",'Bittrex Data'!D991)</f>
        <v/>
      </c>
      <c r="H991" t="str">
        <f>IF('Bittrex Data'!C991="","",IF(Bittrex!C991="Buy",Bittrex!D991,IF(Bittrex!C991="Sale",Bittrex!E991,IF(AND(Bittrex!C991="Trade",'Bittrex Data'!C991="Limit_Sell"),Bittrex!E991,IF(AND(Bittrex!C991="Trade",'Bittrex Data'!C991="Limit_Buy"),Bittrex!D991,"")))))</f>
        <v/>
      </c>
      <c r="I991" t="str">
        <f>IF('Bittrex Data'!C991="","",IF(Bittrex!C991="Buy",F991,IF(C991="Sale",Bittrex!G991,IF(AND(C991="Trade",'Bittrex Data'!C991="Limit_Sell"),Bittrex!G991,IF(AND(Bittrex!C991="Trade",'Bittrex Data'!C991="Limit_Buy"),F991,"")))))</f>
        <v/>
      </c>
      <c r="J991" t="str">
        <f>IF('Bittrex Data'!B991="","",IF('Bittrex Data'!B991="","",IF(Bittrex!H991=Bittrex!E991,D991,Bittrex!E991)))</f>
        <v/>
      </c>
      <c r="K991" t="str">
        <f>IF('Bittrex Data'!B991="","",IF(Bittrex!I991=Bittrex!G991,Bittrex!F991,Bittrex!G991))</f>
        <v/>
      </c>
    </row>
    <row r="992" spans="3:11" x14ac:dyDescent="0.2">
      <c r="C992" t="str">
        <f>IF('Bittrex Data'!A992="","",IF(AND('Bittrex Data'!C992="LIMIT_SELL",Bittrex!D992="USD"),"Sale",IF(AND('Bittrex Data'!C992="LIMIT_BUY",Bittrex!D992="USD"),"Buy","Trade")))</f>
        <v/>
      </c>
      <c r="D992" t="str">
        <f>IF('Bittrex Data'!B992="","",LEFT(LEFT('Bittrex Data'!B992,SEARCH("-",'Bittrex Data'!B992,1)),LEN(LEFT('Bittrex Data'!B992,SEARCH("-",'Bittrex Data'!B992,1)))-1))</f>
        <v/>
      </c>
      <c r="E992" t="str">
        <f>IF('Bittrex Data'!B992="","",RIGHT(RIGHT('Bittrex Data'!B992,LEN('Bittrex Data'!B992)-SEARCH("-",'Bittrex Data'!B992,1)+1),LEN(RIGHT('Bittrex Data'!B992,LEN('Bittrex Data'!B992)-SEARCH("-",'Bittrex Data'!B992,1)+1))-1))</f>
        <v/>
      </c>
      <c r="F992" t="str">
        <f>IF('Bittrex Data'!C992="","",IF('Bittrex Data'!C992="Limit_Sell",'Bittrex Data'!G992-'Bittrex Data'!F992,IF('Bittrex Data'!C992="Limit_Buy",'Bittrex Data'!G992+'Bittrex Data'!F992,"")))</f>
        <v/>
      </c>
      <c r="G992" t="str">
        <f>IF('Bittrex Data'!B992="","",'Bittrex Data'!D992)</f>
        <v/>
      </c>
      <c r="H992" t="str">
        <f>IF('Bittrex Data'!C992="","",IF(Bittrex!C992="Buy",Bittrex!D992,IF(Bittrex!C992="Sale",Bittrex!E992,IF(AND(Bittrex!C992="Trade",'Bittrex Data'!C992="Limit_Sell"),Bittrex!E992,IF(AND(Bittrex!C992="Trade",'Bittrex Data'!C992="Limit_Buy"),Bittrex!D992,"")))))</f>
        <v/>
      </c>
      <c r="I992" t="str">
        <f>IF('Bittrex Data'!C992="","",IF(Bittrex!C992="Buy",F992,IF(C992="Sale",Bittrex!G992,IF(AND(C992="Trade",'Bittrex Data'!C992="Limit_Sell"),Bittrex!G992,IF(AND(Bittrex!C992="Trade",'Bittrex Data'!C992="Limit_Buy"),F992,"")))))</f>
        <v/>
      </c>
      <c r="J992" t="str">
        <f>IF('Bittrex Data'!B992="","",IF('Bittrex Data'!B992="","",IF(Bittrex!H992=Bittrex!E992,D992,Bittrex!E992)))</f>
        <v/>
      </c>
      <c r="K992" t="str">
        <f>IF('Bittrex Data'!B992="","",IF(Bittrex!I992=Bittrex!G992,Bittrex!F992,Bittrex!G992))</f>
        <v/>
      </c>
    </row>
    <row r="993" spans="3:11" x14ac:dyDescent="0.2">
      <c r="C993" t="str">
        <f>IF('Bittrex Data'!A993="","",IF(AND('Bittrex Data'!C993="LIMIT_SELL",Bittrex!D993="USD"),"Sale",IF(AND('Bittrex Data'!C993="LIMIT_BUY",Bittrex!D993="USD"),"Buy","Trade")))</f>
        <v/>
      </c>
      <c r="D993" t="str">
        <f>IF('Bittrex Data'!B993="","",LEFT(LEFT('Bittrex Data'!B993,SEARCH("-",'Bittrex Data'!B993,1)),LEN(LEFT('Bittrex Data'!B993,SEARCH("-",'Bittrex Data'!B993,1)))-1))</f>
        <v/>
      </c>
      <c r="E993" t="str">
        <f>IF('Bittrex Data'!B993="","",RIGHT(RIGHT('Bittrex Data'!B993,LEN('Bittrex Data'!B993)-SEARCH("-",'Bittrex Data'!B993,1)+1),LEN(RIGHT('Bittrex Data'!B993,LEN('Bittrex Data'!B993)-SEARCH("-",'Bittrex Data'!B993,1)+1))-1))</f>
        <v/>
      </c>
      <c r="F993" t="str">
        <f>IF('Bittrex Data'!C993="","",IF('Bittrex Data'!C993="Limit_Sell",'Bittrex Data'!G993-'Bittrex Data'!F993,IF('Bittrex Data'!C993="Limit_Buy",'Bittrex Data'!G993+'Bittrex Data'!F993,"")))</f>
        <v/>
      </c>
      <c r="G993" t="str">
        <f>IF('Bittrex Data'!B993="","",'Bittrex Data'!D993)</f>
        <v/>
      </c>
      <c r="H993" t="str">
        <f>IF('Bittrex Data'!C993="","",IF(Bittrex!C993="Buy",Bittrex!D993,IF(Bittrex!C993="Sale",Bittrex!E993,IF(AND(Bittrex!C993="Trade",'Bittrex Data'!C993="Limit_Sell"),Bittrex!E993,IF(AND(Bittrex!C993="Trade",'Bittrex Data'!C993="Limit_Buy"),Bittrex!D993,"")))))</f>
        <v/>
      </c>
      <c r="I993" t="str">
        <f>IF('Bittrex Data'!C993="","",IF(Bittrex!C993="Buy",F993,IF(C993="Sale",Bittrex!G993,IF(AND(C993="Trade",'Bittrex Data'!C993="Limit_Sell"),Bittrex!G993,IF(AND(Bittrex!C993="Trade",'Bittrex Data'!C993="Limit_Buy"),F993,"")))))</f>
        <v/>
      </c>
      <c r="J993" t="str">
        <f>IF('Bittrex Data'!B993="","",IF('Bittrex Data'!B993="","",IF(Bittrex!H993=Bittrex!E993,D993,Bittrex!E993)))</f>
        <v/>
      </c>
      <c r="K993" t="str">
        <f>IF('Bittrex Data'!B993="","",IF(Bittrex!I993=Bittrex!G993,Bittrex!F993,Bittrex!G993))</f>
        <v/>
      </c>
    </row>
    <row r="994" spans="3:11" x14ac:dyDescent="0.2">
      <c r="C994" t="str">
        <f>IF('Bittrex Data'!A994="","",IF(AND('Bittrex Data'!C994="LIMIT_SELL",Bittrex!D994="USD"),"Sale",IF(AND('Bittrex Data'!C994="LIMIT_BUY",Bittrex!D994="USD"),"Buy","Trade")))</f>
        <v/>
      </c>
      <c r="D994" t="str">
        <f>IF('Bittrex Data'!B994="","",LEFT(LEFT('Bittrex Data'!B994,SEARCH("-",'Bittrex Data'!B994,1)),LEN(LEFT('Bittrex Data'!B994,SEARCH("-",'Bittrex Data'!B994,1)))-1))</f>
        <v/>
      </c>
      <c r="E994" t="str">
        <f>IF('Bittrex Data'!B994="","",RIGHT(RIGHT('Bittrex Data'!B994,LEN('Bittrex Data'!B994)-SEARCH("-",'Bittrex Data'!B994,1)+1),LEN(RIGHT('Bittrex Data'!B994,LEN('Bittrex Data'!B994)-SEARCH("-",'Bittrex Data'!B994,1)+1))-1))</f>
        <v/>
      </c>
      <c r="F994" t="str">
        <f>IF('Bittrex Data'!C994="","",IF('Bittrex Data'!C994="Limit_Sell",'Bittrex Data'!G994-'Bittrex Data'!F994,IF('Bittrex Data'!C994="Limit_Buy",'Bittrex Data'!G994+'Bittrex Data'!F994,"")))</f>
        <v/>
      </c>
      <c r="G994" t="str">
        <f>IF('Bittrex Data'!B994="","",'Bittrex Data'!D994)</f>
        <v/>
      </c>
      <c r="H994" t="str">
        <f>IF('Bittrex Data'!C994="","",IF(Bittrex!C994="Buy",Bittrex!D994,IF(Bittrex!C994="Sale",Bittrex!E994,IF(AND(Bittrex!C994="Trade",'Bittrex Data'!C994="Limit_Sell"),Bittrex!E994,IF(AND(Bittrex!C994="Trade",'Bittrex Data'!C994="Limit_Buy"),Bittrex!D994,"")))))</f>
        <v/>
      </c>
      <c r="I994" t="str">
        <f>IF('Bittrex Data'!C994="","",IF(Bittrex!C994="Buy",F994,IF(C994="Sale",Bittrex!G994,IF(AND(C994="Trade",'Bittrex Data'!C994="Limit_Sell"),Bittrex!G994,IF(AND(Bittrex!C994="Trade",'Bittrex Data'!C994="Limit_Buy"),F994,"")))))</f>
        <v/>
      </c>
      <c r="J994" t="str">
        <f>IF('Bittrex Data'!B994="","",IF('Bittrex Data'!B994="","",IF(Bittrex!H994=Bittrex!E994,D994,Bittrex!E994)))</f>
        <v/>
      </c>
      <c r="K994" t="str">
        <f>IF('Bittrex Data'!B994="","",IF(Bittrex!I994=Bittrex!G994,Bittrex!F994,Bittrex!G994))</f>
        <v/>
      </c>
    </row>
    <row r="995" spans="3:11" x14ac:dyDescent="0.2">
      <c r="C995" t="str">
        <f>IF('Bittrex Data'!A995="","",IF(AND('Bittrex Data'!C995="LIMIT_SELL",Bittrex!D995="USD"),"Sale",IF(AND('Bittrex Data'!C995="LIMIT_BUY",Bittrex!D995="USD"),"Buy","Trade")))</f>
        <v/>
      </c>
      <c r="D995" t="str">
        <f>IF('Bittrex Data'!B995="","",LEFT(LEFT('Bittrex Data'!B995,SEARCH("-",'Bittrex Data'!B995,1)),LEN(LEFT('Bittrex Data'!B995,SEARCH("-",'Bittrex Data'!B995,1)))-1))</f>
        <v/>
      </c>
      <c r="E995" t="str">
        <f>IF('Bittrex Data'!B995="","",RIGHT(RIGHT('Bittrex Data'!B995,LEN('Bittrex Data'!B995)-SEARCH("-",'Bittrex Data'!B995,1)+1),LEN(RIGHT('Bittrex Data'!B995,LEN('Bittrex Data'!B995)-SEARCH("-",'Bittrex Data'!B995,1)+1))-1))</f>
        <v/>
      </c>
      <c r="F995" t="str">
        <f>IF('Bittrex Data'!C995="","",IF('Bittrex Data'!C995="Limit_Sell",'Bittrex Data'!G995-'Bittrex Data'!F995,IF('Bittrex Data'!C995="Limit_Buy",'Bittrex Data'!G995+'Bittrex Data'!F995,"")))</f>
        <v/>
      </c>
      <c r="G995" t="str">
        <f>IF('Bittrex Data'!B995="","",'Bittrex Data'!D995)</f>
        <v/>
      </c>
      <c r="H995" t="str">
        <f>IF('Bittrex Data'!C995="","",IF(Bittrex!C995="Buy",Bittrex!D995,IF(Bittrex!C995="Sale",Bittrex!E995,IF(AND(Bittrex!C995="Trade",'Bittrex Data'!C995="Limit_Sell"),Bittrex!E995,IF(AND(Bittrex!C995="Trade",'Bittrex Data'!C995="Limit_Buy"),Bittrex!D995,"")))))</f>
        <v/>
      </c>
      <c r="I995" t="str">
        <f>IF('Bittrex Data'!C995="","",IF(Bittrex!C995="Buy",F995,IF(C995="Sale",Bittrex!G995,IF(AND(C995="Trade",'Bittrex Data'!C995="Limit_Sell"),Bittrex!G995,IF(AND(Bittrex!C995="Trade",'Bittrex Data'!C995="Limit_Buy"),F995,"")))))</f>
        <v/>
      </c>
      <c r="J995" t="str">
        <f>IF('Bittrex Data'!B995="","",IF('Bittrex Data'!B995="","",IF(Bittrex!H995=Bittrex!E995,D995,Bittrex!E995)))</f>
        <v/>
      </c>
      <c r="K995" t="str">
        <f>IF('Bittrex Data'!B995="","",IF(Bittrex!I995=Bittrex!G995,Bittrex!F995,Bittrex!G995))</f>
        <v/>
      </c>
    </row>
    <row r="996" spans="3:11" x14ac:dyDescent="0.2">
      <c r="C996" t="str">
        <f>IF('Bittrex Data'!A996="","",IF(AND('Bittrex Data'!C996="LIMIT_SELL",Bittrex!D996="USD"),"Sale",IF(AND('Bittrex Data'!C996="LIMIT_BUY",Bittrex!D996="USD"),"Buy","Trade")))</f>
        <v/>
      </c>
      <c r="D996" t="str">
        <f>IF('Bittrex Data'!B996="","",LEFT(LEFT('Bittrex Data'!B996,SEARCH("-",'Bittrex Data'!B996,1)),LEN(LEFT('Bittrex Data'!B996,SEARCH("-",'Bittrex Data'!B996,1)))-1))</f>
        <v/>
      </c>
      <c r="E996" t="str">
        <f>IF('Bittrex Data'!B996="","",RIGHT(RIGHT('Bittrex Data'!B996,LEN('Bittrex Data'!B996)-SEARCH("-",'Bittrex Data'!B996,1)+1),LEN(RIGHT('Bittrex Data'!B996,LEN('Bittrex Data'!B996)-SEARCH("-",'Bittrex Data'!B996,1)+1))-1))</f>
        <v/>
      </c>
      <c r="F996" t="str">
        <f>IF('Bittrex Data'!C996="","",IF('Bittrex Data'!C996="Limit_Sell",'Bittrex Data'!G996-'Bittrex Data'!F996,IF('Bittrex Data'!C996="Limit_Buy",'Bittrex Data'!G996+'Bittrex Data'!F996,"")))</f>
        <v/>
      </c>
      <c r="G996" t="str">
        <f>IF('Bittrex Data'!B996="","",'Bittrex Data'!D996)</f>
        <v/>
      </c>
      <c r="H996" t="str">
        <f>IF('Bittrex Data'!C996="","",IF(Bittrex!C996="Buy",Bittrex!D996,IF(Bittrex!C996="Sale",Bittrex!E996,IF(AND(Bittrex!C996="Trade",'Bittrex Data'!C996="Limit_Sell"),Bittrex!E996,IF(AND(Bittrex!C996="Trade",'Bittrex Data'!C996="Limit_Buy"),Bittrex!D996,"")))))</f>
        <v/>
      </c>
      <c r="I996" t="str">
        <f>IF('Bittrex Data'!C996="","",IF(Bittrex!C996="Buy",F996,IF(C996="Sale",Bittrex!G996,IF(AND(C996="Trade",'Bittrex Data'!C996="Limit_Sell"),Bittrex!G996,IF(AND(Bittrex!C996="Trade",'Bittrex Data'!C996="Limit_Buy"),F996,"")))))</f>
        <v/>
      </c>
      <c r="J996" t="str">
        <f>IF('Bittrex Data'!B996="","",IF('Bittrex Data'!B996="","",IF(Bittrex!H996=Bittrex!E996,D996,Bittrex!E996)))</f>
        <v/>
      </c>
      <c r="K996" t="str">
        <f>IF('Bittrex Data'!B996="","",IF(Bittrex!I996=Bittrex!G996,Bittrex!F996,Bittrex!G996))</f>
        <v/>
      </c>
    </row>
    <row r="997" spans="3:11" x14ac:dyDescent="0.2">
      <c r="C997" t="str">
        <f>IF('Bittrex Data'!A997="","",IF(AND('Bittrex Data'!C997="LIMIT_SELL",Bittrex!D997="USD"),"Sale",IF(AND('Bittrex Data'!C997="LIMIT_BUY",Bittrex!D997="USD"),"Buy","Trade")))</f>
        <v/>
      </c>
      <c r="D997" t="str">
        <f>IF('Bittrex Data'!B997="","",LEFT(LEFT('Bittrex Data'!B997,SEARCH("-",'Bittrex Data'!B997,1)),LEN(LEFT('Bittrex Data'!B997,SEARCH("-",'Bittrex Data'!B997,1)))-1))</f>
        <v/>
      </c>
      <c r="E997" t="str">
        <f>IF('Bittrex Data'!B997="","",RIGHT(RIGHT('Bittrex Data'!B997,LEN('Bittrex Data'!B997)-SEARCH("-",'Bittrex Data'!B997,1)+1),LEN(RIGHT('Bittrex Data'!B997,LEN('Bittrex Data'!B997)-SEARCH("-",'Bittrex Data'!B997,1)+1))-1))</f>
        <v/>
      </c>
      <c r="F997" t="str">
        <f>IF('Bittrex Data'!C997="","",IF('Bittrex Data'!C997="Limit_Sell",'Bittrex Data'!G997-'Bittrex Data'!F997,IF('Bittrex Data'!C997="Limit_Buy",'Bittrex Data'!G997+'Bittrex Data'!F997,"")))</f>
        <v/>
      </c>
      <c r="G997" t="str">
        <f>IF('Bittrex Data'!B997="","",'Bittrex Data'!D997)</f>
        <v/>
      </c>
      <c r="H997" t="str">
        <f>IF('Bittrex Data'!C997="","",IF(Bittrex!C997="Buy",Bittrex!D997,IF(Bittrex!C997="Sale",Bittrex!E997,IF(AND(Bittrex!C997="Trade",'Bittrex Data'!C997="Limit_Sell"),Bittrex!E997,IF(AND(Bittrex!C997="Trade",'Bittrex Data'!C997="Limit_Buy"),Bittrex!D997,"")))))</f>
        <v/>
      </c>
      <c r="I997" t="str">
        <f>IF('Bittrex Data'!C997="","",IF(Bittrex!C997="Buy",F997,IF(C997="Sale",Bittrex!G997,IF(AND(C997="Trade",'Bittrex Data'!C997="Limit_Sell"),Bittrex!G997,IF(AND(Bittrex!C997="Trade",'Bittrex Data'!C997="Limit_Buy"),F997,"")))))</f>
        <v/>
      </c>
      <c r="J997" t="str">
        <f>IF('Bittrex Data'!B997="","",IF('Bittrex Data'!B997="","",IF(Bittrex!H997=Bittrex!E997,D997,Bittrex!E997)))</f>
        <v/>
      </c>
      <c r="K997" t="str">
        <f>IF('Bittrex Data'!B997="","",IF(Bittrex!I997=Bittrex!G997,Bittrex!F997,Bittrex!G997))</f>
        <v/>
      </c>
    </row>
    <row r="998" spans="3:11" x14ac:dyDescent="0.2">
      <c r="C998" t="str">
        <f>IF('Bittrex Data'!A998="","",IF(AND('Bittrex Data'!C998="LIMIT_SELL",Bittrex!D998="USD"),"Sale",IF(AND('Bittrex Data'!C998="LIMIT_BUY",Bittrex!D998="USD"),"Buy","Trade")))</f>
        <v/>
      </c>
      <c r="D998" t="str">
        <f>IF('Bittrex Data'!B998="","",LEFT(LEFT('Bittrex Data'!B998,SEARCH("-",'Bittrex Data'!B998,1)),LEN(LEFT('Bittrex Data'!B998,SEARCH("-",'Bittrex Data'!B998,1)))-1))</f>
        <v/>
      </c>
      <c r="E998" t="str">
        <f>IF('Bittrex Data'!B998="","",RIGHT(RIGHT('Bittrex Data'!B998,LEN('Bittrex Data'!B998)-SEARCH("-",'Bittrex Data'!B998,1)+1),LEN(RIGHT('Bittrex Data'!B998,LEN('Bittrex Data'!B998)-SEARCH("-",'Bittrex Data'!B998,1)+1))-1))</f>
        <v/>
      </c>
      <c r="F998" t="str">
        <f>IF('Bittrex Data'!C998="","",IF('Bittrex Data'!C998="Limit_Sell",'Bittrex Data'!G998-'Bittrex Data'!F998,IF('Bittrex Data'!C998="Limit_Buy",'Bittrex Data'!G998+'Bittrex Data'!F998,"")))</f>
        <v/>
      </c>
      <c r="G998" t="str">
        <f>IF('Bittrex Data'!B998="","",'Bittrex Data'!D998)</f>
        <v/>
      </c>
      <c r="H998" t="str">
        <f>IF('Bittrex Data'!C998="","",IF(Bittrex!C998="Buy",Bittrex!D998,IF(Bittrex!C998="Sale",Bittrex!E998,IF(AND(Bittrex!C998="Trade",'Bittrex Data'!C998="Limit_Sell"),Bittrex!E998,IF(AND(Bittrex!C998="Trade",'Bittrex Data'!C998="Limit_Buy"),Bittrex!D998,"")))))</f>
        <v/>
      </c>
      <c r="I998" t="str">
        <f>IF('Bittrex Data'!C998="","",IF(Bittrex!C998="Buy",F998,IF(C998="Sale",Bittrex!G998,IF(AND(C998="Trade",'Bittrex Data'!C998="Limit_Sell"),Bittrex!G998,IF(AND(Bittrex!C998="Trade",'Bittrex Data'!C998="Limit_Buy"),F998,"")))))</f>
        <v/>
      </c>
      <c r="J998" t="str">
        <f>IF('Bittrex Data'!B998="","",IF('Bittrex Data'!B998="","",IF(Bittrex!H998=Bittrex!E998,D998,Bittrex!E998)))</f>
        <v/>
      </c>
      <c r="K998" t="str">
        <f>IF('Bittrex Data'!B998="","",IF(Bittrex!I998=Bittrex!G998,Bittrex!F998,Bittrex!G998))</f>
        <v/>
      </c>
    </row>
    <row r="999" spans="3:11" x14ac:dyDescent="0.2">
      <c r="C999" t="str">
        <f>IF('Bittrex Data'!A999="","",IF(AND('Bittrex Data'!C999="LIMIT_SELL",Bittrex!D999="USD"),"Sale",IF(AND('Bittrex Data'!C999="LIMIT_BUY",Bittrex!D999="USD"),"Buy","Trade")))</f>
        <v/>
      </c>
      <c r="D999" t="str">
        <f>IF('Bittrex Data'!B999="","",LEFT(LEFT('Bittrex Data'!B999,SEARCH("-",'Bittrex Data'!B999,1)),LEN(LEFT('Bittrex Data'!B999,SEARCH("-",'Bittrex Data'!B999,1)))-1))</f>
        <v/>
      </c>
      <c r="E999" t="str">
        <f>IF('Bittrex Data'!B999="","",RIGHT(RIGHT('Bittrex Data'!B999,LEN('Bittrex Data'!B999)-SEARCH("-",'Bittrex Data'!B999,1)+1),LEN(RIGHT('Bittrex Data'!B999,LEN('Bittrex Data'!B999)-SEARCH("-",'Bittrex Data'!B999,1)+1))-1))</f>
        <v/>
      </c>
      <c r="F999" t="str">
        <f>IF('Bittrex Data'!C999="","",IF('Bittrex Data'!C999="Limit_Sell",'Bittrex Data'!G999-'Bittrex Data'!F999,IF('Bittrex Data'!C999="Limit_Buy",'Bittrex Data'!G999+'Bittrex Data'!F999,"")))</f>
        <v/>
      </c>
      <c r="G999" t="str">
        <f>IF('Bittrex Data'!B999="","",'Bittrex Data'!D999)</f>
        <v/>
      </c>
      <c r="H999" t="str">
        <f>IF('Bittrex Data'!C999="","",IF(Bittrex!C999="Buy",Bittrex!D999,IF(Bittrex!C999="Sale",Bittrex!E999,IF(AND(Bittrex!C999="Trade",'Bittrex Data'!C999="Limit_Sell"),Bittrex!E999,IF(AND(Bittrex!C999="Trade",'Bittrex Data'!C999="Limit_Buy"),Bittrex!D999,"")))))</f>
        <v/>
      </c>
      <c r="I999" t="str">
        <f>IF('Bittrex Data'!C999="","",IF(Bittrex!C999="Buy",F999,IF(C999="Sale",Bittrex!G999,IF(AND(C999="Trade",'Bittrex Data'!C999="Limit_Sell"),Bittrex!G999,IF(AND(Bittrex!C999="Trade",'Bittrex Data'!C999="Limit_Buy"),F999,"")))))</f>
        <v/>
      </c>
      <c r="J999" t="str">
        <f>IF('Bittrex Data'!B999="","",IF('Bittrex Data'!B999="","",IF(Bittrex!H999=Bittrex!E999,D999,Bittrex!E999)))</f>
        <v/>
      </c>
      <c r="K999" t="str">
        <f>IF('Bittrex Data'!B999="","",IF(Bittrex!I999=Bittrex!G999,Bittrex!F999,Bittrex!G999))</f>
        <v/>
      </c>
    </row>
    <row r="1000" spans="3:11" x14ac:dyDescent="0.2">
      <c r="C1000" t="str">
        <f>IF('Bittrex Data'!A1000="","",IF(AND('Bittrex Data'!C1000="LIMIT_SELL",Bittrex!D1000="USD"),"Sale",IF(AND('Bittrex Data'!C1000="LIMIT_BUY",Bittrex!D1000="USD"),"Buy","Trade")))</f>
        <v/>
      </c>
      <c r="D1000" t="str">
        <f>IF('Bittrex Data'!B1000="","",LEFT(LEFT('Bittrex Data'!B1000,SEARCH("-",'Bittrex Data'!B1000,1)),LEN(LEFT('Bittrex Data'!B1000,SEARCH("-",'Bittrex Data'!B1000,1)))-1))</f>
        <v/>
      </c>
      <c r="E1000" t="str">
        <f>IF('Bittrex Data'!B1000="","",RIGHT(RIGHT('Bittrex Data'!B1000,LEN('Bittrex Data'!B1000)-SEARCH("-",'Bittrex Data'!B1000,1)+1),LEN(RIGHT('Bittrex Data'!B1000,LEN('Bittrex Data'!B1000)-SEARCH("-",'Bittrex Data'!B1000,1)+1))-1))</f>
        <v/>
      </c>
      <c r="F1000" t="str">
        <f>IF('Bittrex Data'!C1000="","",IF('Bittrex Data'!C1000="Limit_Sell",'Bittrex Data'!G1000-'Bittrex Data'!F1000,IF('Bittrex Data'!C1000="Limit_Buy",'Bittrex Data'!G1000+'Bittrex Data'!F1000,"")))</f>
        <v/>
      </c>
      <c r="G1000" t="str">
        <f>IF('Bittrex Data'!B1000="","",'Bittrex Data'!D1000)</f>
        <v/>
      </c>
      <c r="H1000" t="str">
        <f>IF('Bittrex Data'!C1000="","",IF(Bittrex!C1000="Buy",Bittrex!D1000,IF(Bittrex!C1000="Sale",Bittrex!E1000,IF(AND(Bittrex!C1000="Trade",'Bittrex Data'!C1000="Limit_Sell"),Bittrex!E1000,IF(AND(Bittrex!C1000="Trade",'Bittrex Data'!C1000="Limit_Buy"),Bittrex!D1000,"")))))</f>
        <v/>
      </c>
      <c r="I1000" t="str">
        <f>IF('Bittrex Data'!C1000="","",IF(Bittrex!C1000="Buy",F1000,IF(C1000="Sale",Bittrex!G1000,IF(AND(C1000="Trade",'Bittrex Data'!C1000="Limit_Sell"),Bittrex!G1000,IF(AND(Bittrex!C1000="Trade",'Bittrex Data'!C1000="Limit_Buy"),F1000,"")))))</f>
        <v/>
      </c>
      <c r="J1000" t="str">
        <f>IF('Bittrex Data'!B1000="","",IF('Bittrex Data'!B1000="","",IF(Bittrex!H1000=Bittrex!E1000,D1000,Bittrex!E1000)))</f>
        <v/>
      </c>
      <c r="K1000" t="str">
        <f>IF('Bittrex Data'!B1000="","",IF(Bittrex!I1000=Bittrex!G1000,Bittrex!F1000,Bittrex!G1000))</f>
        <v/>
      </c>
    </row>
    <row r="1001" spans="3:11" x14ac:dyDescent="0.2">
      <c r="C1001" t="str">
        <f>IF('Bittrex Data'!A1001="","",IF(AND('Bittrex Data'!C1001="LIMIT_SELL",Bittrex!D1001="USD"),"Sale",IF(AND('Bittrex Data'!C1001="LIMIT_BUY",Bittrex!D1001="USD"),"Buy","Trade")))</f>
        <v/>
      </c>
      <c r="D1001" t="str">
        <f>IF('Bittrex Data'!B1001="","",LEFT(LEFT('Bittrex Data'!B1001,SEARCH("-",'Bittrex Data'!B1001,1)),LEN(LEFT('Bittrex Data'!B1001,SEARCH("-",'Bittrex Data'!B1001,1)))-1))</f>
        <v/>
      </c>
      <c r="E1001" t="str">
        <f>IF('Bittrex Data'!B1001="","",RIGHT(RIGHT('Bittrex Data'!B1001,LEN('Bittrex Data'!B1001)-SEARCH("-",'Bittrex Data'!B1001,1)+1),LEN(RIGHT('Bittrex Data'!B1001,LEN('Bittrex Data'!B1001)-SEARCH("-",'Bittrex Data'!B1001,1)+1))-1))</f>
        <v/>
      </c>
      <c r="F1001" t="str">
        <f>IF('Bittrex Data'!C1001="","",IF('Bittrex Data'!C1001="Limit_Sell",'Bittrex Data'!G1001-'Bittrex Data'!F1001,IF('Bittrex Data'!C1001="Limit_Buy",'Bittrex Data'!G1001+'Bittrex Data'!F1001,"")))</f>
        <v/>
      </c>
      <c r="G1001" t="str">
        <f>IF('Bittrex Data'!B1001="","",'Bittrex Data'!D1001)</f>
        <v/>
      </c>
      <c r="H1001" t="str">
        <f>IF('Bittrex Data'!C1001="","",IF(Bittrex!C1001="Buy",Bittrex!D1001,IF(Bittrex!C1001="Sale",Bittrex!E1001,IF(AND(Bittrex!C1001="Trade",'Bittrex Data'!C1001="Limit_Sell"),Bittrex!E1001,IF(AND(Bittrex!C1001="Trade",'Bittrex Data'!C1001="Limit_Buy"),Bittrex!D1001,"")))))</f>
        <v/>
      </c>
      <c r="I1001" t="str">
        <f>IF('Bittrex Data'!C1001="","",IF(Bittrex!C1001="Buy",F1001,IF(C1001="Sale",Bittrex!G1001,IF(AND(C1001="Trade",'Bittrex Data'!C1001="Limit_Sell"),Bittrex!G1001,IF(AND(Bittrex!C1001="Trade",'Bittrex Data'!C1001="Limit_Buy"),F1001,"")))))</f>
        <v/>
      </c>
      <c r="J1001" t="str">
        <f>IF('Bittrex Data'!B1001="","",IF('Bittrex Data'!B1001="","",IF(Bittrex!H1001=Bittrex!E1001,D1001,Bittrex!E1001)))</f>
        <v/>
      </c>
      <c r="K1001" t="str">
        <f>IF('Bittrex Data'!B1001="","",IF(Bittrex!I1001=Bittrex!G1001,Bittrex!F1001,Bittrex!G1001))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Bittrex Data</vt:lpstr>
      <vt:lpstr>CSV</vt:lpstr>
      <vt:lpstr>Bittrex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AUSTIN WOODWARD</dc:creator>
  <cp:lastModifiedBy>Brandon Woodward</cp:lastModifiedBy>
  <dcterms:created xsi:type="dcterms:W3CDTF">2019-02-20T23:31:00Z</dcterms:created>
  <dcterms:modified xsi:type="dcterms:W3CDTF">2019-02-23T02:07:56Z</dcterms:modified>
</cp:coreProperties>
</file>